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incidencias" sheetId="1" state="visible" r:id="rId1"/>
    <sheet xmlns:r="http://schemas.openxmlformats.org/officeDocument/2006/relationships" name="Bitácora de trabajo" sheetId="2" state="visible" r:id="rId2"/>
    <sheet xmlns:r="http://schemas.openxmlformats.org/officeDocument/2006/relationships" name="Tablero (To Do · Doing · Done)" sheetId="3" state="visible" r:id="rId3"/>
    <sheet xmlns:r="http://schemas.openxmlformats.org/officeDocument/2006/relationships" name="Vista del tablero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Criterios acordados" sheetId="6" state="visible" r:id="rId6"/>
    <sheet xmlns:r="http://schemas.openxmlformats.org/officeDocument/2006/relationships" name="Épica, HU y tareas" sheetId="7" state="visible" r:id="rId7"/>
  </sheets>
  <definedNames>
    <definedName name="_xlnm._FilterDatabase" localSheetId="2" hidden="1">'Tablero (To Do · Doing · Done)'!$B$5:$R$266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000000"/>
      <sz val="10"/>
    </font>
    <font>
      <color rgb="00000000"/>
      <sz val="10"/>
    </font>
    <font>
      <b val="1"/>
    </font>
    <font>
      <sz val="10"/>
    </font>
    <font>
      <i val="1"/>
      <color rgb="0070777D"/>
      <sz val="9"/>
    </font>
    <font>
      <b val="1"/>
      <color rgb="009A3E00"/>
      <sz val="15"/>
    </font>
    <font>
      <color rgb="0070777D"/>
      <sz val="9"/>
    </font>
    <font>
      <b val="1"/>
      <color rgb="00FFFFFF"/>
    </font>
    <font>
      <sz val="9"/>
    </font>
    <font>
      <b val="1"/>
      <sz val="9"/>
    </font>
    <font>
      <b val="1"/>
      <color rgb="009A3E00"/>
      <sz val="14"/>
    </font>
    <font>
      <b val="1"/>
      <color rgb="00FFFFFF"/>
      <sz val="12"/>
    </font>
    <font>
      <b val="1"/>
      <color rgb="009A3E00"/>
      <sz val="16"/>
    </font>
    <font>
      <color rgb="0070777D"/>
      <sz val="10"/>
    </font>
    <font>
      <b val="1"/>
      <color rgb="009A3E0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5F5E5A"/>
      </patternFill>
    </fill>
    <fill>
      <patternFill patternType="solid">
        <fgColor rgb="00B4610A"/>
      </patternFill>
    </fill>
    <fill>
      <patternFill patternType="solid">
        <fgColor rgb="001E7B45"/>
      </patternFill>
    </fill>
    <fill>
      <patternFill patternType="solid">
        <fgColor rgb="00FFF1E5"/>
      </patternFill>
    </fill>
    <fill>
      <patternFill patternType="solid">
        <fgColor rgb="00FAFA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4"/>
      </left>
      <right style="thin">
        <color rgb="00D9D9D4"/>
      </right>
      <top style="thin">
        <color rgb="00D9D9D4"/>
      </top>
      <bottom style="thin">
        <color rgb="00D9D9D4"/>
      </bottom>
    </border>
    <border>
      <left style="thin">
        <color rgb="00D9D9D4"/>
      </left>
      <right style="thin">
        <color rgb="00D9D9D4"/>
      </right>
      <top/>
      <bottom/>
      <diagonal/>
    </border>
    <border>
      <left style="thin">
        <color rgb="00D9D9D4"/>
      </left>
      <right style="thin">
        <color rgb="00D9D9D4"/>
      </right>
      <top/>
      <bottom style="thin">
        <color rgb="00D9D9D4"/>
      </bottom>
      <diagonal/>
    </border>
    <border>
      <left style="thin">
        <color rgb="00D9D9D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0" fontId="10" fillId="0" borderId="2" pivotButton="0" quotePrefix="0" xfId="0"/>
    <xf numFmtId="0" fontId="9" fillId="0" borderId="0" applyAlignment="1" pivotButton="0" quotePrefix="0" xfId="0">
      <alignment vertical="top" wrapText="1"/>
    </xf>
    <xf numFmtId="0" fontId="8" fillId="2" borderId="2" pivotButton="0" quotePrefix="0" xfId="0"/>
    <xf numFmtId="0" fontId="0" fillId="0" borderId="2" pivotButton="0" quotePrefix="0" xfId="0"/>
    <xf numFmtId="0" fontId="3" fillId="0" borderId="0" pivotButton="0" quotePrefix="0" xfId="0"/>
    <xf numFmtId="9" fontId="0" fillId="0" borderId="2" pivotButton="0" quotePrefix="0" xfId="0"/>
    <xf numFmtId="0" fontId="8" fillId="2" borderId="0" pivotButton="0" quotePrefix="0" xfId="0"/>
    <xf numFmtId="0" fontId="3" fillId="6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15" fillId="6" borderId="2" applyAlignment="1" pivotButton="0" quotePrefix="0" xfId="0">
      <alignment vertical="center" wrapText="1"/>
    </xf>
    <xf numFmtId="0" fontId="16" fillId="7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F3F3F1"/>
        </patternFill>
      </fill>
    </dxf>
    <dxf>
      <fill>
        <patternFill patternType="solid">
          <fgColor rgb="00FDF2E3"/>
        </patternFill>
      </fill>
    </dxf>
    <dxf>
      <fill>
        <patternFill patternType="solid">
          <fgColor rgb="00E7F6EC"/>
        </patternFill>
      </fill>
    </dxf>
    <dxf>
      <font>
        <b val="1"/>
        <color rgb="00A32D2D"/>
      </font>
      <fill>
        <patternFill patternType="solid">
          <fgColor rgb="00FCEB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0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44" customWidth="1" min="3" max="3"/>
    <col width="20" customWidth="1" min="4" max="4"/>
    <col width="20" customWidth="1" min="5" max="5"/>
    <col width="28" customWidth="1" min="6" max="6"/>
    <col width="42" customWidth="1" min="7" max="7"/>
    <col width="30" customWidth="1" min="8" max="8"/>
  </cols>
  <sheetData>
    <row r="2" ht="16" customHeight="1">
      <c r="B2" s="1" t="inlineStr">
        <is>
          <t>Nombre del proyecto</t>
        </is>
      </c>
      <c r="C2" s="2" t="inlineStr">
        <is>
          <t>SIGRO · Sistema de Gestión de Recursos de Obra</t>
        </is>
      </c>
    </row>
    <row r="3" ht="16" customHeight="1">
      <c r="B3" s="1" t="inlineStr">
        <is>
          <t>Organización</t>
        </is>
      </c>
      <c r="C3" s="2" t="inlineStr">
        <is>
          <t>SEVENS INGENIEROS SAC (RUC 20606456892)</t>
        </is>
      </c>
      <c r="F3" s="1" t="inlineStr">
        <is>
          <t>HU / tarea</t>
        </is>
      </c>
      <c r="G3" s="1" t="inlineStr">
        <is>
          <t>Solución</t>
        </is>
      </c>
    </row>
    <row r="4" ht="30" customHeight="1">
      <c r="B4" s="1" t="inlineStr">
        <is>
          <t>Solución</t>
        </is>
      </c>
      <c r="C4" s="2" t="inlineStr">
        <is>
          <t>Web de oficina (React), app Android del almacenero que registra sin señal, API FastAPI + PostgreSQL y microservicios de Integraciones (S10, SUNAT, RENIEC) y Notificaciones</t>
        </is>
      </c>
    </row>
    <row r="5" ht="30" customHeight="1">
      <c r="B5" s="1" t="inlineStr">
        <is>
          <t>Objetivo del proyecto</t>
        </is>
      </c>
      <c r="C5" s="2" t="inlineStr">
        <is>
          <t>Mejorar el control operativo de los recursos de obra —materiales, herramientas y horas hombre— de SEVENS INGENIEROS SAC, para reducir las interrupciones de obra por falta de material y el capital inmovilizado en material que sobra</t>
        </is>
      </c>
    </row>
    <row r="6" ht="46" customHeight="1">
      <c r="B6" s="1" t="inlineStr">
        <is>
          <t>|No. sprint</t>
        </is>
      </c>
      <c r="C6" s="2" t="n">
        <v>1</v>
      </c>
      <c r="G6" s="1" t="inlineStr">
        <is>
          <t>Objetivo del Sprint</t>
        </is>
      </c>
      <c r="H6" s="2" t="inlineStr">
        <is>
          <t>El objetivo del primer sprint es poder controlar los recursos de la obra: desde lo que pide el S10 hasta lo que se compra, se consume y cuesta.</t>
        </is>
      </c>
    </row>
    <row r="8">
      <c r="B8" s="3" t="inlineStr">
        <is>
          <t>Fecha</t>
        </is>
      </c>
      <c r="C8" s="3" t="inlineStr">
        <is>
          <t>Incidencia</t>
        </is>
      </c>
      <c r="D8" s="3" t="inlineStr">
        <is>
          <t>Persona relacionada</t>
        </is>
      </c>
      <c r="E8" s="3" t="inlineStr">
        <is>
          <t>Rol</t>
        </is>
      </c>
      <c r="F8" s="3" t="inlineStr">
        <is>
          <t>Artefacto relacionado</t>
        </is>
      </c>
      <c r="G8" s="3" t="inlineStr">
        <is>
          <t>Solución</t>
        </is>
      </c>
      <c r="H8" s="3" t="inlineStr">
        <is>
          <t>Referencia</t>
        </is>
      </c>
    </row>
    <row r="9" ht="44" customHeight="1">
      <c r="B9" s="4" t="inlineStr">
        <is>
          <t>15/10/2026</t>
        </is>
      </c>
      <c r="C9" s="5" t="inlineStr">
        <is>
          <t>El docente redujo el curso de tres a dos sprints</t>
        </is>
      </c>
      <c r="D9" s="5" t="inlineStr">
        <is>
          <t>Omar Loaiza</t>
        </is>
      </c>
      <c r="E9" s="5" t="inlineStr">
        <is>
          <t>Docente</t>
        </is>
      </c>
      <c r="F9" s="5" t="inlineStr">
        <is>
          <t>Cronograma del Project Charter</t>
        </is>
      </c>
      <c r="G9" s="5" t="inlineStr">
        <is>
          <t>Se replanificó: Sprint 1 del 15 al 28/10 y Sprint 2 del 29/10 al 11/11</t>
        </is>
      </c>
      <c r="H9" s="5" t="inlineStr">
        <is>
          <t>Indicación en clase, 15/10</t>
        </is>
      </c>
    </row>
    <row r="10" ht="44" customHeight="1">
      <c r="B10" s="4" t="inlineStr">
        <is>
          <t>16/10/2026</t>
        </is>
      </c>
      <c r="C10" s="5" t="inlineStr">
        <is>
          <t>La mano de obra entra al alcance (antes estaba fuera, decisión D6)</t>
        </is>
      </c>
      <c r="D10" s="5" t="inlineStr">
        <is>
          <t>Fernando Istaña</t>
        </is>
      </c>
      <c r="E10" s="5" t="inlineStr">
        <is>
          <t>Scrum Master</t>
        </is>
      </c>
      <c r="F10" s="5" t="inlineStr">
        <is>
          <t>Product Backlog</t>
        </is>
      </c>
      <c r="G10" s="5" t="inlineStr">
        <is>
          <t>Nueva épica E7 limitada al tareo: HU-62 a HU-65</t>
        </is>
      </c>
      <c r="H10" s="5" t="inlineStr">
        <is>
          <t>Acuerdo del equipo, 16/10</t>
        </is>
      </c>
    </row>
    <row r="11" ht="44" customHeight="1">
      <c r="B11" s="4" t="inlineStr">
        <is>
          <t>21/10/2026</t>
        </is>
      </c>
      <c r="C11" s="5" t="inlineStr">
        <is>
          <t>Faltaban los reportes del S10 y bloqueaban la importación (HU-07, 16, 17 y 19)</t>
        </is>
      </c>
      <c r="D11" s="5" t="inlineStr">
        <is>
          <t>Pool Briones</t>
        </is>
      </c>
      <c r="E11" s="5" t="inlineStr">
        <is>
          <t>Cliente</t>
        </is>
      </c>
      <c r="F11" s="5" t="inlineStr">
        <is>
          <t>HU-07, HU-16, HU-17, HU-19</t>
        </is>
      </c>
      <c r="G11" s="5" t="inlineStr">
        <is>
          <t>El cliente entregó Presupuesto, APU y Relación de insumos del presupuesto 2701006</t>
        </is>
      </c>
      <c r="H11" s="5" t="inlineStr">
        <is>
          <t>Reportes 5.1, 5.2 y 5.3 del S10</t>
        </is>
      </c>
    </row>
    <row r="12" ht="44" customHeight="1">
      <c r="B12" s="4" t="inlineStr">
        <is>
          <t>21/10/2026</t>
        </is>
      </c>
      <c r="C12" s="5" t="inlineStr">
        <is>
          <t>El objetivo del sprint hablaba de «compras» y de «presupuestado»</t>
        </is>
      </c>
      <c r="D12" s="5" t="inlineStr">
        <is>
          <t>Ing. Junior Cercado</t>
        </is>
      </c>
      <c r="E12" s="5" t="inlineStr">
        <is>
          <t>Revisor</t>
        </is>
      </c>
      <c r="F12" s="5" t="inlineStr">
        <is>
          <t>Objetivo del Sprint 1</t>
        </is>
      </c>
      <c r="G12" s="5" t="inlineStr">
        <is>
          <t>Se redactó con «ingresos y salidas», «planificado» y horas hombre medidas contra las planificadas</t>
        </is>
      </c>
      <c r="H12" s="5" t="inlineStr">
        <is>
          <t>Corrección del 21/10</t>
        </is>
      </c>
    </row>
    <row r="13" ht="44" customHeight="1">
      <c r="B13" s="4" t="inlineStr">
        <is>
          <t>22/10/2026</t>
        </is>
      </c>
      <c r="C13" s="5" t="inlineStr">
        <is>
          <t>Compras y proveedores tenían el actor equivocado (almacenero en vez de residente)</t>
        </is>
      </c>
      <c r="D13" s="5" t="inlineStr">
        <is>
          <t>Pool Briones</t>
        </is>
      </c>
      <c r="E13" s="5" t="inlineStr">
        <is>
          <t>Cliente</t>
        </is>
      </c>
      <c r="F13" s="5" t="inlineStr">
        <is>
          <t>HU-29, HU-30, HU-31, HU-32</t>
        </is>
      </c>
      <c r="G13" s="5" t="inlineStr">
        <is>
          <t>Ficha de cambio CR-05: el actor pasa a residente de obra</t>
        </is>
      </c>
      <c r="H13" s="5" t="inlineStr">
        <is>
          <t>Respuesta del cliente por WhatsApp, 22/10</t>
        </is>
      </c>
    </row>
    <row r="14" ht="44" customHeight="1">
      <c r="B14" s="4" t="inlineStr">
        <is>
          <t>22/10/2026</t>
        </is>
      </c>
      <c r="C14" s="5" t="inlineStr">
        <is>
          <t>Requisito nuevo del cliente: un formato para pedir materiales</t>
        </is>
      </c>
      <c r="D14" s="5" t="inlineStr">
        <is>
          <t>Pool Briones</t>
        </is>
      </c>
      <c r="E14" s="5" t="inlineStr">
        <is>
          <t>Cliente</t>
        </is>
      </c>
      <c r="F14" s="5" t="inlineStr">
        <is>
          <t>Product Backlog</t>
        </is>
      </c>
      <c r="G14" s="5" t="inlineStr">
        <is>
          <t>Ficha CR-04: «solicitud de materiales», HU-66 y HU-67 en el Sprint 2</t>
        </is>
      </c>
      <c r="H14" s="5" t="inlineStr">
        <is>
          <t>Respuesta del cliente por WhatsApp, 22/10</t>
        </is>
      </c>
    </row>
    <row r="15" ht="44" customHeight="1">
      <c r="B15" s="4" t="inlineStr">
        <is>
          <t>22/10/2026</t>
        </is>
      </c>
      <c r="C15" s="5" t="inlineStr">
        <is>
          <t>El repositorio de GitHub está público y contiene datos del cliente</t>
        </is>
      </c>
      <c r="D15" s="5" t="inlineStr">
        <is>
          <t>Fernando Istaña</t>
        </is>
      </c>
      <c r="E15" s="5" t="inlineStr">
        <is>
          <t>Scrum Master</t>
        </is>
      </c>
      <c r="F15" s="5" t="inlineStr">
        <is>
          <t>Repositorio xteban-sp/sevens-sigro</t>
        </is>
      </c>
      <c r="G15" s="5" t="inlineStr">
        <is>
          <t>Pasarlo a privado e invitar al docente como lector (T-237)</t>
        </is>
      </c>
      <c r="H15" s="5" t="inlineStr">
        <is>
          <t>Auditoría de coherencia, 22/10</t>
        </is>
      </c>
    </row>
    <row r="16" ht="44" customHeight="1">
      <c r="B16" s="4" t="inlineStr">
        <is>
          <t>22/10/2026</t>
        </is>
      </c>
      <c r="C16" s="5" t="inlineStr">
        <is>
          <t>El microservicio de integraciones no autenticaba a quien lo llamaba</t>
        </is>
      </c>
      <c r="D16" s="5" t="inlineStr">
        <is>
          <t>Fernando Istaña</t>
        </is>
      </c>
      <c r="E16" s="5" t="inlineStr">
        <is>
          <t>Developer (integraciones)</t>
        </is>
      </c>
      <c r="F16" s="5" t="inlineStr">
        <is>
          <t>integraciones/main.py</t>
        </is>
      </c>
      <c r="G16" s="5" t="inlineStr">
        <is>
          <t>Token de servicio X-Servicio-Token obligatorio cuando se configura</t>
        </is>
      </c>
      <c r="H16" s="5" t="inlineStr">
        <is>
          <t>Revisión del avance de Adiel, 22/10</t>
        </is>
      </c>
    </row>
    <row r="17" ht="44" customHeight="1">
      <c r="B17" s="4" t="inlineStr">
        <is>
          <t>22/10/2026</t>
        </is>
      </c>
      <c r="C17" s="5" t="inlineStr">
        <is>
          <t>Sin Docker en el equipo de desarrollo: docker compose sin construir ni desplegar</t>
        </is>
      </c>
      <c r="D17" s="5" t="inlineStr">
        <is>
          <t>Víctor Adiel Luján</t>
        </is>
      </c>
      <c r="E17" s="5" t="inlineStr">
        <is>
          <t>Product Owner / backend</t>
        </is>
      </c>
      <c r="F17" s="5" t="inlineStr">
        <is>
          <t>docker-compose.yml</t>
        </is>
      </c>
      <c r="G17" s="5" t="inlineStr">
        <is>
          <t>Fernando asume el despliegue del ambiente de pruebas (T-233)</t>
        </is>
      </c>
      <c r="H17" s="5" t="inlineStr">
        <is>
          <t>Avance de Adiel, 22/10</t>
        </is>
      </c>
    </row>
    <row r="18" ht="44" customHeight="1">
      <c r="B18" s="4" t="inlineStr">
        <is>
          <t>22/10/2026</t>
        </is>
      </c>
      <c r="C18" s="5" t="inlineStr">
        <is>
          <t>uvicorn no se encontraba en el PATH de Windows al levantar el microservicio</t>
        </is>
      </c>
      <c r="D18" s="5" t="inlineStr">
        <is>
          <t>Fernando Istaña</t>
        </is>
      </c>
      <c r="E18" s="5" t="inlineStr">
        <is>
          <t>Developer (integraciones)</t>
        </is>
      </c>
      <c r="F18" s="5" t="inlineStr">
        <is>
          <t>integraciones/</t>
        </is>
      </c>
      <c r="G18" s="5" t="inlineStr">
        <is>
          <t>Se levanta con «py -m uvicorn main:app --port 8001 --env-file .env»</t>
        </is>
      </c>
      <c r="H18" s="5" t="inlineStr">
        <is>
          <t>integraciones/LEEME.md</t>
        </is>
      </c>
    </row>
    <row r="19" ht="44" customHeight="1">
      <c r="B19" s="4" t="inlineStr">
        <is>
          <t>22/10/2026</t>
        </is>
      </c>
      <c r="C19" s="5" t="inlineStr">
        <is>
          <t>Aviso de seguridad: certificados de una autoridad comprometida en certifi</t>
        </is>
      </c>
      <c r="D19" s="5" t="inlineStr">
        <is>
          <t>Fernando Istaña</t>
        </is>
      </c>
      <c r="E19" s="5" t="inlineStr">
        <is>
          <t>Developer (integraciones)</t>
        </is>
      </c>
      <c r="F19" s="5" t="inlineStr">
        <is>
          <t>integraciones/requirements.txt</t>
        </is>
      </c>
      <c r="G19" s="5" t="inlineStr">
        <is>
          <t>Se exige certifi&gt;=2026.10.19</t>
        </is>
      </c>
      <c r="H19" s="5" t="inlineStr">
        <is>
          <t>Aviso de seguridad de octubre de 2026</t>
        </is>
      </c>
    </row>
    <row r="20" ht="44" customHeight="1">
      <c r="B20" s="4" t="inlineStr">
        <is>
          <t>22/10/2026</t>
        </is>
      </c>
      <c r="C20" s="5" t="inlineStr">
        <is>
          <t>El conteo de proveedores inválidos no coincidía (12 en un documento, 14 en otro)</t>
        </is>
      </c>
      <c r="D20" s="5" t="inlineStr">
        <is>
          <t>Víctor Adiel Luján</t>
        </is>
      </c>
      <c r="E20" s="5" t="inlineStr">
        <is>
          <t>Product Owner / backend</t>
        </is>
      </c>
      <c r="F20" s="5" t="inlineStr">
        <is>
          <t>api/semillas</t>
        </is>
      </c>
      <c r="G20" s="5" t="inlineStr">
        <is>
          <t>Criterio único por dígito verificador: 612 RUC, 7 DNI y 7 imposibles</t>
        </is>
      </c>
      <c r="H20" s="5" t="inlineStr">
        <is>
          <t>Auditoría de coherencia, 22/10</t>
        </is>
      </c>
    </row>
    <row r="21" ht="44" customHeight="1">
      <c r="B21" s="4" t="inlineStr">
        <is>
          <t>22/10/2026</t>
        </is>
      </c>
      <c r="C21" s="5" t="inlineStr">
        <is>
          <t>Siete errores en los diagramas (HU mal rotuladas, IGV dentro del costo)</t>
        </is>
      </c>
      <c r="D21" s="5" t="inlineStr">
        <is>
          <t>Fernando Istaña</t>
        </is>
      </c>
      <c r="E21" s="5" t="inlineStr">
        <is>
          <t>Scrum Master</t>
        </is>
      </c>
      <c r="F21" s="5" t="inlineStr">
        <is>
          <t>Diagramas de casos de uso y secuencia</t>
        </is>
      </c>
      <c r="G21" s="5" t="inlineStr">
        <is>
          <t>Corregidos y republicados; el IGV de factura no es costo (NIC 2)</t>
        </is>
      </c>
      <c r="H21" s="5" t="inlineStr">
        <is>
          <t>Auditoría de coherencia, 22/10</t>
        </is>
      </c>
    </row>
    <row r="22" ht="44" customHeight="1">
      <c r="B22" s="4" t="inlineStr">
        <is>
          <t>22/10/2026</t>
        </is>
      </c>
      <c r="C22" s="5" t="inlineStr">
        <is>
          <t>Retroalimentación: la DoD debía escribirse como condición final y a la DoR le faltaban recursos, requisitos técnicos y red</t>
        </is>
      </c>
      <c r="D22" s="5" t="inlineStr">
        <is>
          <t>Omar Loaiza</t>
        </is>
      </c>
      <c r="E22" s="5" t="inlineStr">
        <is>
          <t>Docente</t>
        </is>
      </c>
      <c r="F22" s="5" t="inlineStr">
        <is>
          <t>Tarjetas DoR y DoD</t>
        </is>
      </c>
      <c r="G22" s="5" t="inlineStr">
        <is>
          <t>Condiciones finales reescritas en las 67 HU y criterios L10 a L12 agregados</t>
        </is>
      </c>
      <c r="H22" s="5" t="inlineStr">
        <is>
          <t>Revisión en clase, 22/10</t>
        </is>
      </c>
    </row>
    <row r="23" ht="44" customHeight="1">
      <c r="B23" s="4" t="inlineStr">
        <is>
          <t>22/10/2026</t>
        </is>
      </c>
      <c r="C23" s="5" t="inlineStr">
        <is>
          <t>Sobrecompromiso: 153 puntos frente a una capacidad de 40 a 48 por sprint</t>
        </is>
      </c>
      <c r="D23" s="5" t="inlineStr">
        <is>
          <t>Equipo Scrum</t>
        </is>
      </c>
      <c r="E23" s="5" t="inlineStr">
        <is>
          <t>Scrum Team</t>
        </is>
      </c>
      <c r="F23" s="5" t="inlineStr">
        <is>
          <t>Sprint Backlog</t>
        </is>
      </c>
      <c r="G23" s="5" t="inlineStr">
        <is>
          <t>Recortar el alcance con el Product Owner manteniendo el objetivo y medir la velocidad real en la Review</t>
        </is>
      </c>
      <c r="H23" s="5" t="inlineStr">
        <is>
          <t>Tablero del Sprint 1</t>
        </is>
      </c>
    </row>
    <row r="24" ht="44" customHeight="1">
      <c r="B24" s="4" t="inlineStr">
        <is>
          <t>22/10/2026</t>
        </is>
      </c>
      <c r="C24" s="5" t="inlineStr">
        <is>
          <t>Cambio de reparto: Henry pasa a la web y Adiel toma todo el backend</t>
        </is>
      </c>
      <c r="D24" s="5" t="inlineStr">
        <is>
          <t>Henry Ticona</t>
        </is>
      </c>
      <c r="E24" s="5" t="inlineStr">
        <is>
          <t>Developer</t>
        </is>
      </c>
      <c r="F24" s="5" t="inlineStr">
        <is>
          <t>equipo/henry.md y CLAUDE.md</t>
        </is>
      </c>
      <c r="G24" s="5" t="inlineStr">
        <is>
          <t>Guía de arranque de Henry y tablero con responsables actualizados</t>
        </is>
      </c>
      <c r="H24" s="5" t="inlineStr">
        <is>
          <t>Rama scrum-tablero-sprint-1</t>
        </is>
      </c>
    </row>
    <row r="25">
      <c r="B25" s="6" t="n"/>
      <c r="C25" s="6" t="n"/>
      <c r="D25" s="6" t="n"/>
      <c r="E25" s="6" t="n"/>
      <c r="F25" s="6" t="n"/>
      <c r="G25" s="6" t="n"/>
      <c r="H25" s="6" t="n"/>
    </row>
    <row r="26">
      <c r="B26" s="6" t="n"/>
      <c r="C26" s="6" t="n"/>
      <c r="D26" s="6" t="n"/>
      <c r="E26" s="6" t="n"/>
      <c r="F26" s="6" t="n"/>
      <c r="G26" s="6" t="n"/>
      <c r="H26" s="6" t="n"/>
    </row>
    <row r="27">
      <c r="B27" s="6" t="n"/>
      <c r="C27" s="6" t="n"/>
      <c r="D27" s="6" t="n"/>
      <c r="E27" s="6" t="n"/>
      <c r="F27" s="6" t="n"/>
      <c r="G27" s="6" t="n"/>
      <c r="H27" s="6" t="n"/>
    </row>
    <row r="28">
      <c r="B28" s="6" t="n"/>
      <c r="C28" s="6" t="n"/>
      <c r="D28" s="6" t="n"/>
      <c r="E28" s="6" t="n"/>
      <c r="F28" s="6" t="n"/>
      <c r="G28" s="6" t="n"/>
      <c r="H28" s="6" t="n"/>
    </row>
    <row r="29">
      <c r="B29" s="6" t="n"/>
      <c r="C29" s="6" t="n"/>
      <c r="D29" s="6" t="n"/>
      <c r="E29" s="6" t="n"/>
      <c r="F29" s="6" t="n"/>
      <c r="G29" s="6" t="n"/>
      <c r="H29" s="6" t="n"/>
    </row>
    <row r="30">
      <c r="B30" s="6" t="n"/>
      <c r="C30" s="6" t="n"/>
      <c r="D30" s="6" t="n"/>
      <c r="E30" s="6" t="n"/>
      <c r="F30" s="6" t="n"/>
      <c r="G30" s="6" t="n"/>
      <c r="H30" s="6" t="n"/>
    </row>
  </sheetData>
  <mergeCells count="5">
    <mergeCell ref="C2:E2"/>
    <mergeCell ref="C5:E5"/>
    <mergeCell ref="C4:E4"/>
    <mergeCell ref="C3:E3"/>
    <mergeCell ref="C6:E6"/>
  </mergeCells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3:H42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20" customWidth="1" min="4" max="4"/>
    <col width="20" customWidth="1" min="5" max="5"/>
    <col width="8" customWidth="1" min="6" max="6"/>
    <col width="62" customWidth="1" min="7" max="7"/>
    <col width="26" customWidth="1" min="8" max="8"/>
  </cols>
  <sheetData>
    <row r="3" ht="16" customHeight="1">
      <c r="B3" s="1" t="inlineStr">
        <is>
          <t>Nombre del proyecto</t>
        </is>
      </c>
      <c r="C3" s="2" t="inlineStr">
        <is>
          <t>SIGRO · Sistema de Gestión de Recursos de Obra</t>
        </is>
      </c>
    </row>
    <row r="4" ht="16" customHeight="1">
      <c r="B4" s="1" t="inlineStr">
        <is>
          <t>Organización</t>
        </is>
      </c>
      <c r="C4" s="2" t="inlineStr">
        <is>
          <t>SEVENS INGENIEROS SAC (RUC 20606456892)</t>
        </is>
      </c>
    </row>
    <row r="5" ht="30" customHeight="1">
      <c r="B5" s="1" t="inlineStr">
        <is>
          <t>Solución</t>
        </is>
      </c>
      <c r="C5" s="2" t="inlineStr">
        <is>
          <t>Web de oficina (React), app Android del almacenero que registra sin señal, API FastAPI + PostgreSQL y microservicios de Integraciones (S10, SUNAT, RENIEC) y Notificaciones</t>
        </is>
      </c>
    </row>
    <row r="6" ht="30" customHeight="1">
      <c r="B6" s="1" t="inlineStr">
        <is>
          <t>Objetivo del proyecto</t>
        </is>
      </c>
      <c r="C6" s="2" t="inlineStr">
        <is>
          <t>Mejorar el control operativo de los recursos de obra —materiales, herramientas y horas hombre— de SEVENS INGENIEROS SAC, para reducir las interrupciones de obra por falta de material y el capital inmovilizado en material que sobra</t>
        </is>
      </c>
    </row>
    <row r="7" ht="32" customHeight="1">
      <c r="B7" s="1" t="inlineStr">
        <is>
          <t>|No. sprint</t>
        </is>
      </c>
      <c r="C7" s="7" t="n">
        <v>1</v>
      </c>
      <c r="D7" s="1" t="inlineStr">
        <is>
          <t>Objetivo del Sprint</t>
        </is>
      </c>
      <c r="E7" s="2" t="inlineStr">
        <is>
          <t>El objetivo del primer sprint es poder controlar los recursos de la obra: desde lo que pide el S10 hasta lo que se compra, se consume y cuesta.</t>
        </is>
      </c>
    </row>
    <row r="9">
      <c r="B9" s="3" t="inlineStr">
        <is>
          <t>Día del proyecto</t>
        </is>
      </c>
      <c r="C9" s="3" t="inlineStr">
        <is>
          <t>Fecha</t>
        </is>
      </c>
      <c r="D9" s="3" t="inlineStr">
        <is>
          <t>Colaborador</t>
        </is>
      </c>
      <c r="E9" s="3" t="inlineStr">
        <is>
          <t>Rol</t>
        </is>
      </c>
      <c r="F9" s="3" t="inlineStr">
        <is>
          <t>Hora</t>
        </is>
      </c>
      <c r="G9" s="3" t="inlineStr">
        <is>
          <t>Descripción de la actividad</t>
        </is>
      </c>
      <c r="H9" s="3" t="inlineStr">
        <is>
          <t>Tarea</t>
        </is>
      </c>
    </row>
    <row r="10" ht="38" customHeight="1">
      <c r="B10" s="4" t="inlineStr">
        <is>
          <t>Día 1</t>
        </is>
      </c>
      <c r="C10" s="4" t="inlineStr">
        <is>
          <t>15/10/2026</t>
        </is>
      </c>
      <c r="D10" s="5" t="inlineStr">
        <is>
          <t>Equipo Scrum</t>
        </is>
      </c>
      <c r="E10" s="5" t="inlineStr">
        <is>
          <t>Scrum Team</t>
        </is>
      </c>
      <c r="F10" s="4" t="inlineStr"/>
      <c r="G10" s="5" t="inlineStr">
        <is>
          <t>Sprint Planning: objetivo del Sprint 1 y selección de 29 historias</t>
        </is>
      </c>
      <c r="H10" s="5" t="inlineStr">
        <is>
          <t>Sprint Backlog</t>
        </is>
      </c>
    </row>
    <row r="11" ht="38" customHeight="1">
      <c r="B11" s="4" t="inlineStr">
        <is>
          <t>Día 2</t>
        </is>
      </c>
      <c r="C11" s="4" t="inlineStr">
        <is>
          <t>16/10/2026</t>
        </is>
      </c>
      <c r="D11" s="5" t="inlineStr">
        <is>
          <t>Fernando Istaña</t>
        </is>
      </c>
      <c r="E11" s="5" t="inlineStr">
        <is>
          <t>Scrum Master</t>
        </is>
      </c>
      <c r="F11" s="4" t="inlineStr"/>
      <c r="G11" s="5" t="inlineStr">
        <is>
          <t>Incorporar la mano de obra al Product Backlog (épica E7)</t>
        </is>
      </c>
      <c r="H11" s="5" t="inlineStr">
        <is>
          <t>HU-62 a HU-65</t>
        </is>
      </c>
    </row>
    <row r="12" ht="38" customHeight="1">
      <c r="B12" s="4" t="inlineStr">
        <is>
          <t>Día 7</t>
        </is>
      </c>
      <c r="C12" s="4" t="inlineStr">
        <is>
          <t>21/10/2026</t>
        </is>
      </c>
      <c r="D12" s="5" t="inlineStr">
        <is>
          <t>Equipo Scrum</t>
        </is>
      </c>
      <c r="E12" s="5" t="inlineStr">
        <is>
          <t>Scrum Team</t>
        </is>
      </c>
      <c r="F12" s="4" t="inlineStr"/>
      <c r="G12" s="5" t="inlineStr">
        <is>
          <t>Planning Poker: estimación de las historias con el voto de los cuatro integrantes</t>
        </is>
      </c>
      <c r="H12" s="5" t="inlineStr">
        <is>
          <t>Puntuación de las HU</t>
        </is>
      </c>
    </row>
    <row r="13" ht="38" customHeight="1">
      <c r="B13" s="4" t="inlineStr">
        <is>
          <t>Día 7</t>
        </is>
      </c>
      <c r="C13" s="4" t="inlineStr">
        <is>
          <t>21/10/2026</t>
        </is>
      </c>
      <c r="D13" s="5" t="inlineStr">
        <is>
          <t>Fernando Istaña</t>
        </is>
      </c>
      <c r="E13" s="5" t="inlineStr">
        <is>
          <t>Scrum Master / Developer</t>
        </is>
      </c>
      <c r="F13" s="4" t="inlineStr"/>
      <c r="G13" s="5" t="inlineStr">
        <is>
          <t>Recibir los reportes del S10 y extraer el análisis de precios unitarios (6 902 filas, 1 217 partidas)</t>
        </is>
      </c>
      <c r="H13" s="5" t="inlineStr">
        <is>
          <t>T-069</t>
        </is>
      </c>
    </row>
    <row r="14" ht="38" customHeight="1">
      <c r="B14" s="4" t="inlineStr">
        <is>
          <t>Día 7</t>
        </is>
      </c>
      <c r="C14" s="4" t="inlineStr">
        <is>
          <t>21/10/2026</t>
        </is>
      </c>
      <c r="D14" s="5" t="inlineStr">
        <is>
          <t>Nicolás Pachamora</t>
        </is>
      </c>
      <c r="E14" s="5" t="inlineStr">
        <is>
          <t>Developer</t>
        </is>
      </c>
      <c r="F14" s="4" t="inlineStr"/>
      <c r="G14" s="5" t="inlineStr">
        <is>
          <t>Diagramas de actividades del negocio (A1 a A4) y de estados (E1 a E3)</t>
        </is>
      </c>
      <c r="H14" s="5" t="inlineStr">
        <is>
          <t>T-259</t>
        </is>
      </c>
    </row>
    <row r="15" ht="38" customHeight="1">
      <c r="B15" s="4" t="inlineStr">
        <is>
          <t>Día 7</t>
        </is>
      </c>
      <c r="C15" s="4" t="inlineStr">
        <is>
          <t>21/10/2026</t>
        </is>
      </c>
      <c r="D15" s="5" t="inlineStr">
        <is>
          <t>Fernando Istaña</t>
        </is>
      </c>
      <c r="E15" s="5" t="inlineStr">
        <is>
          <t>Scrum Master</t>
        </is>
      </c>
      <c r="F15" s="4" t="inlineStr">
        <is>
          <t>19:02</t>
        </is>
      </c>
      <c r="G15" s="5" t="inlineStr">
        <is>
          <t>Subir al repositorio el contexto del proyecto, las historias del Sprint 1 y 2 y las reglas de dominio (commit)</t>
        </is>
      </c>
      <c r="H15" s="5" t="inlineStr">
        <is>
          <t>CLAUDE.md, docs/</t>
        </is>
      </c>
    </row>
    <row r="16" ht="38" customHeight="1">
      <c r="B16" s="4" t="inlineStr">
        <is>
          <t>Día 7</t>
        </is>
      </c>
      <c r="C16" s="4" t="inlineStr">
        <is>
          <t>21/10/2026</t>
        </is>
      </c>
      <c r="D16" s="5" t="inlineStr">
        <is>
          <t>Fernando Istaña</t>
        </is>
      </c>
      <c r="E16" s="5" t="inlineStr">
        <is>
          <t>Scrum Master</t>
        </is>
      </c>
      <c r="F16" s="4" t="inlineStr">
        <is>
          <t>20:33</t>
        </is>
      </c>
      <c r="G16" s="5" t="inlineStr">
        <is>
          <t>Subir las pantallas del Sprint 1, la estimación del equipo y los entregables (commit)</t>
        </is>
      </c>
      <c r="H16" s="5" t="inlineStr">
        <is>
          <t>Diseño UI</t>
        </is>
      </c>
    </row>
    <row r="17" ht="38" customHeight="1">
      <c r="B17" s="4" t="inlineStr">
        <is>
          <t>Día 8</t>
        </is>
      </c>
      <c r="C17" s="4" t="inlineStr">
        <is>
          <t>22/10/2026</t>
        </is>
      </c>
      <c r="D17" s="5" t="inlineStr">
        <is>
          <t>Fernando Istaña</t>
        </is>
      </c>
      <c r="E17" s="5" t="inlineStr">
        <is>
          <t>Developer (web e integraciones)</t>
        </is>
      </c>
      <c r="F17" s="4" t="inlineStr">
        <is>
          <t>09:30</t>
        </is>
      </c>
      <c r="G17" s="5" t="inlineStr">
        <is>
          <t>Web de oficina (pantallas e importador del S10), microservicio de integraciones (RUC, DNI, S10: 284 insumos, 0 fallidos), semillas reales del cliente y documentos Scrum (commit)</t>
        </is>
      </c>
      <c r="H17" s="5" t="inlineStr">
        <is>
          <t>T-023</t>
        </is>
      </c>
    </row>
    <row r="18" ht="38" customHeight="1">
      <c r="B18" s="4" t="inlineStr">
        <is>
          <t>Día 8</t>
        </is>
      </c>
      <c r="C18" s="4" t="inlineStr">
        <is>
          <t>22/10/2026</t>
        </is>
      </c>
      <c r="D18" s="5" t="inlineStr">
        <is>
          <t>Víctor Adiel Luján</t>
        </is>
      </c>
      <c r="E18" s="5" t="inlineStr">
        <is>
          <t>Product Owner / backend</t>
        </is>
      </c>
      <c r="F18" s="4" t="inlineStr">
        <is>
          <t>10:21</t>
        </is>
      </c>
      <c r="G18" s="5" t="inlineStr">
        <is>
          <t>API de obra, compras y tareo (629 pruebas) y microservicio de Notificaciones con outbox; PR #1 fusionado</t>
        </is>
      </c>
      <c r="H18" s="5" t="inlineStr">
        <is>
          <t>HU-01, 12–15, 29, 30, 32, 62, 63</t>
        </is>
      </c>
    </row>
    <row r="19" ht="38" customHeight="1">
      <c r="B19" s="4" t="inlineStr">
        <is>
          <t>Día 8</t>
        </is>
      </c>
      <c r="C19" s="4" t="inlineStr">
        <is>
          <t>22/10/2026</t>
        </is>
      </c>
      <c r="D19" s="5" t="inlineStr">
        <is>
          <t>Víctor Adiel Luján</t>
        </is>
      </c>
      <c r="E19" s="5" t="inlineStr">
        <is>
          <t>Product Owner / backend</t>
        </is>
      </c>
      <c r="F19" s="4" t="inlineStr">
        <is>
          <t>10:35</t>
        </is>
      </c>
      <c r="G19" s="5" t="inlineStr">
        <is>
          <t>Diagramas físico (con outbox), entidad-relación y esquema de microservicios (commit)</t>
        </is>
      </c>
      <c r="H19" s="5" t="inlineStr">
        <is>
          <t>Base de datos</t>
        </is>
      </c>
    </row>
    <row r="20" ht="38" customHeight="1">
      <c r="B20" s="4" t="inlineStr">
        <is>
          <t>Día 8</t>
        </is>
      </c>
      <c r="C20" s="4" t="inlineStr">
        <is>
          <t>22/10/2026</t>
        </is>
      </c>
      <c r="D20" s="5" t="inlineStr">
        <is>
          <t>Víctor Adiel Luján</t>
        </is>
      </c>
      <c r="E20" s="5" t="inlineStr">
        <is>
          <t>Product Owner / backend</t>
        </is>
      </c>
      <c r="F20" s="4" t="inlineStr">
        <is>
          <t>12:07</t>
        </is>
      </c>
      <c r="G20" s="5" t="inlineStr">
        <is>
          <t>Proveedor nuevo con RUC o DNI (decisión D-C5) y decisiones de la API ratificadas (commit)</t>
        </is>
      </c>
      <c r="H20" s="5" t="inlineStr">
        <is>
          <t>HU-30</t>
        </is>
      </c>
    </row>
    <row r="21" ht="38" customHeight="1">
      <c r="B21" s="4" t="inlineStr">
        <is>
          <t>Día 8</t>
        </is>
      </c>
      <c r="C21" s="4" t="inlineStr">
        <is>
          <t>22/10/2026</t>
        </is>
      </c>
      <c r="D21" s="5" t="inlineStr">
        <is>
          <t>Víctor Adiel Luján</t>
        </is>
      </c>
      <c r="E21" s="5" t="inlineStr">
        <is>
          <t>Product Owner / backend</t>
        </is>
      </c>
      <c r="F21" s="4" t="inlineStr">
        <is>
          <t>15:07</t>
        </is>
      </c>
      <c r="G21" s="5" t="inlineStr">
        <is>
          <t>Diagramas en draw.io editable; PR #2 fusionado a main</t>
        </is>
      </c>
      <c r="H21" s="5" t="inlineStr">
        <is>
          <t>Base de datos</t>
        </is>
      </c>
    </row>
    <row r="22" ht="38" customHeight="1">
      <c r="B22" s="4" t="inlineStr">
        <is>
          <t>Día 8</t>
        </is>
      </c>
      <c r="C22" s="4" t="inlineStr">
        <is>
          <t>22/10/2026</t>
        </is>
      </c>
      <c r="D22" s="5" t="inlineStr">
        <is>
          <t>Equipo Scrum</t>
        </is>
      </c>
      <c r="E22" s="5" t="inlineStr">
        <is>
          <t>Scrum Team</t>
        </is>
      </c>
      <c r="F22" s="4" t="inlineStr"/>
      <c r="G22" s="5" t="inlineStr">
        <is>
          <t>Presentación al docente: puntuación de las HU, objetivo del sprint y tarjetas DoR y DoD; se recibe su retroalimentación</t>
        </is>
      </c>
      <c r="H22" s="5" t="inlineStr">
        <is>
          <t>Product Backlog y Sprint Backlog</t>
        </is>
      </c>
    </row>
    <row r="23" ht="38" customHeight="1">
      <c r="B23" s="4" t="inlineStr">
        <is>
          <t>Día 8</t>
        </is>
      </c>
      <c r="C23" s="4" t="inlineStr">
        <is>
          <t>22/10/2026</t>
        </is>
      </c>
      <c r="D23" s="5" t="inlineStr">
        <is>
          <t>Fernando Istaña</t>
        </is>
      </c>
      <c r="E23" s="5" t="inlineStr">
        <is>
          <t>Scrum Master</t>
        </is>
      </c>
      <c r="F23" s="4" t="inlineStr"/>
      <c r="G23" s="5" t="inlineStr">
        <is>
          <t>Auditoría de coherencia y SWEBOK; corrección de 7 errores en los diagramas</t>
        </is>
      </c>
      <c r="H23" s="5" t="inlineStr">
        <is>
          <t>Modelado UML</t>
        </is>
      </c>
    </row>
    <row r="24" ht="38" customHeight="1">
      <c r="B24" s="4" t="inlineStr">
        <is>
          <t>Día 8</t>
        </is>
      </c>
      <c r="C24" s="4" t="inlineStr">
        <is>
          <t>22/10/2026</t>
        </is>
      </c>
      <c r="D24" s="5" t="inlineStr">
        <is>
          <t>Fernando Istaña</t>
        </is>
      </c>
      <c r="E24" s="5" t="inlineStr">
        <is>
          <t>Scrum Master</t>
        </is>
      </c>
      <c r="F24" s="4" t="inlineStr">
        <is>
          <t>22:08</t>
        </is>
      </c>
      <c r="G24" s="5" t="inlineStr">
        <is>
          <t>Tablero Scrum con las tareas por HU y guía de arranque de Henry en la web (commit en la rama scrum-tablero-sprint-1)</t>
        </is>
      </c>
      <c r="H24" s="5" t="inlineStr">
        <is>
          <t>T-253</t>
        </is>
      </c>
    </row>
    <row r="25" ht="38" customHeight="1">
      <c r="B25" s="4" t="inlineStr">
        <is>
          <t>Día 8</t>
        </is>
      </c>
      <c r="C25" s="4" t="inlineStr">
        <is>
          <t>22/10/2026</t>
        </is>
      </c>
      <c r="D25" s="5" t="inlineStr">
        <is>
          <t>Fernando Istaña</t>
        </is>
      </c>
      <c r="E25" s="5" t="inlineStr">
        <is>
          <t>Scrum Master</t>
        </is>
      </c>
      <c r="F25" s="4" t="inlineStr">
        <is>
          <t>22:30</t>
        </is>
      </c>
      <c r="G25" s="5" t="inlineStr">
        <is>
          <t>Tareas con el modelo del docente, registro de incidencias, bitácora e historias técnicas HT-01 a HT-08 (commit)</t>
        </is>
      </c>
      <c r="H25" s="5" t="inlineStr">
        <is>
          <t>T-253</t>
        </is>
      </c>
    </row>
    <row r="26">
      <c r="B26" s="6" t="n"/>
      <c r="C26" s="6" t="n"/>
      <c r="D26" s="6" t="n"/>
      <c r="E26" s="6" t="n"/>
      <c r="F26" s="6" t="n"/>
      <c r="G26" s="6" t="n"/>
      <c r="H26" s="6" t="n"/>
    </row>
    <row r="27">
      <c r="B27" s="6" t="n"/>
      <c r="C27" s="6" t="n"/>
      <c r="D27" s="6" t="n"/>
      <c r="E27" s="6" t="n"/>
      <c r="F27" s="6" t="n"/>
      <c r="G27" s="6" t="n"/>
      <c r="H27" s="6" t="n"/>
    </row>
    <row r="28">
      <c r="B28" s="6" t="n"/>
      <c r="C28" s="6" t="n"/>
      <c r="D28" s="6" t="n"/>
      <c r="E28" s="6" t="n"/>
      <c r="F28" s="6" t="n"/>
      <c r="G28" s="6" t="n"/>
      <c r="H28" s="6" t="n"/>
    </row>
    <row r="29">
      <c r="B29" s="6" t="n"/>
      <c r="C29" s="6" t="n"/>
      <c r="D29" s="6" t="n"/>
      <c r="E29" s="6" t="n"/>
      <c r="F29" s="6" t="n"/>
      <c r="G29" s="6" t="n"/>
      <c r="H29" s="6" t="n"/>
    </row>
    <row r="30">
      <c r="B30" s="6" t="n"/>
      <c r="C30" s="6" t="n"/>
      <c r="D30" s="6" t="n"/>
      <c r="E30" s="6" t="n"/>
      <c r="F30" s="6" t="n"/>
      <c r="G30" s="6" t="n"/>
      <c r="H30" s="6" t="n"/>
    </row>
    <row r="31">
      <c r="B31" s="6" t="n"/>
      <c r="C31" s="6" t="n"/>
      <c r="D31" s="6" t="n"/>
      <c r="E31" s="6" t="n"/>
      <c r="F31" s="6" t="n"/>
      <c r="G31" s="6" t="n"/>
      <c r="H31" s="6" t="n"/>
    </row>
    <row r="32">
      <c r="B32" s="6" t="n"/>
      <c r="C32" s="6" t="n"/>
      <c r="D32" s="6" t="n"/>
      <c r="E32" s="6" t="n"/>
      <c r="F32" s="6" t="n"/>
      <c r="G32" s="6" t="n"/>
      <c r="H32" s="6" t="n"/>
    </row>
    <row r="33">
      <c r="B33" s="6" t="n"/>
      <c r="C33" s="6" t="n"/>
      <c r="D33" s="6" t="n"/>
      <c r="E33" s="6" t="n"/>
      <c r="F33" s="6" t="n"/>
      <c r="G33" s="6" t="n"/>
      <c r="H33" s="6" t="n"/>
    </row>
    <row r="34">
      <c r="B34" s="6" t="n"/>
      <c r="C34" s="6" t="n"/>
      <c r="D34" s="6" t="n"/>
      <c r="E34" s="6" t="n"/>
      <c r="F34" s="6" t="n"/>
      <c r="G34" s="6" t="n"/>
      <c r="H34" s="6" t="n"/>
    </row>
    <row r="35">
      <c r="B35" s="6" t="n"/>
      <c r="C35" s="6" t="n"/>
      <c r="D35" s="6" t="n"/>
      <c r="E35" s="6" t="n"/>
      <c r="F35" s="6" t="n"/>
      <c r="G35" s="6" t="n"/>
      <c r="H35" s="6" t="n"/>
    </row>
    <row r="36">
      <c r="B36" s="6" t="n"/>
      <c r="C36" s="6" t="n"/>
      <c r="D36" s="6" t="n"/>
      <c r="E36" s="6" t="n"/>
      <c r="F36" s="6" t="n"/>
      <c r="G36" s="6" t="n"/>
      <c r="H36" s="6" t="n"/>
    </row>
    <row r="37">
      <c r="B37" s="6" t="n"/>
      <c r="C37" s="6" t="n"/>
      <c r="D37" s="6" t="n"/>
      <c r="E37" s="6" t="n"/>
      <c r="F37" s="6" t="n"/>
      <c r="G37" s="6" t="n"/>
      <c r="H37" s="6" t="n"/>
    </row>
    <row r="38">
      <c r="B38" s="6" t="n"/>
      <c r="C38" s="6" t="n"/>
      <c r="D38" s="6" t="n"/>
      <c r="E38" s="6" t="n"/>
      <c r="F38" s="6" t="n"/>
      <c r="G38" s="6" t="n"/>
      <c r="H38" s="6" t="n"/>
    </row>
    <row r="39">
      <c r="B39" s="6" t="n"/>
      <c r="C39" s="6" t="n"/>
      <c r="D39" s="6" t="n"/>
      <c r="E39" s="6" t="n"/>
      <c r="F39" s="6" t="n"/>
      <c r="G39" s="6" t="n"/>
      <c r="H39" s="6" t="n"/>
    </row>
    <row r="40">
      <c r="B40" s="6" t="n"/>
      <c r="C40" s="6" t="n"/>
      <c r="D40" s="6" t="n"/>
      <c r="E40" s="6" t="n"/>
      <c r="F40" s="6" t="n"/>
      <c r="G40" s="6" t="n"/>
      <c r="H40" s="6" t="n"/>
    </row>
    <row r="42">
      <c r="B42" s="8" t="inlineStr">
        <is>
          <t>Horas tomadas de los commits del repositorio; donde está vacía la completa el colaborador. Del 23/10 en adelante, una fila por actividad: fecha · hora · colaborador · qué hizo · T-xxx.</t>
        </is>
      </c>
    </row>
  </sheetData>
  <mergeCells count="5">
    <mergeCell ref="C6:H6"/>
    <mergeCell ref="C5:H5"/>
    <mergeCell ref="E7:H7"/>
    <mergeCell ref="C4:H4"/>
    <mergeCell ref="C3:H3"/>
  </mergeCells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U26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7" customWidth="1" min="3" max="3"/>
    <col width="18" customWidth="1" min="4" max="4"/>
    <col width="12" customWidth="1" min="5" max="5"/>
    <col width="48" customWidth="1" min="6" max="6"/>
    <col width="10" customWidth="1" min="7" max="7"/>
    <col width="6" customWidth="1" min="8" max="8"/>
    <col width="7" customWidth="1" min="9" max="9"/>
    <col width="14" customWidth="1" min="10" max="10"/>
    <col width="8" customWidth="1" min="11" max="11"/>
    <col width="8" customWidth="1" min="12" max="12"/>
    <col width="10" customWidth="1" min="13" max="13"/>
    <col width="30" customWidth="1" min="14" max="14"/>
    <col width="9" customWidth="1" min="15" max="15"/>
    <col width="10" customWidth="1" min="16" max="16"/>
    <col width="22" customWidth="1" min="17" max="17"/>
    <col width="18" customWidth="1" min="18" max="18"/>
    <col hidden="1" width="13" customWidth="1" min="19" max="19"/>
    <col hidden="1" width="13" customWidth="1" min="20" max="20"/>
    <col hidden="1" width="13" customWidth="1" min="21" max="21"/>
  </cols>
  <sheetData>
    <row r="2">
      <c r="B2" s="9" t="inlineStr">
        <is>
          <t>Registro de tareas · Sprint 1 · To Do → Doing → Done</t>
        </is>
      </c>
    </row>
    <row r="3" ht="30" customHeight="1">
      <c r="B3" s="10" t="inlineStr">
        <is>
          <t>Al mover una tarjeta se anota la fecha y se confirma el criterio. To Do → Doing: la HU cumple la DoR (L1–L12). Doing → Done: se cumple el criterio de la tarea; la HU queda Done solo cuando su «Aceptación» cumple la DoD (T1–T10 + condiciones finales). Máximo 2 tareas en Doing por persona. Lunes 27/10: todo en Done.</t>
        </is>
      </c>
    </row>
    <row r="5" ht="32" customHeight="1">
      <c r="B5" s="11" t="inlineStr">
        <is>
          <t>ID</t>
        </is>
      </c>
      <c r="C5" s="11" t="inlineStr">
        <is>
          <t>HU</t>
        </is>
      </c>
      <c r="D5" s="11" t="inlineStr">
        <is>
          <t>Historia</t>
        </is>
      </c>
      <c r="E5" s="11" t="inlineStr">
        <is>
          <t>Fase</t>
        </is>
      </c>
      <c r="F5" s="11" t="inlineStr">
        <is>
          <t>Tarea</t>
        </is>
      </c>
      <c r="G5" s="11" t="inlineStr">
        <is>
          <t>Responsable</t>
        </is>
      </c>
      <c r="H5" s="11" t="inlineStr">
        <is>
          <t>Horas</t>
        </is>
      </c>
      <c r="I5" s="11" t="inlineStr">
        <is>
          <t>Límite</t>
        </is>
      </c>
      <c r="J5" s="11" t="inlineStr">
        <is>
          <t>Depende de</t>
        </is>
      </c>
      <c r="K5" s="11" t="inlineStr">
        <is>
          <t>Estado</t>
        </is>
      </c>
      <c r="L5" s="11" t="inlineStr">
        <is>
          <t>¿DoR de la HU?</t>
        </is>
      </c>
      <c r="M5" s="11" t="inlineStr">
        <is>
          <t>Fecha a Doing</t>
        </is>
      </c>
      <c r="N5" s="11" t="inlineStr">
        <is>
          <t>Criterio para Done</t>
        </is>
      </c>
      <c r="O5" s="11" t="inlineStr">
        <is>
          <t>¿Criterio cumplido?</t>
        </is>
      </c>
      <c r="P5" s="11" t="inlineStr">
        <is>
          <t>Fecha a Done</t>
        </is>
      </c>
      <c r="Q5" s="11" t="inlineStr">
        <is>
          <t>Evidencia (PR / enlace)</t>
        </is>
      </c>
      <c r="R5" s="11" t="inlineStr">
        <is>
          <t>Control</t>
        </is>
      </c>
      <c r="S5" t="inlineStr">
        <is>
          <t>n.º To Do</t>
        </is>
      </c>
      <c r="T5" t="inlineStr">
        <is>
          <t>n.º Doing</t>
        </is>
      </c>
      <c r="U5" t="inlineStr">
        <is>
          <t>n.º Done</t>
        </is>
      </c>
    </row>
    <row r="6" ht="42" customHeight="1">
      <c r="B6" s="12" t="inlineStr">
        <is>
          <t>T-001</t>
        </is>
      </c>
      <c r="C6" s="12" t="inlineStr">
        <is>
          <t>HU-01</t>
        </is>
      </c>
      <c r="D6" s="13" t="inlineStr">
        <is>
          <t>Crear proyecto</t>
        </is>
      </c>
      <c r="E6" s="12" t="inlineStr">
        <is>
          <t>Diseño UI</t>
        </is>
      </c>
      <c r="F6" s="13" t="inlineStr">
        <is>
          <t>Diseñar la interfaz de usuario de HU-01: pantalla 9 · Crear la obra</t>
        </is>
      </c>
      <c r="G6" s="12" t="inlineStr">
        <is>
          <t>Fernando</t>
        </is>
      </c>
      <c r="H6" s="12" t="n">
        <v>1</v>
      </c>
      <c r="I6" s="12" t="inlineStr">
        <is>
          <t>23/10</t>
        </is>
      </c>
      <c r="J6" s="12" t="n"/>
      <c r="K6" s="12" t="inlineStr">
        <is>
          <t>Done</t>
        </is>
      </c>
      <c r="L6" s="12" t="inlineStr">
        <is>
          <t>Sí</t>
        </is>
      </c>
      <c r="M6" s="12" t="inlineStr">
        <is>
          <t>22/10/2026</t>
        </is>
      </c>
      <c r="N6" s="13" t="inlineStr">
        <is>
          <t>Mockup en el lienzo, revisado por el equipo</t>
        </is>
      </c>
      <c r="O6" s="12" t="inlineStr">
        <is>
          <t>Sí</t>
        </is>
      </c>
      <c r="P6" s="12" t="inlineStr">
        <is>
          <t>22/10/2026</t>
        </is>
      </c>
      <c r="Q6" s="13" t="inlineStr">
        <is>
          <t>Lienzo «SIGRO · Pantallas y diagramas del Sprint 1»</t>
        </is>
      </c>
      <c r="R6" s="12">
        <f>IF(AND(K6&lt;&gt;"To Do",L6&lt;&gt;"Sí"),"⚠ pasó a Doing sin DoR",IF(AND(K6="Done",O6&lt;&gt;"Sí"),"⚠ Done sin criterio cumplido",IF(AND(K6="Doing",COUNTIFS($G$6:$G$266,G6,$K$6:$K$266,"Doing",$E$6:$E$266,"&lt;&gt;Scrum")&gt;2,E6&lt;&gt;"Scrum"),"⚠ más de 2 en Doing","ok")))</f>
        <v/>
      </c>
      <c r="S6">
        <f>IF($K6="To Do",COUNTIF($K$6:$K6,"To Do"),"")</f>
        <v/>
      </c>
      <c r="T6">
        <f>IF($K6="Doing",COUNTIF($K$6:$K6,"Doing"),"")</f>
        <v/>
      </c>
      <c r="U6">
        <f>IF($K6="Done",COUNTIF($K$6:$K6,"Done"),"")</f>
        <v/>
      </c>
    </row>
    <row r="7" ht="42" customHeight="1">
      <c r="B7" s="12" t="inlineStr">
        <is>
          <t>T-002</t>
        </is>
      </c>
      <c r="C7" s="12" t="inlineStr">
        <is>
          <t>HU-01</t>
        </is>
      </c>
      <c r="D7" s="13" t="inlineStr">
        <is>
          <t>Crear proyecto</t>
        </is>
      </c>
      <c r="E7" s="12" t="inlineStr">
        <is>
          <t>Modelado UML</t>
        </is>
      </c>
      <c r="F7" s="13" t="inlineStr">
        <is>
          <t>Modelar la funcionalidad de HU-01 con el diagrama UML de estados de la obra (en ejecución → ampliada → cerrada)</t>
        </is>
      </c>
      <c r="G7" s="12" t="inlineStr">
        <is>
          <t>Fernando</t>
        </is>
      </c>
      <c r="H7" s="12" t="n">
        <v>1</v>
      </c>
      <c r="I7" s="12" t="inlineStr">
        <is>
          <t>24/10</t>
        </is>
      </c>
      <c r="J7" s="12" t="inlineStr">
        <is>
          <t>T-001</t>
        </is>
      </c>
      <c r="K7" s="12" t="inlineStr">
        <is>
          <t>To Do</t>
        </is>
      </c>
      <c r="L7" s="12" t="n"/>
      <c r="M7" s="12" t="n"/>
      <c r="N7" s="13" t="inlineStr">
        <is>
          <t>Diagrama publicado en el repo o el lienzo</t>
        </is>
      </c>
      <c r="O7" s="12" t="n"/>
      <c r="P7" s="12" t="n"/>
      <c r="Q7" s="13" t="n"/>
      <c r="R7" s="12">
        <f>IF(AND(K7&lt;&gt;"To Do",L7&lt;&gt;"Sí"),"⚠ pasó a Doing sin DoR",IF(AND(K7="Done",O7&lt;&gt;"Sí"),"⚠ Done sin criterio cumplido",IF(AND(K7="Doing",COUNTIFS($G$6:$G$266,G7,$K$6:$K$266,"Doing",$E$6:$E$266,"&lt;&gt;Scrum")&gt;2,E7&lt;&gt;"Scrum"),"⚠ más de 2 en Doing","ok")))</f>
        <v/>
      </c>
      <c r="S7">
        <f>IF($K7="To Do",COUNTIF($K$6:$K7,"To Do"),"")</f>
        <v/>
      </c>
      <c r="T7">
        <f>IF($K7="Doing",COUNTIF($K$6:$K7,"Doing"),"")</f>
        <v/>
      </c>
      <c r="U7">
        <f>IF($K7="Done",COUNTIF($K$6:$K7,"Done"),"")</f>
        <v/>
      </c>
    </row>
    <row r="8" ht="42" customHeight="1">
      <c r="B8" s="12" t="inlineStr">
        <is>
          <t>T-003</t>
        </is>
      </c>
      <c r="C8" s="12" t="inlineStr">
        <is>
          <t>HU-01</t>
        </is>
      </c>
      <c r="D8" s="13" t="inlineStr">
        <is>
          <t>Crear proyecto</t>
        </is>
      </c>
      <c r="E8" s="12" t="inlineStr">
        <is>
          <t>Base de datos</t>
        </is>
      </c>
      <c r="F8" s="13" t="inlineStr">
        <is>
          <t>Implementar las tablas asociadas a HU-01: proyecto, proyecto_plazo_historial</t>
        </is>
      </c>
      <c r="G8" s="12" t="inlineStr">
        <is>
          <t>Adiel</t>
        </is>
      </c>
      <c r="H8" s="12" t="n">
        <v>1</v>
      </c>
      <c r="I8" s="12" t="inlineStr">
        <is>
          <t>24/10</t>
        </is>
      </c>
      <c r="J8" s="12" t="n"/>
      <c r="K8" s="12" t="inlineStr">
        <is>
          <t>Done</t>
        </is>
      </c>
      <c r="L8" s="12" t="inlineStr">
        <is>
          <t>Sí</t>
        </is>
      </c>
      <c r="M8" s="12" t="inlineStr">
        <is>
          <t>22/10/2026</t>
        </is>
      </c>
      <c r="N8" s="13" t="inlineStr">
        <is>
          <t>Migración fusionada, corre en base limpia y con datos, y se revierte</t>
        </is>
      </c>
      <c r="O8" s="12" t="inlineStr">
        <is>
          <t>Sí</t>
        </is>
      </c>
      <c r="P8" s="12" t="inlineStr">
        <is>
          <t>22/10/2026</t>
        </is>
      </c>
      <c r="Q8" s="13" t="inlineStr">
        <is>
          <t>PR #1 de Adiel (22/10)</t>
        </is>
      </c>
      <c r="R8" s="12">
        <f>IF(AND(K8&lt;&gt;"To Do",L8&lt;&gt;"Sí"),"⚠ pasó a Doing sin DoR",IF(AND(K8="Done",O8&lt;&gt;"Sí"),"⚠ Done sin criterio cumplido",IF(AND(K8="Doing",COUNTIFS($G$6:$G$266,G8,$K$6:$K$266,"Doing",$E$6:$E$266,"&lt;&gt;Scrum")&gt;2,E8&lt;&gt;"Scrum"),"⚠ más de 2 en Doing","ok")))</f>
        <v/>
      </c>
      <c r="S8">
        <f>IF($K8="To Do",COUNTIF($K$6:$K8,"To Do"),"")</f>
        <v/>
      </c>
      <c r="T8">
        <f>IF($K8="Doing",COUNTIF($K$6:$K8,"Doing"),"")</f>
        <v/>
      </c>
      <c r="U8">
        <f>IF($K8="Done",COUNTIF($K$6:$K8,"Done"),"")</f>
        <v/>
      </c>
    </row>
    <row r="9" ht="42" customHeight="1">
      <c r="B9" s="12" t="inlineStr">
        <is>
          <t>T-004</t>
        </is>
      </c>
      <c r="C9" s="12" t="inlineStr">
        <is>
          <t>HU-01</t>
        </is>
      </c>
      <c r="D9" s="13" t="inlineStr">
        <is>
          <t>Crear proyecto</t>
        </is>
      </c>
      <c r="E9" s="12" t="inlineStr">
        <is>
          <t>Backend</t>
        </is>
      </c>
      <c r="F9" s="13" t="inlineStr">
        <is>
          <t>Programar el back-end de HU-01 (entidad, repositorio, servicio y controlador): el endpoint para crear la obra, validando nombre y plazo obligatorios, fin ≥ inicio y estado inicial «en ejecución»</t>
        </is>
      </c>
      <c r="G9" s="12" t="inlineStr">
        <is>
          <t>Adiel</t>
        </is>
      </c>
      <c r="H9" s="12" t="n">
        <v>2</v>
      </c>
      <c r="I9" s="12" t="inlineStr">
        <is>
          <t>25/10</t>
        </is>
      </c>
      <c r="J9" s="12" t="n"/>
      <c r="K9" s="12" t="inlineStr">
        <is>
          <t>Done</t>
        </is>
      </c>
      <c r="L9" s="12" t="inlineStr">
        <is>
          <t>Sí</t>
        </is>
      </c>
      <c r="M9" s="12" t="inlineStr">
        <is>
          <t>22/10/2026</t>
        </is>
      </c>
      <c r="N9" s="13" t="inlineStr">
        <is>
          <t>PR fusionado con sus pruebas automáticas en verde y el endpoint documentado</t>
        </is>
      </c>
      <c r="O9" s="12" t="inlineStr">
        <is>
          <t>Sí</t>
        </is>
      </c>
      <c r="P9" s="12" t="inlineStr">
        <is>
          <t>22/10/2026</t>
        </is>
      </c>
      <c r="Q9" s="13" t="inlineStr">
        <is>
          <t>PR #1 y #2 de Adiel (22/10)</t>
        </is>
      </c>
      <c r="R9" s="12">
        <f>IF(AND(K9&lt;&gt;"To Do",L9&lt;&gt;"Sí"),"⚠ pasó a Doing sin DoR",IF(AND(K9="Done",O9&lt;&gt;"Sí"),"⚠ Done sin criterio cumplido",IF(AND(K9="Doing",COUNTIFS($G$6:$G$266,G9,$K$6:$K$266,"Doing",$E$6:$E$266,"&lt;&gt;Scrum")&gt;2,E9&lt;&gt;"Scrum"),"⚠ más de 2 en Doing","ok")))</f>
        <v/>
      </c>
      <c r="S9">
        <f>IF($K9="To Do",COUNTIF($K$6:$K9,"To Do"),"")</f>
        <v/>
      </c>
      <c r="T9">
        <f>IF($K9="Doing",COUNTIF($K$6:$K9,"Doing"),"")</f>
        <v/>
      </c>
      <c r="U9">
        <f>IF($K9="Done",COUNTIF($K$6:$K9,"Done"),"")</f>
        <v/>
      </c>
    </row>
    <row r="10" ht="42" customHeight="1">
      <c r="B10" s="12" t="inlineStr">
        <is>
          <t>T-005</t>
        </is>
      </c>
      <c r="C10" s="12" t="inlineStr">
        <is>
          <t>HU-01</t>
        </is>
      </c>
      <c r="D10" s="13" t="inlineStr">
        <is>
          <t>Crear proyecto</t>
        </is>
      </c>
      <c r="E10" s="12" t="inlineStr">
        <is>
          <t>Triggers y funciones</t>
        </is>
      </c>
      <c r="F10" s="13" t="inlineStr">
        <is>
          <t>Implementar el CHECK de fecha de fin ≥ inicio en proyecto (HU-01)</t>
        </is>
      </c>
      <c r="G10" s="12" t="inlineStr">
        <is>
          <t>Adiel</t>
        </is>
      </c>
      <c r="H10" s="12" t="n">
        <v>1</v>
      </c>
      <c r="I10" s="12" t="inlineStr">
        <is>
          <t>25/10</t>
        </is>
      </c>
      <c r="J10" s="12" t="inlineStr">
        <is>
          <t>T-003</t>
        </is>
      </c>
      <c r="K10" s="12" t="inlineStr">
        <is>
          <t>To Do</t>
        </is>
      </c>
      <c r="L10" s="12" t="n"/>
      <c r="M10" s="12" t="n"/>
      <c r="N10" s="13" t="inlineStr">
        <is>
          <t>Regla en la base con su prueba, en un PR fusionado</t>
        </is>
      </c>
      <c r="O10" s="12" t="n"/>
      <c r="P10" s="12" t="n"/>
      <c r="Q10" s="13" t="n"/>
      <c r="R10" s="12">
        <f>IF(AND(K10&lt;&gt;"To Do",L10&lt;&gt;"Sí"),"⚠ pasó a Doing sin DoR",IF(AND(K10="Done",O10&lt;&gt;"Sí"),"⚠ Done sin criterio cumplido",IF(AND(K10="Doing",COUNTIFS($G$6:$G$266,G10,$K$6:$K$266,"Doing",$E$6:$E$266,"&lt;&gt;Scrum")&gt;2,E10&lt;&gt;"Scrum"),"⚠ más de 2 en Doing","ok")))</f>
        <v/>
      </c>
      <c r="S10">
        <f>IF($K10="To Do",COUNTIF($K$6:$K10,"To Do"),"")</f>
        <v/>
      </c>
      <c r="T10">
        <f>IF($K10="Doing",COUNTIF($K$6:$K10,"Doing"),"")</f>
        <v/>
      </c>
      <c r="U10">
        <f>IF($K10="Done",COUNTIF($K$6:$K10,"Done"),"")</f>
        <v/>
      </c>
    </row>
    <row r="11" ht="42" customHeight="1">
      <c r="B11" s="12" t="inlineStr">
        <is>
          <t>T-006</t>
        </is>
      </c>
      <c r="C11" s="12" t="inlineStr">
        <is>
          <t>HU-01</t>
        </is>
      </c>
      <c r="D11" s="13" t="inlineStr">
        <is>
          <t>Crear proyecto</t>
        </is>
      </c>
      <c r="E11" s="12" t="inlineStr">
        <is>
          <t>Front-end web</t>
        </is>
      </c>
      <c r="F11" s="13" t="inlineStr">
        <is>
          <t>Programar la pantalla web para crear la obra</t>
        </is>
      </c>
      <c r="G11" s="12" t="inlineStr">
        <is>
          <t>Fernando</t>
        </is>
      </c>
      <c r="H11" s="12" t="n">
        <v>2</v>
      </c>
      <c r="I11" s="12" t="inlineStr">
        <is>
          <t>26/10</t>
        </is>
      </c>
      <c r="J11" s="12" t="n"/>
      <c r="K11" s="12" t="inlineStr">
        <is>
          <t>Done</t>
        </is>
      </c>
      <c r="L11" s="12" t="inlineStr">
        <is>
          <t>Sí</t>
        </is>
      </c>
      <c r="M11" s="12" t="inlineStr">
        <is>
          <t>22/10/2026</t>
        </is>
      </c>
      <c r="N11" s="13" t="inlineStr">
        <is>
          <t>PR fusionado, build sin errores, modo claro/oscuro y escala 125 %</t>
        </is>
      </c>
      <c r="O11" s="12" t="inlineStr">
        <is>
          <t>Sí</t>
        </is>
      </c>
      <c r="P11" s="12" t="inlineStr">
        <is>
          <t>22/10/2026</t>
        </is>
      </c>
      <c r="Q11" s="13" t="inlineStr">
        <is>
          <t>Commit del 22/10 09:30 (datos simulados)</t>
        </is>
      </c>
      <c r="R11" s="12">
        <f>IF(AND(K11&lt;&gt;"To Do",L11&lt;&gt;"Sí"),"⚠ pasó a Doing sin DoR",IF(AND(K11="Done",O11&lt;&gt;"Sí"),"⚠ Done sin criterio cumplido",IF(AND(K11="Doing",COUNTIFS($G$6:$G$266,G11,$K$6:$K$266,"Doing",$E$6:$E$266,"&lt;&gt;Scrum")&gt;2,E11&lt;&gt;"Scrum"),"⚠ más de 2 en Doing","ok")))</f>
        <v/>
      </c>
      <c r="S11">
        <f>IF($K11="To Do",COUNTIF($K$6:$K11,"To Do"),"")</f>
        <v/>
      </c>
      <c r="T11">
        <f>IF($K11="Doing",COUNTIF($K$6:$K11,"Doing"),"")</f>
        <v/>
      </c>
      <c r="U11">
        <f>IF($K11="Done",COUNTIF($K$6:$K11,"Done"),"")</f>
        <v/>
      </c>
    </row>
    <row r="12" ht="42" customHeight="1">
      <c r="B12" s="12" t="inlineStr">
        <is>
          <t>T-007</t>
        </is>
      </c>
      <c r="C12" s="12" t="inlineStr">
        <is>
          <t>HU-01</t>
        </is>
      </c>
      <c r="D12" s="13" t="inlineStr">
        <is>
          <t>Crear proyecto</t>
        </is>
      </c>
      <c r="E12" s="12" t="inlineStr">
        <is>
          <t>Conexión API</t>
        </is>
      </c>
      <c r="F12" s="13" t="inlineStr">
        <is>
          <t>Conectar la pantalla «Crear la obra» con el endpoint real de la API</t>
        </is>
      </c>
      <c r="G12" s="12" t="inlineStr">
        <is>
          <t>Fernando</t>
        </is>
      </c>
      <c r="H12" s="12" t="n">
        <v>2</v>
      </c>
      <c r="I12" s="12" t="inlineStr">
        <is>
          <t>26/10</t>
        </is>
      </c>
      <c r="J12" s="12" t="inlineStr">
        <is>
          <t>T-004, T-006, T-240</t>
        </is>
      </c>
      <c r="K12" s="12" t="inlineStr">
        <is>
          <t>To Do</t>
        </is>
      </c>
      <c r="L12" s="12" t="n"/>
      <c r="M12" s="12" t="n"/>
      <c r="N12" s="13" t="inlineStr">
        <is>
          <t>La pantalla muestra los datos reales del servidor y sus errores</t>
        </is>
      </c>
      <c r="O12" s="12" t="n"/>
      <c r="P12" s="12" t="n"/>
      <c r="Q12" s="13" t="n"/>
      <c r="R12" s="12">
        <f>IF(AND(K12&lt;&gt;"To Do",L12&lt;&gt;"Sí"),"⚠ pasó a Doing sin DoR",IF(AND(K12="Done",O12&lt;&gt;"Sí"),"⚠ Done sin criterio cumplido",IF(AND(K12="Doing",COUNTIFS($G$6:$G$266,G12,$K$6:$K$266,"Doing",$E$6:$E$266,"&lt;&gt;Scrum")&gt;2,E12&lt;&gt;"Scrum"),"⚠ más de 2 en Doing","ok")))</f>
        <v/>
      </c>
      <c r="S12">
        <f>IF($K12="To Do",COUNTIF($K$6:$K12,"To Do"),"")</f>
        <v/>
      </c>
      <c r="T12">
        <f>IF($K12="Doing",COUNTIF($K$6:$K12,"Doing"),"")</f>
        <v/>
      </c>
      <c r="U12">
        <f>IF($K12="Done",COUNTIF($K$6:$K12,"Done"),"")</f>
        <v/>
      </c>
    </row>
    <row r="13" ht="42" customHeight="1">
      <c r="B13" s="12" t="inlineStr">
        <is>
          <t>T-008</t>
        </is>
      </c>
      <c r="C13" s="12" t="inlineStr">
        <is>
          <t>HU-01</t>
        </is>
      </c>
      <c r="D13" s="13" t="inlineStr">
        <is>
          <t>Crear proyecto</t>
        </is>
      </c>
      <c r="E13" s="12" t="inlineStr">
        <is>
          <t>Pruebas</t>
        </is>
      </c>
      <c r="F13" s="13" t="inlineStr">
        <is>
          <t>Probar la funcionalidad de HU-01 (la API con Postman y la pantalla web) contra cada condición final y aprobar su PR</t>
        </is>
      </c>
      <c r="G13" s="12" t="inlineStr">
        <is>
          <t>Henry</t>
        </is>
      </c>
      <c r="H13" s="12" t="n">
        <v>1</v>
      </c>
      <c r="I13" s="12" t="inlineStr">
        <is>
          <t>27/10</t>
        </is>
      </c>
      <c r="J13" s="12" t="inlineStr">
        <is>
          <t>T-003, T-004, T-005, T-006, T-007, T-233</t>
        </is>
      </c>
      <c r="K13" s="12" t="inlineStr">
        <is>
          <t>To Do</t>
        </is>
      </c>
      <c r="L13" s="12" t="n"/>
      <c r="M13" s="12" t="n"/>
      <c r="N13" s="13" t="inlineStr">
        <is>
          <t>Cada condición final verificada con Postman y en la interfaz; PR aprobado por alguien distinto del autor</t>
        </is>
      </c>
      <c r="O13" s="12" t="n"/>
      <c r="P13" s="12" t="n"/>
      <c r="Q13" s="13" t="n"/>
      <c r="R13" s="12">
        <f>IF(AND(K13&lt;&gt;"To Do",L13&lt;&gt;"Sí"),"⚠ pasó a Doing sin DoR",IF(AND(K13="Done",O13&lt;&gt;"Sí"),"⚠ Done sin criterio cumplido",IF(AND(K13="Doing",COUNTIFS($G$6:$G$266,G13,$K$6:$K$266,"Doing",$E$6:$E$266,"&lt;&gt;Scrum")&gt;2,E13&lt;&gt;"Scrum"),"⚠ más de 2 en Doing","ok")))</f>
        <v/>
      </c>
      <c r="S13">
        <f>IF($K13="To Do",COUNTIF($K$6:$K13,"To Do"),"")</f>
        <v/>
      </c>
      <c r="T13">
        <f>IF($K13="Doing",COUNTIF($K$6:$K13,"Doing"),"")</f>
        <v/>
      </c>
      <c r="U13">
        <f>IF($K13="Done",COUNTIF($K$6:$K13,"Done"),"")</f>
        <v/>
      </c>
    </row>
    <row r="14" ht="42" customHeight="1">
      <c r="B14" s="14" t="inlineStr">
        <is>
          <t>T-009</t>
        </is>
      </c>
      <c r="C14" s="14" t="inlineStr">
        <is>
          <t>HU-01</t>
        </is>
      </c>
      <c r="D14" s="15" t="inlineStr">
        <is>
          <t>Crear proyecto</t>
        </is>
      </c>
      <c r="E14" s="14" t="inlineStr">
        <is>
          <t>Aceptación</t>
        </is>
      </c>
      <c r="F14" s="15" t="inlineStr">
        <is>
          <t>Aceptar HU-01 como Product Owner desde la interfaz y moverla a Done</t>
        </is>
      </c>
      <c r="G14" s="14" t="inlineStr">
        <is>
          <t>Adiel</t>
        </is>
      </c>
      <c r="H14" s="14" t="n">
        <v>0.5</v>
      </c>
      <c r="I14" s="14" t="inlineStr">
        <is>
          <t>27/10</t>
        </is>
      </c>
      <c r="J14" s="14" t="inlineStr">
        <is>
          <t>T-008</t>
        </is>
      </c>
      <c r="K14" s="14" t="inlineStr">
        <is>
          <t>To Do</t>
        </is>
      </c>
      <c r="L14" s="14" t="n"/>
      <c r="M14" s="14" t="n"/>
      <c r="N14" s="15" t="inlineStr">
        <is>
          <t>DoD T1–T10 + condiciones finales aceptadas por el PO → la HU pasa a Done</t>
        </is>
      </c>
      <c r="O14" s="14" t="n"/>
      <c r="P14" s="14" t="n"/>
      <c r="Q14" s="15" t="n"/>
      <c r="R14" s="14">
        <f>IF(AND(K14&lt;&gt;"To Do",L14&lt;&gt;"Sí"),"⚠ pasó a Doing sin DoR",IF(AND(K14="Done",O14&lt;&gt;"Sí"),"⚠ Done sin criterio cumplido",IF(AND(K14="Doing",COUNTIFS($G$6:$G$266,G14,$K$6:$K$266,"Doing",$E$6:$E$266,"&lt;&gt;Scrum")&gt;2,E14&lt;&gt;"Scrum"),"⚠ más de 2 en Doing","ok")))</f>
        <v/>
      </c>
      <c r="S14">
        <f>IF($K14="To Do",COUNTIF($K$6:$K14,"To Do"),"")</f>
        <v/>
      </c>
      <c r="T14">
        <f>IF($K14="Doing",COUNTIF($K$6:$K14,"Doing"),"")</f>
        <v/>
      </c>
      <c r="U14">
        <f>IF($K14="Done",COUNTIF($K$6:$K14,"Done"),"")</f>
        <v/>
      </c>
    </row>
    <row r="15" ht="42" customHeight="1">
      <c r="B15" s="12" t="inlineStr">
        <is>
          <t>T-010</t>
        </is>
      </c>
      <c r="C15" s="12" t="inlineStr">
        <is>
          <t>HU-03</t>
        </is>
      </c>
      <c r="D15" s="13" t="inlineStr">
        <is>
          <t>Reportar la obra en semanas</t>
        </is>
      </c>
      <c r="E15" s="12" t="inlineStr">
        <is>
          <t>Diseño UI</t>
        </is>
      </c>
      <c r="F15" s="13" t="inlineStr">
        <is>
          <t>Diseñar la interfaz de usuario de HU-03: pantalla 9 · Crear la obra y 22 · Detalle de la obra</t>
        </is>
      </c>
      <c r="G15" s="12" t="inlineStr">
        <is>
          <t>Fernando</t>
        </is>
      </c>
      <c r="H15" s="12" t="n">
        <v>1</v>
      </c>
      <c r="I15" s="12" t="inlineStr">
        <is>
          <t>23/10</t>
        </is>
      </c>
      <c r="J15" s="12" t="n"/>
      <c r="K15" s="12" t="inlineStr">
        <is>
          <t>Done</t>
        </is>
      </c>
      <c r="L15" s="12" t="inlineStr">
        <is>
          <t>Sí</t>
        </is>
      </c>
      <c r="M15" s="12" t="inlineStr">
        <is>
          <t>22/10/2026</t>
        </is>
      </c>
      <c r="N15" s="13" t="inlineStr">
        <is>
          <t>Mockup en el lienzo, revisado por el equipo</t>
        </is>
      </c>
      <c r="O15" s="12" t="inlineStr">
        <is>
          <t>Sí</t>
        </is>
      </c>
      <c r="P15" s="12" t="inlineStr">
        <is>
          <t>22/10/2026</t>
        </is>
      </c>
      <c r="Q15" s="13" t="inlineStr">
        <is>
          <t>Lienzo «SIGRO · Pantallas y diagramas del Sprint 1»</t>
        </is>
      </c>
      <c r="R15" s="12">
        <f>IF(AND(K15&lt;&gt;"To Do",L15&lt;&gt;"Sí"),"⚠ pasó a Doing sin DoR",IF(AND(K15="Done",O15&lt;&gt;"Sí"),"⚠ Done sin criterio cumplido",IF(AND(K15="Doing",COUNTIFS($G$6:$G$266,G15,$K$6:$K$266,"Doing",$E$6:$E$266,"&lt;&gt;Scrum")&gt;2,E15&lt;&gt;"Scrum"),"⚠ más de 2 en Doing","ok")))</f>
        <v/>
      </c>
      <c r="S15">
        <f>IF($K15="To Do",COUNTIF($K$6:$K15,"To Do"),"")</f>
        <v/>
      </c>
      <c r="T15">
        <f>IF($K15="Doing",COUNTIF($K$6:$K15,"Doing"),"")</f>
        <v/>
      </c>
      <c r="U15">
        <f>IF($K15="Done",COUNTIF($K$6:$K15,"Done"),"")</f>
        <v/>
      </c>
    </row>
    <row r="16" ht="42" customHeight="1">
      <c r="B16" s="12" t="inlineStr">
        <is>
          <t>T-011</t>
        </is>
      </c>
      <c r="C16" s="12" t="inlineStr">
        <is>
          <t>HU-03</t>
        </is>
      </c>
      <c r="D16" s="13" t="inlineStr">
        <is>
          <t>Reportar la obra en semanas</t>
        </is>
      </c>
      <c r="E16" s="12" t="inlineStr">
        <is>
          <t>Modelado UML</t>
        </is>
      </c>
      <c r="F16" s="13" t="inlineStr">
        <is>
          <t>Modelar la funcionalidad de HU-03 con el diagrama UML de actividades de la generación de semanas</t>
        </is>
      </c>
      <c r="G16" s="12" t="inlineStr">
        <is>
          <t>Fernando</t>
        </is>
      </c>
      <c r="H16" s="12" t="n">
        <v>1</v>
      </c>
      <c r="I16" s="12" t="inlineStr">
        <is>
          <t>24/10</t>
        </is>
      </c>
      <c r="J16" s="12" t="inlineStr">
        <is>
          <t>T-010</t>
        </is>
      </c>
      <c r="K16" s="12" t="inlineStr">
        <is>
          <t>To Do</t>
        </is>
      </c>
      <c r="L16" s="12" t="n"/>
      <c r="M16" s="12" t="n"/>
      <c r="N16" s="13" t="inlineStr">
        <is>
          <t>Diagrama publicado en el repo o el lienzo</t>
        </is>
      </c>
      <c r="O16" s="12" t="n"/>
      <c r="P16" s="12" t="n"/>
      <c r="Q16" s="13" t="n"/>
      <c r="R16" s="12">
        <f>IF(AND(K16&lt;&gt;"To Do",L16&lt;&gt;"Sí"),"⚠ pasó a Doing sin DoR",IF(AND(K16="Done",O16&lt;&gt;"Sí"),"⚠ Done sin criterio cumplido",IF(AND(K16="Doing",COUNTIFS($G$6:$G$266,G16,$K$6:$K$266,"Doing",$E$6:$E$266,"&lt;&gt;Scrum")&gt;2,E16&lt;&gt;"Scrum"),"⚠ más de 2 en Doing","ok")))</f>
        <v/>
      </c>
      <c r="S16">
        <f>IF($K16="To Do",COUNTIF($K$6:$K16,"To Do"),"")</f>
        <v/>
      </c>
      <c r="T16">
        <f>IF($K16="Doing",COUNTIF($K$6:$K16,"Doing"),"")</f>
        <v/>
      </c>
      <c r="U16">
        <f>IF($K16="Done",COUNTIF($K$6:$K16,"Done"),"")</f>
        <v/>
      </c>
    </row>
    <row r="17" ht="42" customHeight="1">
      <c r="B17" s="12" t="inlineStr">
        <is>
          <t>T-012</t>
        </is>
      </c>
      <c r="C17" s="12" t="inlineStr">
        <is>
          <t>HU-03</t>
        </is>
      </c>
      <c r="D17" s="13" t="inlineStr">
        <is>
          <t>Reportar la obra en semanas</t>
        </is>
      </c>
      <c r="E17" s="12" t="inlineStr">
        <is>
          <t>Base de datos</t>
        </is>
      </c>
      <c r="F17" s="13" t="inlineStr">
        <is>
          <t>Implementar las tablas asociadas a HU-03: periodo</t>
        </is>
      </c>
      <c r="G17" s="12" t="inlineStr">
        <is>
          <t>Adiel</t>
        </is>
      </c>
      <c r="H17" s="12" t="n">
        <v>1</v>
      </c>
      <c r="I17" s="12" t="inlineStr">
        <is>
          <t>24/10</t>
        </is>
      </c>
      <c r="J17" s="12" t="n"/>
      <c r="K17" s="12" t="inlineStr">
        <is>
          <t>Done</t>
        </is>
      </c>
      <c r="L17" s="12" t="inlineStr">
        <is>
          <t>Sí</t>
        </is>
      </c>
      <c r="M17" s="12" t="inlineStr">
        <is>
          <t>22/10/2026</t>
        </is>
      </c>
      <c r="N17" s="13" t="inlineStr">
        <is>
          <t>Migración fusionada, corre en base limpia y con datos, y se revierte</t>
        </is>
      </c>
      <c r="O17" s="12" t="inlineStr">
        <is>
          <t>Sí</t>
        </is>
      </c>
      <c r="P17" s="12" t="inlineStr">
        <is>
          <t>22/10/2026</t>
        </is>
      </c>
      <c r="Q17" s="13" t="inlineStr">
        <is>
          <t>PR #1 de Adiel (22/10)</t>
        </is>
      </c>
      <c r="R17" s="12">
        <f>IF(AND(K17&lt;&gt;"To Do",L17&lt;&gt;"Sí"),"⚠ pasó a Doing sin DoR",IF(AND(K17="Done",O17&lt;&gt;"Sí"),"⚠ Done sin criterio cumplido",IF(AND(K17="Doing",COUNTIFS($G$6:$G$266,G17,$K$6:$K$266,"Doing",$E$6:$E$266,"&lt;&gt;Scrum")&gt;2,E17&lt;&gt;"Scrum"),"⚠ más de 2 en Doing","ok")))</f>
        <v/>
      </c>
      <c r="S17">
        <f>IF($K17="To Do",COUNTIF($K$6:$K17,"To Do"),"")</f>
        <v/>
      </c>
      <c r="T17">
        <f>IF($K17="Doing",COUNTIF($K$6:$K17,"Doing"),"")</f>
        <v/>
      </c>
      <c r="U17">
        <f>IF($K17="Done",COUNTIF($K$6:$K17,"Done"),"")</f>
        <v/>
      </c>
    </row>
    <row r="18" ht="42" customHeight="1">
      <c r="B18" s="12" t="inlineStr">
        <is>
          <t>T-013</t>
        </is>
      </c>
      <c r="C18" s="12" t="inlineStr">
        <is>
          <t>HU-03</t>
        </is>
      </c>
      <c r="D18" s="13" t="inlineStr">
        <is>
          <t>Reportar la obra en semanas</t>
        </is>
      </c>
      <c r="E18" s="12" t="inlineStr">
        <is>
          <t>Backend</t>
        </is>
      </c>
      <c r="F18" s="13" t="inlineStr">
        <is>
          <t>Programar el back-end de HU-03 (entidad, repositorio, servicio y controlador): la generación automática de semanas al crear la obra y al ampliar el plazo, con sus pruebas</t>
        </is>
      </c>
      <c r="G18" s="12" t="inlineStr">
        <is>
          <t>Adiel</t>
        </is>
      </c>
      <c r="H18" s="12" t="n">
        <v>2</v>
      </c>
      <c r="I18" s="12" t="inlineStr">
        <is>
          <t>25/10</t>
        </is>
      </c>
      <c r="J18" s="12" t="n"/>
      <c r="K18" s="12" t="inlineStr">
        <is>
          <t>Done</t>
        </is>
      </c>
      <c r="L18" s="12" t="inlineStr">
        <is>
          <t>Sí</t>
        </is>
      </c>
      <c r="M18" s="12" t="inlineStr">
        <is>
          <t>22/10/2026</t>
        </is>
      </c>
      <c r="N18" s="13" t="inlineStr">
        <is>
          <t>PR fusionado con sus pruebas automáticas en verde y el endpoint documentado</t>
        </is>
      </c>
      <c r="O18" s="12" t="inlineStr">
        <is>
          <t>Sí</t>
        </is>
      </c>
      <c r="P18" s="12" t="inlineStr">
        <is>
          <t>22/10/2026</t>
        </is>
      </c>
      <c r="Q18" s="13" t="inlineStr">
        <is>
          <t>PR #1 y #2 de Adiel (22/10)</t>
        </is>
      </c>
      <c r="R18" s="12">
        <f>IF(AND(K18&lt;&gt;"To Do",L18&lt;&gt;"Sí"),"⚠ pasó a Doing sin DoR",IF(AND(K18="Done",O18&lt;&gt;"Sí"),"⚠ Done sin criterio cumplido",IF(AND(K18="Doing",COUNTIFS($G$6:$G$266,G18,$K$6:$K$266,"Doing",$E$6:$E$266,"&lt;&gt;Scrum")&gt;2,E18&lt;&gt;"Scrum"),"⚠ más de 2 en Doing","ok")))</f>
        <v/>
      </c>
      <c r="S18">
        <f>IF($K18="To Do",COUNTIF($K$6:$K18,"To Do"),"")</f>
        <v/>
      </c>
      <c r="T18">
        <f>IF($K18="Doing",COUNTIF($K$6:$K18,"Doing"),"")</f>
        <v/>
      </c>
      <c r="U18">
        <f>IF($K18="Done",COUNTIF($K$6:$K18,"Done"),"")</f>
        <v/>
      </c>
    </row>
    <row r="19" ht="42" customHeight="1">
      <c r="B19" s="12" t="inlineStr">
        <is>
          <t>T-014</t>
        </is>
      </c>
      <c r="C19" s="12" t="inlineStr">
        <is>
          <t>HU-03</t>
        </is>
      </c>
      <c r="D19" s="13" t="inlineStr">
        <is>
          <t>Reportar la obra en semanas</t>
        </is>
      </c>
      <c r="E19" s="12" t="inlineStr">
        <is>
          <t>Front-end web</t>
        </is>
      </c>
      <c r="F19" s="13" t="inlineStr">
        <is>
          <t>Programar la tira de semanas en la web (cerrada, en curso, por venir)</t>
        </is>
      </c>
      <c r="G19" s="12" t="inlineStr">
        <is>
          <t>Fernando</t>
        </is>
      </c>
      <c r="H19" s="12" t="n">
        <v>2</v>
      </c>
      <c r="I19" s="12" t="inlineStr">
        <is>
          <t>26/10</t>
        </is>
      </c>
      <c r="J19" s="12" t="n"/>
      <c r="K19" s="12" t="inlineStr">
        <is>
          <t>Done</t>
        </is>
      </c>
      <c r="L19" s="12" t="inlineStr">
        <is>
          <t>Sí</t>
        </is>
      </c>
      <c r="M19" s="12" t="inlineStr">
        <is>
          <t>22/10/2026</t>
        </is>
      </c>
      <c r="N19" s="13" t="inlineStr">
        <is>
          <t>PR fusionado, build sin errores, modo claro/oscuro y escala 125 %</t>
        </is>
      </c>
      <c r="O19" s="12" t="inlineStr">
        <is>
          <t>Sí</t>
        </is>
      </c>
      <c r="P19" s="12" t="inlineStr">
        <is>
          <t>22/10/2026</t>
        </is>
      </c>
      <c r="Q19" s="13" t="inlineStr">
        <is>
          <t>Commit del 22/10 09:30 (datos simulados)</t>
        </is>
      </c>
      <c r="R19" s="12">
        <f>IF(AND(K19&lt;&gt;"To Do",L19&lt;&gt;"Sí"),"⚠ pasó a Doing sin DoR",IF(AND(K19="Done",O19&lt;&gt;"Sí"),"⚠ Done sin criterio cumplido",IF(AND(K19="Doing",COUNTIFS($G$6:$G$266,G19,$K$6:$K$266,"Doing",$E$6:$E$266,"&lt;&gt;Scrum")&gt;2,E19&lt;&gt;"Scrum"),"⚠ más de 2 en Doing","ok")))</f>
        <v/>
      </c>
      <c r="S19">
        <f>IF($K19="To Do",COUNTIF($K$6:$K19,"To Do"),"")</f>
        <v/>
      </c>
      <c r="T19">
        <f>IF($K19="Doing",COUNTIF($K$6:$K19,"Doing"),"")</f>
        <v/>
      </c>
      <c r="U19">
        <f>IF($K19="Done",COUNTIF($K$6:$K19,"Done"),"")</f>
        <v/>
      </c>
    </row>
    <row r="20" ht="42" customHeight="1">
      <c r="B20" s="12" t="inlineStr">
        <is>
          <t>T-015</t>
        </is>
      </c>
      <c r="C20" s="12" t="inlineStr">
        <is>
          <t>HU-03</t>
        </is>
      </c>
      <c r="D20" s="13" t="inlineStr">
        <is>
          <t>Reportar la obra en semanas</t>
        </is>
      </c>
      <c r="E20" s="12" t="inlineStr">
        <is>
          <t>Conexión API</t>
        </is>
      </c>
      <c r="F20" s="13" t="inlineStr">
        <is>
          <t>Conectar la tira de semanas con la API real</t>
        </is>
      </c>
      <c r="G20" s="12" t="inlineStr">
        <is>
          <t>Fernando</t>
        </is>
      </c>
      <c r="H20" s="12" t="n">
        <v>2</v>
      </c>
      <c r="I20" s="12" t="inlineStr">
        <is>
          <t>26/10</t>
        </is>
      </c>
      <c r="J20" s="12" t="inlineStr">
        <is>
          <t>T-013, T-014, T-240</t>
        </is>
      </c>
      <c r="K20" s="12" t="inlineStr">
        <is>
          <t>To Do</t>
        </is>
      </c>
      <c r="L20" s="12" t="n"/>
      <c r="M20" s="12" t="n"/>
      <c r="N20" s="13" t="inlineStr">
        <is>
          <t>La pantalla muestra los datos reales del servidor y sus errores</t>
        </is>
      </c>
      <c r="O20" s="12" t="n"/>
      <c r="P20" s="12" t="n"/>
      <c r="Q20" s="13" t="n"/>
      <c r="R20" s="12">
        <f>IF(AND(K20&lt;&gt;"To Do",L20&lt;&gt;"Sí"),"⚠ pasó a Doing sin DoR",IF(AND(K20="Done",O20&lt;&gt;"Sí"),"⚠ Done sin criterio cumplido",IF(AND(K20="Doing",COUNTIFS($G$6:$G$266,G20,$K$6:$K$266,"Doing",$E$6:$E$266,"&lt;&gt;Scrum")&gt;2,E20&lt;&gt;"Scrum"),"⚠ más de 2 en Doing","ok")))</f>
        <v/>
      </c>
      <c r="S20">
        <f>IF($K20="To Do",COUNTIF($K$6:$K20,"To Do"),"")</f>
        <v/>
      </c>
      <c r="T20">
        <f>IF($K20="Doing",COUNTIF($K$6:$K20,"Doing"),"")</f>
        <v/>
      </c>
      <c r="U20">
        <f>IF($K20="Done",COUNTIF($K$6:$K20,"Done"),"")</f>
        <v/>
      </c>
    </row>
    <row r="21" ht="42" customHeight="1">
      <c r="B21" s="12" t="inlineStr">
        <is>
          <t>T-016</t>
        </is>
      </c>
      <c r="C21" s="12" t="inlineStr">
        <is>
          <t>HU-03</t>
        </is>
      </c>
      <c r="D21" s="13" t="inlineStr">
        <is>
          <t>Reportar la obra en semanas</t>
        </is>
      </c>
      <c r="E21" s="12" t="inlineStr">
        <is>
          <t>Pruebas</t>
        </is>
      </c>
      <c r="F21" s="13" t="inlineStr">
        <is>
          <t>Probar la funcionalidad de HU-03 (la API con Postman y la pantalla web) contra cada condición final y aprobar su PR</t>
        </is>
      </c>
      <c r="G21" s="12" t="inlineStr">
        <is>
          <t>Henry</t>
        </is>
      </c>
      <c r="H21" s="12" t="n">
        <v>1</v>
      </c>
      <c r="I21" s="12" t="inlineStr">
        <is>
          <t>27/10</t>
        </is>
      </c>
      <c r="J21" s="12" t="inlineStr">
        <is>
          <t>T-012, T-013, T-014, T-015, T-233</t>
        </is>
      </c>
      <c r="K21" s="12" t="inlineStr">
        <is>
          <t>To Do</t>
        </is>
      </c>
      <c r="L21" s="12" t="n"/>
      <c r="M21" s="12" t="n"/>
      <c r="N21" s="13" t="inlineStr">
        <is>
          <t>Cada condición final verificada con Postman y en la interfaz; PR aprobado por alguien distinto del autor</t>
        </is>
      </c>
      <c r="O21" s="12" t="n"/>
      <c r="P21" s="12" t="n"/>
      <c r="Q21" s="13" t="n"/>
      <c r="R21" s="12">
        <f>IF(AND(K21&lt;&gt;"To Do",L21&lt;&gt;"Sí"),"⚠ pasó a Doing sin DoR",IF(AND(K21="Done",O21&lt;&gt;"Sí"),"⚠ Done sin criterio cumplido",IF(AND(K21="Doing",COUNTIFS($G$6:$G$266,G21,$K$6:$K$266,"Doing",$E$6:$E$266,"&lt;&gt;Scrum")&gt;2,E21&lt;&gt;"Scrum"),"⚠ más de 2 en Doing","ok")))</f>
        <v/>
      </c>
      <c r="S21">
        <f>IF($K21="To Do",COUNTIF($K$6:$K21,"To Do"),"")</f>
        <v/>
      </c>
      <c r="T21">
        <f>IF($K21="Doing",COUNTIF($K$6:$K21,"Doing"),"")</f>
        <v/>
      </c>
      <c r="U21">
        <f>IF($K21="Done",COUNTIF($K$6:$K21,"Done"),"")</f>
        <v/>
      </c>
    </row>
    <row r="22" ht="42" customHeight="1">
      <c r="B22" s="14" t="inlineStr">
        <is>
          <t>T-017</t>
        </is>
      </c>
      <c r="C22" s="14" t="inlineStr">
        <is>
          <t>HU-03</t>
        </is>
      </c>
      <c r="D22" s="15" t="inlineStr">
        <is>
          <t>Reportar la obra en semanas</t>
        </is>
      </c>
      <c r="E22" s="14" t="inlineStr">
        <is>
          <t>Aceptación</t>
        </is>
      </c>
      <c r="F22" s="15" t="inlineStr">
        <is>
          <t>Aceptar HU-03 como Product Owner desde la interfaz y moverla a Done</t>
        </is>
      </c>
      <c r="G22" s="14" t="inlineStr">
        <is>
          <t>Adiel</t>
        </is>
      </c>
      <c r="H22" s="14" t="n">
        <v>0.5</v>
      </c>
      <c r="I22" s="14" t="inlineStr">
        <is>
          <t>27/10</t>
        </is>
      </c>
      <c r="J22" s="14" t="inlineStr">
        <is>
          <t>T-016</t>
        </is>
      </c>
      <c r="K22" s="14" t="inlineStr">
        <is>
          <t>To Do</t>
        </is>
      </c>
      <c r="L22" s="14" t="n"/>
      <c r="M22" s="14" t="n"/>
      <c r="N22" s="15" t="inlineStr">
        <is>
          <t>DoD T1–T10 + condiciones finales aceptadas por el PO → la HU pasa a Done</t>
        </is>
      </c>
      <c r="O22" s="14" t="n"/>
      <c r="P22" s="14" t="n"/>
      <c r="Q22" s="15" t="n"/>
      <c r="R22" s="14">
        <f>IF(AND(K22&lt;&gt;"To Do",L22&lt;&gt;"Sí"),"⚠ pasó a Doing sin DoR",IF(AND(K22="Done",O22&lt;&gt;"Sí"),"⚠ Done sin criterio cumplido",IF(AND(K22="Doing",COUNTIFS($G$6:$G$266,G22,$K$6:$K$266,"Doing",$E$6:$E$266,"&lt;&gt;Scrum")&gt;2,E22&lt;&gt;"Scrum"),"⚠ más de 2 en Doing","ok")))</f>
        <v/>
      </c>
      <c r="S22">
        <f>IF($K22="To Do",COUNTIF($K$6:$K22,"To Do"),"")</f>
        <v/>
      </c>
      <c r="T22">
        <f>IF($K22="Doing",COUNTIF($K$6:$K22,"Doing"),"")</f>
        <v/>
      </c>
      <c r="U22">
        <f>IF($K22="Done",COUNTIF($K$6:$K22,"Done"),"")</f>
        <v/>
      </c>
    </row>
    <row r="23" ht="42" customHeight="1">
      <c r="B23" s="12" t="inlineStr">
        <is>
          <t>T-018</t>
        </is>
      </c>
      <c r="C23" s="12" t="inlineStr">
        <is>
          <t>HU-07</t>
        </is>
      </c>
      <c r="D23" s="13" t="inlineStr">
        <is>
          <t>Importar catálogo de insumos del S10</t>
        </is>
      </c>
      <c r="E23" s="12" t="inlineStr">
        <is>
          <t>Diseño UI</t>
        </is>
      </c>
      <c r="F23" s="13" t="inlineStr">
        <is>
          <t>Diseñar la interfaz de usuario de HU-07: pantalla 11 · Importar el catálogo del S10</t>
        </is>
      </c>
      <c r="G23" s="12" t="inlineStr">
        <is>
          <t>Fernando</t>
        </is>
      </c>
      <c r="H23" s="12" t="n">
        <v>1</v>
      </c>
      <c r="I23" s="12" t="inlineStr">
        <is>
          <t>23/10</t>
        </is>
      </c>
      <c r="J23" s="12" t="n"/>
      <c r="K23" s="12" t="inlineStr">
        <is>
          <t>Done</t>
        </is>
      </c>
      <c r="L23" s="12" t="inlineStr">
        <is>
          <t>Sí</t>
        </is>
      </c>
      <c r="M23" s="12" t="inlineStr">
        <is>
          <t>22/10/2026</t>
        </is>
      </c>
      <c r="N23" s="13" t="inlineStr">
        <is>
          <t>Mockup en el lienzo, revisado por el equipo</t>
        </is>
      </c>
      <c r="O23" s="12" t="inlineStr">
        <is>
          <t>Sí</t>
        </is>
      </c>
      <c r="P23" s="12" t="inlineStr">
        <is>
          <t>22/10/2026</t>
        </is>
      </c>
      <c r="Q23" s="13" t="inlineStr">
        <is>
          <t>Lienzo «SIGRO · Pantallas y diagramas del Sprint 1»</t>
        </is>
      </c>
      <c r="R23" s="12">
        <f>IF(AND(K23&lt;&gt;"To Do",L23&lt;&gt;"Sí"),"⚠ pasó a Doing sin DoR",IF(AND(K23="Done",O23&lt;&gt;"Sí"),"⚠ Done sin criterio cumplido",IF(AND(K23="Doing",COUNTIFS($G$6:$G$266,G23,$K$6:$K$266,"Doing",$E$6:$E$266,"&lt;&gt;Scrum")&gt;2,E23&lt;&gt;"Scrum"),"⚠ más de 2 en Doing","ok")))</f>
        <v/>
      </c>
      <c r="S23">
        <f>IF($K23="To Do",COUNTIF($K$6:$K23,"To Do"),"")</f>
        <v/>
      </c>
      <c r="T23">
        <f>IF($K23="Doing",COUNTIF($K$6:$K23,"Doing"),"")</f>
        <v/>
      </c>
      <c r="U23">
        <f>IF($K23="Done",COUNTIF($K$6:$K23,"Done"),"")</f>
        <v/>
      </c>
    </row>
    <row r="24" ht="42" customHeight="1">
      <c r="B24" s="12" t="inlineStr">
        <is>
          <t>T-019</t>
        </is>
      </c>
      <c r="C24" s="12" t="inlineStr">
        <is>
          <t>HU-07</t>
        </is>
      </c>
      <c r="D24" s="13" t="inlineStr">
        <is>
          <t>Importar catálogo de insumos del S10</t>
        </is>
      </c>
      <c r="E24" s="12" t="inlineStr">
        <is>
          <t>Modelado UML</t>
        </is>
      </c>
      <c r="F24" s="13" t="inlineStr">
        <is>
          <t>Modelar la funcionalidad de HU-07 con el diagrama UML de secuencia de la importación del S10 por el microservicio</t>
        </is>
      </c>
      <c r="G24" s="12" t="inlineStr">
        <is>
          <t>Fernando</t>
        </is>
      </c>
      <c r="H24" s="12" t="n">
        <v>1</v>
      </c>
      <c r="I24" s="12" t="inlineStr">
        <is>
          <t>24/10</t>
        </is>
      </c>
      <c r="J24" s="12" t="n"/>
      <c r="K24" s="12" t="inlineStr">
        <is>
          <t>Done</t>
        </is>
      </c>
      <c r="L24" s="12" t="inlineStr">
        <is>
          <t>Sí</t>
        </is>
      </c>
      <c r="M24" s="12" t="inlineStr">
        <is>
          <t>22/10/2026</t>
        </is>
      </c>
      <c r="N24" s="13" t="inlineStr">
        <is>
          <t>Diagrama publicado en el repo o el lienzo</t>
        </is>
      </c>
      <c r="O24" s="12" t="inlineStr">
        <is>
          <t>Sí</t>
        </is>
      </c>
      <c r="P24" s="12" t="inlineStr">
        <is>
          <t>22/10/2026</t>
        </is>
      </c>
      <c r="Q24" s="13" t="inlineStr">
        <is>
          <t>Lienzo del Sprint 1</t>
        </is>
      </c>
      <c r="R24" s="12">
        <f>IF(AND(K24&lt;&gt;"To Do",L24&lt;&gt;"Sí"),"⚠ pasó a Doing sin DoR",IF(AND(K24="Done",O24&lt;&gt;"Sí"),"⚠ Done sin criterio cumplido",IF(AND(K24="Doing",COUNTIFS($G$6:$G$266,G24,$K$6:$K$266,"Doing",$E$6:$E$266,"&lt;&gt;Scrum")&gt;2,E24&lt;&gt;"Scrum"),"⚠ más de 2 en Doing","ok")))</f>
        <v/>
      </c>
      <c r="S24">
        <f>IF($K24="To Do",COUNTIF($K$6:$K24,"To Do"),"")</f>
        <v/>
      </c>
      <c r="T24">
        <f>IF($K24="Doing",COUNTIF($K$6:$K24,"Doing"),"")</f>
        <v/>
      </c>
      <c r="U24">
        <f>IF($K24="Done",COUNTIF($K$6:$K24,"Done"),"")</f>
        <v/>
      </c>
    </row>
    <row r="25" ht="42" customHeight="1">
      <c r="B25" s="12" t="inlineStr">
        <is>
          <t>T-020</t>
        </is>
      </c>
      <c r="C25" s="12" t="inlineStr">
        <is>
          <t>HU-07</t>
        </is>
      </c>
      <c r="D25" s="13" t="inlineStr">
        <is>
          <t>Importar catálogo de insumos del S10</t>
        </is>
      </c>
      <c r="E25" s="12" t="inlineStr">
        <is>
          <t>Base de datos</t>
        </is>
      </c>
      <c r="F25" s="13" t="inlineStr">
        <is>
          <t>Implementar las tablas asociadas a HU-07: insumo (crear/actualizar por código)</t>
        </is>
      </c>
      <c r="G25" s="12" t="inlineStr">
        <is>
          <t>Adiel</t>
        </is>
      </c>
      <c r="H25" s="12" t="n">
        <v>1</v>
      </c>
      <c r="I25" s="12" t="inlineStr">
        <is>
          <t>24/10</t>
        </is>
      </c>
      <c r="J25" s="12" t="inlineStr">
        <is>
          <t>T-019</t>
        </is>
      </c>
      <c r="K25" s="12" t="inlineStr">
        <is>
          <t>To Do</t>
        </is>
      </c>
      <c r="L25" s="12" t="n"/>
      <c r="M25" s="12" t="n"/>
      <c r="N25" s="13" t="inlineStr">
        <is>
          <t>Migración fusionada, corre en base limpia y con datos, y se revierte</t>
        </is>
      </c>
      <c r="O25" s="12" t="n"/>
      <c r="P25" s="12" t="n"/>
      <c r="Q25" s="13" t="n"/>
      <c r="R25" s="12">
        <f>IF(AND(K25&lt;&gt;"To Do",L25&lt;&gt;"Sí"),"⚠ pasó a Doing sin DoR",IF(AND(K25="Done",O25&lt;&gt;"Sí"),"⚠ Done sin criterio cumplido",IF(AND(K25="Doing",COUNTIFS($G$6:$G$266,G25,$K$6:$K$266,"Doing",$E$6:$E$266,"&lt;&gt;Scrum")&gt;2,E25&lt;&gt;"Scrum"),"⚠ más de 2 en Doing","ok")))</f>
        <v/>
      </c>
      <c r="S25">
        <f>IF($K25="To Do",COUNTIF($K$6:$K25,"To Do"),"")</f>
        <v/>
      </c>
      <c r="T25">
        <f>IF($K25="Doing",COUNTIF($K$6:$K25,"Doing"),"")</f>
        <v/>
      </c>
      <c r="U25">
        <f>IF($K25="Done",COUNTIF($K$6:$K25,"Done"),"")</f>
        <v/>
      </c>
    </row>
    <row r="26" ht="42" customHeight="1">
      <c r="B26" s="12" t="inlineStr">
        <is>
          <t>T-021</t>
        </is>
      </c>
      <c r="C26" s="12" t="inlineStr">
        <is>
          <t>HU-07</t>
        </is>
      </c>
      <c r="D26" s="13" t="inlineStr">
        <is>
          <t>Importar catálogo de insumos del S10</t>
        </is>
      </c>
      <c r="E26" s="12" t="inlineStr">
        <is>
          <t>Backend</t>
        </is>
      </c>
      <c r="F26" s="13" t="inlineStr">
        <is>
          <t>Programar el back-end de HU-07 (entidad, repositorio, servicio y controlador): el endpoint que aplica la importación: crear o actualizar insumos por código sin tocar saldos</t>
        </is>
      </c>
      <c r="G26" s="12" t="inlineStr">
        <is>
          <t>Adiel</t>
        </is>
      </c>
      <c r="H26" s="12" t="n">
        <v>4</v>
      </c>
      <c r="I26" s="12" t="inlineStr">
        <is>
          <t>25/10</t>
        </is>
      </c>
      <c r="J26" s="12" t="inlineStr">
        <is>
          <t>T-020</t>
        </is>
      </c>
      <c r="K26" s="12" t="inlineStr">
        <is>
          <t>To Do</t>
        </is>
      </c>
      <c r="L26" s="12" t="n"/>
      <c r="M26" s="12" t="n"/>
      <c r="N26" s="13" t="inlineStr">
        <is>
          <t>PR fusionado con sus pruebas automáticas en verde y el endpoint documentado</t>
        </is>
      </c>
      <c r="O26" s="12" t="n"/>
      <c r="P26" s="12" t="n"/>
      <c r="Q26" s="13" t="n"/>
      <c r="R26" s="12">
        <f>IF(AND(K26&lt;&gt;"To Do",L26&lt;&gt;"Sí"),"⚠ pasó a Doing sin DoR",IF(AND(K26="Done",O26&lt;&gt;"Sí"),"⚠ Done sin criterio cumplido",IF(AND(K26="Doing",COUNTIFS($G$6:$G$266,G26,$K$6:$K$266,"Doing",$E$6:$E$266,"&lt;&gt;Scrum")&gt;2,E26&lt;&gt;"Scrum"),"⚠ más de 2 en Doing","ok")))</f>
        <v/>
      </c>
      <c r="S26">
        <f>IF($K26="To Do",COUNTIF($K$6:$K26,"To Do"),"")</f>
        <v/>
      </c>
      <c r="T26">
        <f>IF($K26="Doing",COUNTIF($K$6:$K26,"Doing"),"")</f>
        <v/>
      </c>
      <c r="U26">
        <f>IF($K26="Done",COUNTIF($K$6:$K26,"Done"),"")</f>
        <v/>
      </c>
    </row>
    <row r="27" ht="42" customHeight="1">
      <c r="B27" s="12" t="inlineStr">
        <is>
          <t>T-022</t>
        </is>
      </c>
      <c r="C27" s="12" t="inlineStr">
        <is>
          <t>HU-07</t>
        </is>
      </c>
      <c r="D27" s="13" t="inlineStr">
        <is>
          <t>Importar catálogo de insumos del S10</t>
        </is>
      </c>
      <c r="E27" s="12" t="inlineStr">
        <is>
          <t>Backend</t>
        </is>
      </c>
      <c r="F27" s="13" t="inlineStr">
        <is>
          <t>Configurar la llamada de la API a Integraciones con el token de servicio en docker compose</t>
        </is>
      </c>
      <c r="G27" s="12" t="inlineStr">
        <is>
          <t>Adiel</t>
        </is>
      </c>
      <c r="H27" s="12" t="n">
        <v>4</v>
      </c>
      <c r="I27" s="12" t="inlineStr">
        <is>
          <t>25/10</t>
        </is>
      </c>
      <c r="J27" s="12" t="inlineStr">
        <is>
          <t>T-020</t>
        </is>
      </c>
      <c r="K27" s="12" t="inlineStr">
        <is>
          <t>To Do</t>
        </is>
      </c>
      <c r="L27" s="12" t="n"/>
      <c r="M27" s="12" t="n"/>
      <c r="N27" s="13" t="inlineStr">
        <is>
          <t>PR fusionado con sus pruebas automáticas en verde y el endpoint documentado</t>
        </is>
      </c>
      <c r="O27" s="12" t="n"/>
      <c r="P27" s="12" t="n"/>
      <c r="Q27" s="13" t="n"/>
      <c r="R27" s="12">
        <f>IF(AND(K27&lt;&gt;"To Do",L27&lt;&gt;"Sí"),"⚠ pasó a Doing sin DoR",IF(AND(K27="Done",O27&lt;&gt;"Sí"),"⚠ Done sin criterio cumplido",IF(AND(K27="Doing",COUNTIFS($G$6:$G$266,G27,$K$6:$K$266,"Doing",$E$6:$E$266,"&lt;&gt;Scrum")&gt;2,E27&lt;&gt;"Scrum"),"⚠ más de 2 en Doing","ok")))</f>
        <v/>
      </c>
      <c r="S27">
        <f>IF($K27="To Do",COUNTIF($K$6:$K27,"To Do"),"")</f>
        <v/>
      </c>
      <c r="T27">
        <f>IF($K27="Doing",COUNTIF($K$6:$K27,"Doing"),"")</f>
        <v/>
      </c>
      <c r="U27">
        <f>IF($K27="Done",COUNTIF($K$6:$K27,"Done"),"")</f>
        <v/>
      </c>
    </row>
    <row r="28" ht="42" customHeight="1">
      <c r="B28" s="12" t="inlineStr">
        <is>
          <t>T-023</t>
        </is>
      </c>
      <c r="C28" s="12" t="inlineStr">
        <is>
          <t>HU-07</t>
        </is>
      </c>
      <c r="D28" s="13" t="inlineStr">
        <is>
          <t>Importar catálogo de insumos del S10</t>
        </is>
      </c>
      <c r="E28" s="12" t="inlineStr">
        <is>
          <t>Integración</t>
        </is>
      </c>
      <c r="F28" s="13" t="inlineStr">
        <is>
          <t>Programar el lector del PDF «Relación de insumos» del S10 en el microservicio — integración con S10 (relación de insumos)</t>
        </is>
      </c>
      <c r="G28" s="12" t="inlineStr">
        <is>
          <t>Fernando</t>
        </is>
      </c>
      <c r="H28" s="12" t="n">
        <v>4</v>
      </c>
      <c r="I28" s="12" t="inlineStr">
        <is>
          <t>25/10</t>
        </is>
      </c>
      <c r="J28" s="12" t="n"/>
      <c r="K28" s="12" t="inlineStr">
        <is>
          <t>Done</t>
        </is>
      </c>
      <c r="L28" s="12" t="inlineStr">
        <is>
          <t>Sí</t>
        </is>
      </c>
      <c r="M28" s="12" t="inlineStr">
        <is>
          <t>22/10/2026</t>
        </is>
      </c>
      <c r="N28" s="13" t="inlineStr">
        <is>
          <t>Probado con el archivo o servicio real, PR fusionado</t>
        </is>
      </c>
      <c r="O28" s="12" t="inlineStr">
        <is>
          <t>Sí</t>
        </is>
      </c>
      <c r="P28" s="12" t="inlineStr">
        <is>
          <t>22/10/2026</t>
        </is>
      </c>
      <c r="Q28" s="13" t="inlineStr">
        <is>
          <t>Commit del 22/10 09:30</t>
        </is>
      </c>
      <c r="R28" s="12">
        <f>IF(AND(K28&lt;&gt;"To Do",L28&lt;&gt;"Sí"),"⚠ pasó a Doing sin DoR",IF(AND(K28="Done",O28&lt;&gt;"Sí"),"⚠ Done sin criterio cumplido",IF(AND(K28="Doing",COUNTIFS($G$6:$G$266,G28,$K$6:$K$266,"Doing",$E$6:$E$266,"&lt;&gt;Scrum")&gt;2,E28&lt;&gt;"Scrum"),"⚠ más de 2 en Doing","ok")))</f>
        <v/>
      </c>
      <c r="S28">
        <f>IF($K28="To Do",COUNTIF($K$6:$K28,"To Do"),"")</f>
        <v/>
      </c>
      <c r="T28">
        <f>IF($K28="Doing",COUNTIF($K$6:$K28,"Doing"),"")</f>
        <v/>
      </c>
      <c r="U28">
        <f>IF($K28="Done",COUNTIF($K$6:$K28,"Done"),"")</f>
        <v/>
      </c>
    </row>
    <row r="29" ht="42" customHeight="1">
      <c r="B29" s="12" t="inlineStr">
        <is>
          <t>T-024</t>
        </is>
      </c>
      <c r="C29" s="12" t="inlineStr">
        <is>
          <t>HU-07</t>
        </is>
      </c>
      <c r="D29" s="13" t="inlineStr">
        <is>
          <t>Importar catálogo de insumos del S10</t>
        </is>
      </c>
      <c r="E29" s="12" t="inlineStr">
        <is>
          <t>Front-end web</t>
        </is>
      </c>
      <c r="F29" s="13" t="inlineStr">
        <is>
          <t>Programar la pantalla web «Importar del S10» con el resumen de creados, actualizados y fallidos</t>
        </is>
      </c>
      <c r="G29" s="12" t="inlineStr">
        <is>
          <t>Fernando</t>
        </is>
      </c>
      <c r="H29" s="12" t="n">
        <v>4</v>
      </c>
      <c r="I29" s="12" t="inlineStr">
        <is>
          <t>26/10</t>
        </is>
      </c>
      <c r="J29" s="12" t="n"/>
      <c r="K29" s="12" t="inlineStr">
        <is>
          <t>Done</t>
        </is>
      </c>
      <c r="L29" s="12" t="inlineStr">
        <is>
          <t>Sí</t>
        </is>
      </c>
      <c r="M29" s="12" t="inlineStr">
        <is>
          <t>22/10/2026</t>
        </is>
      </c>
      <c r="N29" s="13" t="inlineStr">
        <is>
          <t>PR fusionado, build sin errores, modo claro/oscuro y escala 125 %</t>
        </is>
      </c>
      <c r="O29" s="12" t="inlineStr">
        <is>
          <t>Sí</t>
        </is>
      </c>
      <c r="P29" s="12" t="inlineStr">
        <is>
          <t>22/10/2026</t>
        </is>
      </c>
      <c r="Q29" s="13" t="inlineStr">
        <is>
          <t>Commit del 22/10 09:30</t>
        </is>
      </c>
      <c r="R29" s="12">
        <f>IF(AND(K29&lt;&gt;"To Do",L29&lt;&gt;"Sí"),"⚠ pasó a Doing sin DoR",IF(AND(K29="Done",O29&lt;&gt;"Sí"),"⚠ Done sin criterio cumplido",IF(AND(K29="Doing",COUNTIFS($G$6:$G$266,G29,$K$6:$K$266,"Doing",$E$6:$E$266,"&lt;&gt;Scrum")&gt;2,E29&lt;&gt;"Scrum"),"⚠ más de 2 en Doing","ok")))</f>
        <v/>
      </c>
      <c r="S29">
        <f>IF($K29="To Do",COUNTIF($K$6:$K29,"To Do"),"")</f>
        <v/>
      </c>
      <c r="T29">
        <f>IF($K29="Doing",COUNTIF($K$6:$K29,"Doing"),"")</f>
        <v/>
      </c>
      <c r="U29">
        <f>IF($K29="Done",COUNTIF($K$6:$K29,"Done"),"")</f>
        <v/>
      </c>
    </row>
    <row r="30" ht="42" customHeight="1">
      <c r="B30" s="12" t="inlineStr">
        <is>
          <t>T-025</t>
        </is>
      </c>
      <c r="C30" s="12" t="inlineStr">
        <is>
          <t>HU-07</t>
        </is>
      </c>
      <c r="D30" s="13" t="inlineStr">
        <is>
          <t>Importar catálogo de insumos del S10</t>
        </is>
      </c>
      <c r="E30" s="12" t="inlineStr">
        <is>
          <t>Pruebas</t>
        </is>
      </c>
      <c r="F30" s="13" t="inlineStr">
        <is>
          <t>Probar la funcionalidad de HU-07 (la API con Postman y la pantalla web) contra cada condición final y aprobar su PR</t>
        </is>
      </c>
      <c r="G30" s="12" t="inlineStr">
        <is>
          <t>Henry</t>
        </is>
      </c>
      <c r="H30" s="12" t="n">
        <v>1</v>
      </c>
      <c r="I30" s="12" t="inlineStr">
        <is>
          <t>27/10</t>
        </is>
      </c>
      <c r="J30" s="12" t="inlineStr">
        <is>
          <t>T-020, T-021, T-022, T-023, T-024, T-233</t>
        </is>
      </c>
      <c r="K30" s="12" t="inlineStr">
        <is>
          <t>To Do</t>
        </is>
      </c>
      <c r="L30" s="12" t="n"/>
      <c r="M30" s="12" t="n"/>
      <c r="N30" s="13" t="inlineStr">
        <is>
          <t>Cada condición final verificada con Postman y en la interfaz; PR aprobado por alguien distinto del autor</t>
        </is>
      </c>
      <c r="O30" s="12" t="n"/>
      <c r="P30" s="12" t="n"/>
      <c r="Q30" s="13" t="n"/>
      <c r="R30" s="12">
        <f>IF(AND(K30&lt;&gt;"To Do",L30&lt;&gt;"Sí"),"⚠ pasó a Doing sin DoR",IF(AND(K30="Done",O30&lt;&gt;"Sí"),"⚠ Done sin criterio cumplido",IF(AND(K30="Doing",COUNTIFS($G$6:$G$266,G30,$K$6:$K$266,"Doing",$E$6:$E$266,"&lt;&gt;Scrum")&gt;2,E30&lt;&gt;"Scrum"),"⚠ más de 2 en Doing","ok")))</f>
        <v/>
      </c>
      <c r="S30">
        <f>IF($K30="To Do",COUNTIF($K$6:$K30,"To Do"),"")</f>
        <v/>
      </c>
      <c r="T30">
        <f>IF($K30="Doing",COUNTIF($K$6:$K30,"Doing"),"")</f>
        <v/>
      </c>
      <c r="U30">
        <f>IF($K30="Done",COUNTIF($K$6:$K30,"Done"),"")</f>
        <v/>
      </c>
    </row>
    <row r="31" ht="42" customHeight="1">
      <c r="B31" s="14" t="inlineStr">
        <is>
          <t>T-026</t>
        </is>
      </c>
      <c r="C31" s="14" t="inlineStr">
        <is>
          <t>HU-07</t>
        </is>
      </c>
      <c r="D31" s="15" t="inlineStr">
        <is>
          <t>Importar catálogo de insumos del S10</t>
        </is>
      </c>
      <c r="E31" s="14" t="inlineStr">
        <is>
          <t>Aceptación</t>
        </is>
      </c>
      <c r="F31" s="15" t="inlineStr">
        <is>
          <t>Aceptar HU-07 como Product Owner desde la interfaz y moverla a Done</t>
        </is>
      </c>
      <c r="G31" s="14" t="inlineStr">
        <is>
          <t>Adiel</t>
        </is>
      </c>
      <c r="H31" s="14" t="n">
        <v>0.5</v>
      </c>
      <c r="I31" s="14" t="inlineStr">
        <is>
          <t>27/10</t>
        </is>
      </c>
      <c r="J31" s="14" t="inlineStr">
        <is>
          <t>T-025</t>
        </is>
      </c>
      <c r="K31" s="14" t="inlineStr">
        <is>
          <t>To Do</t>
        </is>
      </c>
      <c r="L31" s="14" t="n"/>
      <c r="M31" s="14" t="n"/>
      <c r="N31" s="15" t="inlineStr">
        <is>
          <t>DoD T1–T10 + condiciones finales aceptadas por el PO → la HU pasa a Done</t>
        </is>
      </c>
      <c r="O31" s="14" t="n"/>
      <c r="P31" s="14" t="n"/>
      <c r="Q31" s="15" t="n"/>
      <c r="R31" s="14">
        <f>IF(AND(K31&lt;&gt;"To Do",L31&lt;&gt;"Sí"),"⚠ pasó a Doing sin DoR",IF(AND(K31="Done",O31&lt;&gt;"Sí"),"⚠ Done sin criterio cumplido",IF(AND(K31="Doing",COUNTIFS($G$6:$G$266,G31,$K$6:$K$266,"Doing",$E$6:$E$266,"&lt;&gt;Scrum")&gt;2,E31&lt;&gt;"Scrum"),"⚠ más de 2 en Doing","ok")))</f>
        <v/>
      </c>
      <c r="S31">
        <f>IF($K31="To Do",COUNTIF($K$6:$K31,"To Do"),"")</f>
        <v/>
      </c>
      <c r="T31">
        <f>IF($K31="Doing",COUNTIF($K$6:$K31,"Doing"),"")</f>
        <v/>
      </c>
      <c r="U31">
        <f>IF($K31="Done",COUNTIF($K$6:$K31,"Done"),"")</f>
        <v/>
      </c>
    </row>
    <row r="32" ht="42" customHeight="1">
      <c r="B32" s="12" t="inlineStr">
        <is>
          <t>T-027</t>
        </is>
      </c>
      <c r="C32" s="12" t="inlineStr">
        <is>
          <t>HU-08</t>
        </is>
      </c>
      <c r="D32" s="13" t="inlineStr">
        <is>
          <t>Registrar insumos</t>
        </is>
      </c>
      <c r="E32" s="12" t="inlineStr">
        <is>
          <t>Diseño UI</t>
        </is>
      </c>
      <c r="F32" s="13" t="inlineStr">
        <is>
          <t>Diseñar la interfaz de usuario de HU-08: pantalla 16 · Catálogo e insumo</t>
        </is>
      </c>
      <c r="G32" s="12" t="inlineStr">
        <is>
          <t>Fernando</t>
        </is>
      </c>
      <c r="H32" s="12" t="n">
        <v>1</v>
      </c>
      <c r="I32" s="12" t="inlineStr">
        <is>
          <t>23/10</t>
        </is>
      </c>
      <c r="J32" s="12" t="n"/>
      <c r="K32" s="12" t="inlineStr">
        <is>
          <t>Done</t>
        </is>
      </c>
      <c r="L32" s="12" t="inlineStr">
        <is>
          <t>Sí</t>
        </is>
      </c>
      <c r="M32" s="12" t="inlineStr">
        <is>
          <t>22/10/2026</t>
        </is>
      </c>
      <c r="N32" s="13" t="inlineStr">
        <is>
          <t>Mockup en el lienzo, revisado por el equipo</t>
        </is>
      </c>
      <c r="O32" s="12" t="inlineStr">
        <is>
          <t>Sí</t>
        </is>
      </c>
      <c r="P32" s="12" t="inlineStr">
        <is>
          <t>22/10/2026</t>
        </is>
      </c>
      <c r="Q32" s="13" t="inlineStr">
        <is>
          <t>Lienzo «SIGRO · Pantallas y diagramas del Sprint 1»</t>
        </is>
      </c>
      <c r="R32" s="12">
        <f>IF(AND(K32&lt;&gt;"To Do",L32&lt;&gt;"Sí"),"⚠ pasó a Doing sin DoR",IF(AND(K32="Done",O32&lt;&gt;"Sí"),"⚠ Done sin criterio cumplido",IF(AND(K32="Doing",COUNTIFS($G$6:$G$266,G32,$K$6:$K$266,"Doing",$E$6:$E$266,"&lt;&gt;Scrum")&gt;2,E32&lt;&gt;"Scrum"),"⚠ más de 2 en Doing","ok")))</f>
        <v/>
      </c>
      <c r="S32">
        <f>IF($K32="To Do",COUNTIF($K$6:$K32,"To Do"),"")</f>
        <v/>
      </c>
      <c r="T32">
        <f>IF($K32="Doing",COUNTIF($K$6:$K32,"Doing"),"")</f>
        <v/>
      </c>
      <c r="U32">
        <f>IF($K32="Done",COUNTIF($K$6:$K32,"Done"),"")</f>
        <v/>
      </c>
    </row>
    <row r="33" ht="42" customHeight="1">
      <c r="B33" s="12" t="inlineStr">
        <is>
          <t>T-028</t>
        </is>
      </c>
      <c r="C33" s="12" t="inlineStr">
        <is>
          <t>HU-08</t>
        </is>
      </c>
      <c r="D33" s="13" t="inlineStr">
        <is>
          <t>Registrar insumos</t>
        </is>
      </c>
      <c r="E33" s="12" t="inlineStr">
        <is>
          <t>Modelado UML</t>
        </is>
      </c>
      <c r="F33" s="13" t="inlineStr">
        <is>
          <t>Modelar la funcionalidad de HU-08 con el diagrama UML de secuencia del alta de insumo con verificación de duplicado</t>
        </is>
      </c>
      <c r="G33" s="12" t="inlineStr">
        <is>
          <t>Fernando</t>
        </is>
      </c>
      <c r="H33" s="12" t="n">
        <v>1</v>
      </c>
      <c r="I33" s="12" t="inlineStr">
        <is>
          <t>24/10</t>
        </is>
      </c>
      <c r="J33" s="12" t="inlineStr">
        <is>
          <t>T-027</t>
        </is>
      </c>
      <c r="K33" s="12" t="inlineStr">
        <is>
          <t>To Do</t>
        </is>
      </c>
      <c r="L33" s="12" t="n"/>
      <c r="M33" s="12" t="n"/>
      <c r="N33" s="13" t="inlineStr">
        <is>
          <t>Diagrama publicado en el repo o el lienzo</t>
        </is>
      </c>
      <c r="O33" s="12" t="n"/>
      <c r="P33" s="12" t="n"/>
      <c r="Q33" s="13" t="n"/>
      <c r="R33" s="12">
        <f>IF(AND(K33&lt;&gt;"To Do",L33&lt;&gt;"Sí"),"⚠ pasó a Doing sin DoR",IF(AND(K33="Done",O33&lt;&gt;"Sí"),"⚠ Done sin criterio cumplido",IF(AND(K33="Doing",COUNTIFS($G$6:$G$266,G33,$K$6:$K$266,"Doing",$E$6:$E$266,"&lt;&gt;Scrum")&gt;2,E33&lt;&gt;"Scrum"),"⚠ más de 2 en Doing","ok")))</f>
        <v/>
      </c>
      <c r="S33">
        <f>IF($K33="To Do",COUNTIF($K$6:$K33,"To Do"),"")</f>
        <v/>
      </c>
      <c r="T33">
        <f>IF($K33="Doing",COUNTIF($K$6:$K33,"Doing"),"")</f>
        <v/>
      </c>
      <c r="U33">
        <f>IF($K33="Done",COUNTIF($K$6:$K33,"Done"),"")</f>
        <v/>
      </c>
    </row>
    <row r="34" ht="42" customHeight="1">
      <c r="B34" s="12" t="inlineStr">
        <is>
          <t>T-029</t>
        </is>
      </c>
      <c r="C34" s="12" t="inlineStr">
        <is>
          <t>HU-08</t>
        </is>
      </c>
      <c r="D34" s="13" t="inlineStr">
        <is>
          <t>Registrar insumos</t>
        </is>
      </c>
      <c r="E34" s="12" t="inlineStr">
        <is>
          <t>Base de datos</t>
        </is>
      </c>
      <c r="F34" s="13" t="inlineStr">
        <is>
          <t>Implementar las tablas asociadas a HU-08: insumo, insumo_nombre_comercial</t>
        </is>
      </c>
      <c r="G34" s="12" t="inlineStr">
        <is>
          <t>Adiel</t>
        </is>
      </c>
      <c r="H34" s="12" t="n">
        <v>1</v>
      </c>
      <c r="I34" s="12" t="inlineStr">
        <is>
          <t>24/10</t>
        </is>
      </c>
      <c r="J34" s="12" t="inlineStr">
        <is>
          <t>T-028</t>
        </is>
      </c>
      <c r="K34" s="12" t="inlineStr">
        <is>
          <t>To Do</t>
        </is>
      </c>
      <c r="L34" s="12" t="n"/>
      <c r="M34" s="12" t="n"/>
      <c r="N34" s="13" t="inlineStr">
        <is>
          <t>Migración fusionada, corre en base limpia y con datos, y se revierte</t>
        </is>
      </c>
      <c r="O34" s="12" t="n"/>
      <c r="P34" s="12" t="n"/>
      <c r="Q34" s="13" t="n"/>
      <c r="R34" s="12">
        <f>IF(AND(K34&lt;&gt;"To Do",L34&lt;&gt;"Sí"),"⚠ pasó a Doing sin DoR",IF(AND(K34="Done",O34&lt;&gt;"Sí"),"⚠ Done sin criterio cumplido",IF(AND(K34="Doing",COUNTIFS($G$6:$G$266,G34,$K$6:$K$266,"Doing",$E$6:$E$266,"&lt;&gt;Scrum")&gt;2,E34&lt;&gt;"Scrum"),"⚠ más de 2 en Doing","ok")))</f>
        <v/>
      </c>
      <c r="S34">
        <f>IF($K34="To Do",COUNTIF($K$6:$K34,"To Do"),"")</f>
        <v/>
      </c>
      <c r="T34">
        <f>IF($K34="Doing",COUNTIF($K$6:$K34,"Doing"),"")</f>
        <v/>
      </c>
      <c r="U34">
        <f>IF($K34="Done",COUNTIF($K$6:$K34,"Done"),"")</f>
        <v/>
      </c>
    </row>
    <row r="35" ht="42" customHeight="1">
      <c r="B35" s="12" t="inlineStr">
        <is>
          <t>T-030</t>
        </is>
      </c>
      <c r="C35" s="12" t="inlineStr">
        <is>
          <t>HU-08</t>
        </is>
      </c>
      <c r="D35" s="13" t="inlineStr">
        <is>
          <t>Registrar insumos</t>
        </is>
      </c>
      <c r="E35" s="12" t="inlineStr">
        <is>
          <t>Backend</t>
        </is>
      </c>
      <c r="F35" s="13" t="inlineStr">
        <is>
          <t>Programar el back-end de HU-08 (entidad, repositorio, servicio y controlador): el endpoint del catálogo: generar código único, rechazar duplicados y marcar «por verificar»</t>
        </is>
      </c>
      <c r="G35" s="12" t="inlineStr">
        <is>
          <t>Adiel</t>
        </is>
      </c>
      <c r="H35" s="12" t="n">
        <v>3</v>
      </c>
      <c r="I35" s="12" t="inlineStr">
        <is>
          <t>25/10</t>
        </is>
      </c>
      <c r="J35" s="12" t="inlineStr">
        <is>
          <t>T-029</t>
        </is>
      </c>
      <c r="K35" s="12" t="inlineStr">
        <is>
          <t>To Do</t>
        </is>
      </c>
      <c r="L35" s="12" t="n"/>
      <c r="M35" s="12" t="n"/>
      <c r="N35" s="13" t="inlineStr">
        <is>
          <t>PR fusionado con sus pruebas automáticas en verde y el endpoint documentado</t>
        </is>
      </c>
      <c r="O35" s="12" t="n"/>
      <c r="P35" s="12" t="n"/>
      <c r="Q35" s="13" t="n"/>
      <c r="R35" s="12">
        <f>IF(AND(K35&lt;&gt;"To Do",L35&lt;&gt;"Sí"),"⚠ pasó a Doing sin DoR",IF(AND(K35="Done",O35&lt;&gt;"Sí"),"⚠ Done sin criterio cumplido",IF(AND(K35="Doing",COUNTIFS($G$6:$G$266,G35,$K$6:$K$266,"Doing",$E$6:$E$266,"&lt;&gt;Scrum")&gt;2,E35&lt;&gt;"Scrum"),"⚠ más de 2 en Doing","ok")))</f>
        <v/>
      </c>
      <c r="S35">
        <f>IF($K35="To Do",COUNTIF($K$6:$K35,"To Do"),"")</f>
        <v/>
      </c>
      <c r="T35">
        <f>IF($K35="Doing",COUNTIF($K$6:$K35,"Doing"),"")</f>
        <v/>
      </c>
      <c r="U35">
        <f>IF($K35="Done",COUNTIF($K$6:$K35,"Done"),"")</f>
        <v/>
      </c>
    </row>
    <row r="36" ht="42" customHeight="1">
      <c r="B36" s="12" t="inlineStr">
        <is>
          <t>T-031</t>
        </is>
      </c>
      <c r="C36" s="12" t="inlineStr">
        <is>
          <t>HU-08</t>
        </is>
      </c>
      <c r="D36" s="13" t="inlineStr">
        <is>
          <t>Registrar insumos</t>
        </is>
      </c>
      <c r="E36" s="12" t="inlineStr">
        <is>
          <t>Front-end web</t>
        </is>
      </c>
      <c r="F36" s="13" t="inlineStr">
        <is>
          <t>Programar la pantalla web del catálogo para ver, dar de alta y editar insumos</t>
        </is>
      </c>
      <c r="G36" s="12" t="inlineStr">
        <is>
          <t>Fernando</t>
        </is>
      </c>
      <c r="H36" s="12" t="n">
        <v>3</v>
      </c>
      <c r="I36" s="12" t="inlineStr">
        <is>
          <t>26/10</t>
        </is>
      </c>
      <c r="J36" s="12" t="n"/>
      <c r="K36" s="12" t="inlineStr">
        <is>
          <t>Done</t>
        </is>
      </c>
      <c r="L36" s="12" t="inlineStr">
        <is>
          <t>Sí</t>
        </is>
      </c>
      <c r="M36" s="12" t="inlineStr">
        <is>
          <t>22/10/2026</t>
        </is>
      </c>
      <c r="N36" s="13" t="inlineStr">
        <is>
          <t>PR fusionado, build sin errores, modo claro/oscuro y escala 125 %</t>
        </is>
      </c>
      <c r="O36" s="12" t="inlineStr">
        <is>
          <t>Sí</t>
        </is>
      </c>
      <c r="P36" s="12" t="inlineStr">
        <is>
          <t>22/10/2026</t>
        </is>
      </c>
      <c r="Q36" s="13" t="inlineStr">
        <is>
          <t>Commit del 22/10 09:30 (datos simulados)</t>
        </is>
      </c>
      <c r="R36" s="12">
        <f>IF(AND(K36&lt;&gt;"To Do",L36&lt;&gt;"Sí"),"⚠ pasó a Doing sin DoR",IF(AND(K36="Done",O36&lt;&gt;"Sí"),"⚠ Done sin criterio cumplido",IF(AND(K36="Doing",COUNTIFS($G$6:$G$266,G36,$K$6:$K$266,"Doing",$E$6:$E$266,"&lt;&gt;Scrum")&gt;2,E36&lt;&gt;"Scrum"),"⚠ más de 2 en Doing","ok")))</f>
        <v/>
      </c>
      <c r="S36">
        <f>IF($K36="To Do",COUNTIF($K$6:$K36,"To Do"),"")</f>
        <v/>
      </c>
      <c r="T36">
        <f>IF($K36="Doing",COUNTIF($K$6:$K36,"Doing"),"")</f>
        <v/>
      </c>
      <c r="U36">
        <f>IF($K36="Done",COUNTIF($K$6:$K36,"Done"),"")</f>
        <v/>
      </c>
    </row>
    <row r="37" ht="42" customHeight="1">
      <c r="B37" s="12" t="inlineStr">
        <is>
          <t>T-032</t>
        </is>
      </c>
      <c r="C37" s="12" t="inlineStr">
        <is>
          <t>HU-08</t>
        </is>
      </c>
      <c r="D37" s="13" t="inlineStr">
        <is>
          <t>Registrar insumos</t>
        </is>
      </c>
      <c r="E37" s="12" t="inlineStr">
        <is>
          <t>Conexión API</t>
        </is>
      </c>
      <c r="F37" s="13" t="inlineStr">
        <is>
          <t>Conectar la pantalla del catálogo con la API real</t>
        </is>
      </c>
      <c r="G37" s="12" t="inlineStr">
        <is>
          <t>Fernando</t>
        </is>
      </c>
      <c r="H37" s="12" t="n">
        <v>3</v>
      </c>
      <c r="I37" s="12" t="inlineStr">
        <is>
          <t>26/10</t>
        </is>
      </c>
      <c r="J37" s="12" t="inlineStr">
        <is>
          <t>T-030, T-031, T-240</t>
        </is>
      </c>
      <c r="K37" s="12" t="inlineStr">
        <is>
          <t>To Do</t>
        </is>
      </c>
      <c r="L37" s="12" t="n"/>
      <c r="M37" s="12" t="n"/>
      <c r="N37" s="13" t="inlineStr">
        <is>
          <t>La pantalla muestra los datos reales del servidor y sus errores</t>
        </is>
      </c>
      <c r="O37" s="12" t="n"/>
      <c r="P37" s="12" t="n"/>
      <c r="Q37" s="13" t="n"/>
      <c r="R37" s="12">
        <f>IF(AND(K37&lt;&gt;"To Do",L37&lt;&gt;"Sí"),"⚠ pasó a Doing sin DoR",IF(AND(K37="Done",O37&lt;&gt;"Sí"),"⚠ Done sin criterio cumplido",IF(AND(K37="Doing",COUNTIFS($G$6:$G$266,G37,$K$6:$K$266,"Doing",$E$6:$E$266,"&lt;&gt;Scrum")&gt;2,E37&lt;&gt;"Scrum"),"⚠ más de 2 en Doing","ok")))</f>
        <v/>
      </c>
      <c r="S37">
        <f>IF($K37="To Do",COUNTIF($K$6:$K37,"To Do"),"")</f>
        <v/>
      </c>
      <c r="T37">
        <f>IF($K37="Doing",COUNTIF($K$6:$K37,"Doing"),"")</f>
        <v/>
      </c>
      <c r="U37">
        <f>IF($K37="Done",COUNTIF($K$6:$K37,"Done"),"")</f>
        <v/>
      </c>
    </row>
    <row r="38" ht="42" customHeight="1">
      <c r="B38" s="12" t="inlineStr">
        <is>
          <t>T-033</t>
        </is>
      </c>
      <c r="C38" s="12" t="inlineStr">
        <is>
          <t>HU-08</t>
        </is>
      </c>
      <c r="D38" s="13" t="inlineStr">
        <is>
          <t>Registrar insumos</t>
        </is>
      </c>
      <c r="E38" s="12" t="inlineStr">
        <is>
          <t>Pruebas</t>
        </is>
      </c>
      <c r="F38" s="13" t="inlineStr">
        <is>
          <t>Probar la funcionalidad de HU-08 (la API con Postman y la pantalla web) contra cada condición final y aprobar su PR</t>
        </is>
      </c>
      <c r="G38" s="12" t="inlineStr">
        <is>
          <t>Henry</t>
        </is>
      </c>
      <c r="H38" s="12" t="n">
        <v>1</v>
      </c>
      <c r="I38" s="12" t="inlineStr">
        <is>
          <t>27/10</t>
        </is>
      </c>
      <c r="J38" s="12" t="inlineStr">
        <is>
          <t>T-029, T-030, T-031, T-032, T-233</t>
        </is>
      </c>
      <c r="K38" s="12" t="inlineStr">
        <is>
          <t>To Do</t>
        </is>
      </c>
      <c r="L38" s="12" t="n"/>
      <c r="M38" s="12" t="n"/>
      <c r="N38" s="13" t="inlineStr">
        <is>
          <t>Cada condición final verificada con Postman y en la interfaz; PR aprobado por alguien distinto del autor</t>
        </is>
      </c>
      <c r="O38" s="12" t="n"/>
      <c r="P38" s="12" t="n"/>
      <c r="Q38" s="13" t="n"/>
      <c r="R38" s="12">
        <f>IF(AND(K38&lt;&gt;"To Do",L38&lt;&gt;"Sí"),"⚠ pasó a Doing sin DoR",IF(AND(K38="Done",O38&lt;&gt;"Sí"),"⚠ Done sin criterio cumplido",IF(AND(K38="Doing",COUNTIFS($G$6:$G$266,G38,$K$6:$K$266,"Doing",$E$6:$E$266,"&lt;&gt;Scrum")&gt;2,E38&lt;&gt;"Scrum"),"⚠ más de 2 en Doing","ok")))</f>
        <v/>
      </c>
      <c r="S38">
        <f>IF($K38="To Do",COUNTIF($K$6:$K38,"To Do"),"")</f>
        <v/>
      </c>
      <c r="T38">
        <f>IF($K38="Doing",COUNTIF($K$6:$K38,"Doing"),"")</f>
        <v/>
      </c>
      <c r="U38">
        <f>IF($K38="Done",COUNTIF($K$6:$K38,"Done"),"")</f>
        <v/>
      </c>
    </row>
    <row r="39" ht="42" customHeight="1">
      <c r="B39" s="14" t="inlineStr">
        <is>
          <t>T-034</t>
        </is>
      </c>
      <c r="C39" s="14" t="inlineStr">
        <is>
          <t>HU-08</t>
        </is>
      </c>
      <c r="D39" s="15" t="inlineStr">
        <is>
          <t>Registrar insumos</t>
        </is>
      </c>
      <c r="E39" s="14" t="inlineStr">
        <is>
          <t>Aceptación</t>
        </is>
      </c>
      <c r="F39" s="15" t="inlineStr">
        <is>
          <t>Aceptar HU-08 como Product Owner desde la interfaz y moverla a Done</t>
        </is>
      </c>
      <c r="G39" s="14" t="inlineStr">
        <is>
          <t>Adiel</t>
        </is>
      </c>
      <c r="H39" s="14" t="n">
        <v>0.5</v>
      </c>
      <c r="I39" s="14" t="inlineStr">
        <is>
          <t>27/10</t>
        </is>
      </c>
      <c r="J39" s="14" t="inlineStr">
        <is>
          <t>T-033</t>
        </is>
      </c>
      <c r="K39" s="14" t="inlineStr">
        <is>
          <t>To Do</t>
        </is>
      </c>
      <c r="L39" s="14" t="n"/>
      <c r="M39" s="14" t="n"/>
      <c r="N39" s="15" t="inlineStr">
        <is>
          <t>DoD T1–T10 + condiciones finales aceptadas por el PO → la HU pasa a Done</t>
        </is>
      </c>
      <c r="O39" s="14" t="n"/>
      <c r="P39" s="14" t="n"/>
      <c r="Q39" s="15" t="n"/>
      <c r="R39" s="14">
        <f>IF(AND(K39&lt;&gt;"To Do",L39&lt;&gt;"Sí"),"⚠ pasó a Doing sin DoR",IF(AND(K39="Done",O39&lt;&gt;"Sí"),"⚠ Done sin criterio cumplido",IF(AND(K39="Doing",COUNTIFS($G$6:$G$266,G39,$K$6:$K$266,"Doing",$E$6:$E$266,"&lt;&gt;Scrum")&gt;2,E39&lt;&gt;"Scrum"),"⚠ más de 2 en Doing","ok")))</f>
        <v/>
      </c>
      <c r="S39">
        <f>IF($K39="To Do",COUNTIF($K$6:$K39,"To Do"),"")</f>
        <v/>
      </c>
      <c r="T39">
        <f>IF($K39="Doing",COUNTIF($K$6:$K39,"Doing"),"")</f>
        <v/>
      </c>
      <c r="U39">
        <f>IF($K39="Done",COUNTIF($K$6:$K39,"Done"),"")</f>
        <v/>
      </c>
    </row>
    <row r="40" ht="42" customHeight="1">
      <c r="B40" s="12" t="inlineStr">
        <is>
          <t>T-035</t>
        </is>
      </c>
      <c r="C40" s="12" t="inlineStr">
        <is>
          <t>HU-12</t>
        </is>
      </c>
      <c r="D40" s="13" t="inlineStr">
        <is>
          <t>Loguear usuario</t>
        </is>
      </c>
      <c r="E40" s="12" t="inlineStr">
        <is>
          <t>Diseño UI</t>
        </is>
      </c>
      <c r="F40" s="13" t="inlineStr">
        <is>
          <t>Diseñar la interfaz de usuario de HU-12: pantalla 1 (app) y 20 (web) · Login</t>
        </is>
      </c>
      <c r="G40" s="12" t="inlineStr">
        <is>
          <t>Fernando</t>
        </is>
      </c>
      <c r="H40" s="12" t="n">
        <v>1</v>
      </c>
      <c r="I40" s="12" t="inlineStr">
        <is>
          <t>23/10</t>
        </is>
      </c>
      <c r="J40" s="12" t="n"/>
      <c r="K40" s="12" t="inlineStr">
        <is>
          <t>Done</t>
        </is>
      </c>
      <c r="L40" s="12" t="inlineStr">
        <is>
          <t>Sí</t>
        </is>
      </c>
      <c r="M40" s="12" t="inlineStr">
        <is>
          <t>22/10/2026</t>
        </is>
      </c>
      <c r="N40" s="13" t="inlineStr">
        <is>
          <t>Mockup en el lienzo, revisado por el equipo</t>
        </is>
      </c>
      <c r="O40" s="12" t="inlineStr">
        <is>
          <t>Sí</t>
        </is>
      </c>
      <c r="P40" s="12" t="inlineStr">
        <is>
          <t>22/10/2026</t>
        </is>
      </c>
      <c r="Q40" s="13" t="inlineStr">
        <is>
          <t>Lienzo «SIGRO · Pantallas y diagramas del Sprint 1»</t>
        </is>
      </c>
      <c r="R40" s="12">
        <f>IF(AND(K40&lt;&gt;"To Do",L40&lt;&gt;"Sí"),"⚠ pasó a Doing sin DoR",IF(AND(K40="Done",O40&lt;&gt;"Sí"),"⚠ Done sin criterio cumplido",IF(AND(K40="Doing",COUNTIFS($G$6:$G$266,G40,$K$6:$K$266,"Doing",$E$6:$E$266,"&lt;&gt;Scrum")&gt;2,E40&lt;&gt;"Scrum"),"⚠ más de 2 en Doing","ok")))</f>
        <v/>
      </c>
      <c r="S40">
        <f>IF($K40="To Do",COUNTIF($K$6:$K40,"To Do"),"")</f>
        <v/>
      </c>
      <c r="T40">
        <f>IF($K40="Doing",COUNTIF($K$6:$K40,"Doing"),"")</f>
        <v/>
      </c>
      <c r="U40">
        <f>IF($K40="Done",COUNTIF($K$6:$K40,"Done"),"")</f>
        <v/>
      </c>
    </row>
    <row r="41" ht="42" customHeight="1">
      <c r="B41" s="12" t="inlineStr">
        <is>
          <t>T-036</t>
        </is>
      </c>
      <c r="C41" s="12" t="inlineStr">
        <is>
          <t>HU-12</t>
        </is>
      </c>
      <c r="D41" s="13" t="inlineStr">
        <is>
          <t>Loguear usuario</t>
        </is>
      </c>
      <c r="E41" s="12" t="inlineStr">
        <is>
          <t>Modelado UML</t>
        </is>
      </c>
      <c r="F41" s="13" t="inlineStr">
        <is>
          <t>Modelar la funcionalidad de HU-12 con el diagrama UML de secuencia del login y la renovación de la sesión</t>
        </is>
      </c>
      <c r="G41" s="12" t="inlineStr">
        <is>
          <t>Nicolás</t>
        </is>
      </c>
      <c r="H41" s="12" t="n">
        <v>1</v>
      </c>
      <c r="I41" s="12" t="inlineStr">
        <is>
          <t>24/10</t>
        </is>
      </c>
      <c r="J41" s="12" t="inlineStr">
        <is>
          <t>T-035</t>
        </is>
      </c>
      <c r="K41" s="12" t="inlineStr">
        <is>
          <t>To Do</t>
        </is>
      </c>
      <c r="L41" s="12" t="n"/>
      <c r="M41" s="12" t="n"/>
      <c r="N41" s="13" t="inlineStr">
        <is>
          <t>Diagrama publicado en el repo o el lienzo</t>
        </is>
      </c>
      <c r="O41" s="12" t="n"/>
      <c r="P41" s="12" t="n"/>
      <c r="Q41" s="13" t="n"/>
      <c r="R41" s="12">
        <f>IF(AND(K41&lt;&gt;"To Do",L41&lt;&gt;"Sí"),"⚠ pasó a Doing sin DoR",IF(AND(K41="Done",O41&lt;&gt;"Sí"),"⚠ Done sin criterio cumplido",IF(AND(K41="Doing",COUNTIFS($G$6:$G$266,G41,$K$6:$K$266,"Doing",$E$6:$E$266,"&lt;&gt;Scrum")&gt;2,E41&lt;&gt;"Scrum"),"⚠ más de 2 en Doing","ok")))</f>
        <v/>
      </c>
      <c r="S41">
        <f>IF($K41="To Do",COUNTIF($K$6:$K41,"To Do"),"")</f>
        <v/>
      </c>
      <c r="T41">
        <f>IF($K41="Doing",COUNTIF($K$6:$K41,"Doing"),"")</f>
        <v/>
      </c>
      <c r="U41">
        <f>IF($K41="Done",COUNTIF($K$6:$K41,"Done"),"")</f>
        <v/>
      </c>
    </row>
    <row r="42" ht="42" customHeight="1">
      <c r="B42" s="12" t="inlineStr">
        <is>
          <t>T-037</t>
        </is>
      </c>
      <c r="C42" s="12" t="inlineStr">
        <is>
          <t>HU-12</t>
        </is>
      </c>
      <c r="D42" s="13" t="inlineStr">
        <is>
          <t>Loguear usuario</t>
        </is>
      </c>
      <c r="E42" s="12" t="inlineStr">
        <is>
          <t>Base de datos</t>
        </is>
      </c>
      <c r="F42" s="13" t="inlineStr">
        <is>
          <t>Implementar las tablas asociadas a HU-12: usuario (hash de la clave, intentos, estado)</t>
        </is>
      </c>
      <c r="G42" s="12" t="inlineStr">
        <is>
          <t>Adiel</t>
        </is>
      </c>
      <c r="H42" s="12" t="n">
        <v>1</v>
      </c>
      <c r="I42" s="12" t="inlineStr">
        <is>
          <t>24/10</t>
        </is>
      </c>
      <c r="J42" s="12" t="n"/>
      <c r="K42" s="12" t="inlineStr">
        <is>
          <t>Done</t>
        </is>
      </c>
      <c r="L42" s="12" t="inlineStr">
        <is>
          <t>Sí</t>
        </is>
      </c>
      <c r="M42" s="12" t="inlineStr">
        <is>
          <t>22/10/2026</t>
        </is>
      </c>
      <c r="N42" s="13" t="inlineStr">
        <is>
          <t>Migración fusionada, corre en base limpia y con datos, y se revierte</t>
        </is>
      </c>
      <c r="O42" s="12" t="inlineStr">
        <is>
          <t>Sí</t>
        </is>
      </c>
      <c r="P42" s="12" t="inlineStr">
        <is>
          <t>22/10/2026</t>
        </is>
      </c>
      <c r="Q42" s="13" t="inlineStr">
        <is>
          <t>PR #1 de Adiel (22/10)</t>
        </is>
      </c>
      <c r="R42" s="12">
        <f>IF(AND(K42&lt;&gt;"To Do",L42&lt;&gt;"Sí"),"⚠ pasó a Doing sin DoR",IF(AND(K42="Done",O42&lt;&gt;"Sí"),"⚠ Done sin criterio cumplido",IF(AND(K42="Doing",COUNTIFS($G$6:$G$266,G42,$K$6:$K$266,"Doing",$E$6:$E$266,"&lt;&gt;Scrum")&gt;2,E42&lt;&gt;"Scrum"),"⚠ más de 2 en Doing","ok")))</f>
        <v/>
      </c>
      <c r="S42">
        <f>IF($K42="To Do",COUNTIF($K$6:$K42,"To Do"),"")</f>
        <v/>
      </c>
      <c r="T42">
        <f>IF($K42="Doing",COUNTIF($K$6:$K42,"Doing"),"")</f>
        <v/>
      </c>
      <c r="U42">
        <f>IF($K42="Done",COUNTIF($K$6:$K42,"Done"),"")</f>
        <v/>
      </c>
    </row>
    <row r="43" ht="42" customHeight="1">
      <c r="B43" s="12" t="inlineStr">
        <is>
          <t>T-038</t>
        </is>
      </c>
      <c r="C43" s="12" t="inlineStr">
        <is>
          <t>HU-12</t>
        </is>
      </c>
      <c r="D43" s="13" t="inlineStr">
        <is>
          <t>Loguear usuario</t>
        </is>
      </c>
      <c r="E43" s="12" t="inlineStr">
        <is>
          <t>Backend</t>
        </is>
      </c>
      <c r="F43" s="13" t="inlineStr">
        <is>
          <t>Programar el back-end de HU-12 (entidad, repositorio, servicio y controlador): el login con Argon2id, sesión que caduca y se renueva, y bloqueo por intentos fallidos</t>
        </is>
      </c>
      <c r="G43" s="12" t="inlineStr">
        <is>
          <t>Adiel</t>
        </is>
      </c>
      <c r="H43" s="12" t="n">
        <v>3</v>
      </c>
      <c r="I43" s="12" t="inlineStr">
        <is>
          <t>25/10</t>
        </is>
      </c>
      <c r="J43" s="12" t="n"/>
      <c r="K43" s="12" t="inlineStr">
        <is>
          <t>Done</t>
        </is>
      </c>
      <c r="L43" s="12" t="inlineStr">
        <is>
          <t>Sí</t>
        </is>
      </c>
      <c r="M43" s="12" t="inlineStr">
        <is>
          <t>22/10/2026</t>
        </is>
      </c>
      <c r="N43" s="13" t="inlineStr">
        <is>
          <t>PR fusionado con sus pruebas automáticas en verde y el endpoint documentado</t>
        </is>
      </c>
      <c r="O43" s="12" t="inlineStr">
        <is>
          <t>Sí</t>
        </is>
      </c>
      <c r="P43" s="12" t="inlineStr">
        <is>
          <t>22/10/2026</t>
        </is>
      </c>
      <c r="Q43" s="13" t="inlineStr">
        <is>
          <t>PR #1 y #2 de Adiel (22/10)</t>
        </is>
      </c>
      <c r="R43" s="12">
        <f>IF(AND(K43&lt;&gt;"To Do",L43&lt;&gt;"Sí"),"⚠ pasó a Doing sin DoR",IF(AND(K43="Done",O43&lt;&gt;"Sí"),"⚠ Done sin criterio cumplido",IF(AND(K43="Doing",COUNTIFS($G$6:$G$266,G43,$K$6:$K$266,"Doing",$E$6:$E$266,"&lt;&gt;Scrum")&gt;2,E43&lt;&gt;"Scrum"),"⚠ más de 2 en Doing","ok")))</f>
        <v/>
      </c>
      <c r="S43">
        <f>IF($K43="To Do",COUNTIF($K$6:$K43,"To Do"),"")</f>
        <v/>
      </c>
      <c r="T43">
        <f>IF($K43="Doing",COUNTIF($K$6:$K43,"Doing"),"")</f>
        <v/>
      </c>
      <c r="U43">
        <f>IF($K43="Done",COUNTIF($K$6:$K43,"Done"),"")</f>
        <v/>
      </c>
    </row>
    <row r="44" ht="42" customHeight="1">
      <c r="B44" s="12" t="inlineStr">
        <is>
          <t>T-039</t>
        </is>
      </c>
      <c r="C44" s="12" t="inlineStr">
        <is>
          <t>HU-12</t>
        </is>
      </c>
      <c r="D44" s="13" t="inlineStr">
        <is>
          <t>Loguear usuario</t>
        </is>
      </c>
      <c r="E44" s="12" t="inlineStr">
        <is>
          <t>Front-end web</t>
        </is>
      </c>
      <c r="F44" s="13" t="inlineStr">
        <is>
          <t>Programar la pantalla web de login y el manejo de la sesión</t>
        </is>
      </c>
      <c r="G44" s="12" t="inlineStr">
        <is>
          <t>Henry</t>
        </is>
      </c>
      <c r="H44" s="12" t="n">
        <v>3</v>
      </c>
      <c r="I44" s="12" t="inlineStr">
        <is>
          <t>26/10</t>
        </is>
      </c>
      <c r="J44" s="12" t="inlineStr">
        <is>
          <t>T-035</t>
        </is>
      </c>
      <c r="K44" s="12" t="inlineStr">
        <is>
          <t>To Do</t>
        </is>
      </c>
      <c r="L44" s="12" t="n"/>
      <c r="M44" s="12" t="n"/>
      <c r="N44" s="13" t="inlineStr">
        <is>
          <t>PR fusionado, build sin errores, modo claro/oscuro y escala 125 %</t>
        </is>
      </c>
      <c r="O44" s="12" t="n"/>
      <c r="P44" s="12" t="n"/>
      <c r="Q44" s="13" t="n"/>
      <c r="R44" s="12">
        <f>IF(AND(K44&lt;&gt;"To Do",L44&lt;&gt;"Sí"),"⚠ pasó a Doing sin DoR",IF(AND(K44="Done",O44&lt;&gt;"Sí"),"⚠ Done sin criterio cumplido",IF(AND(K44="Doing",COUNTIFS($G$6:$G$266,G44,$K$6:$K$266,"Doing",$E$6:$E$266,"&lt;&gt;Scrum")&gt;2,E44&lt;&gt;"Scrum"),"⚠ más de 2 en Doing","ok")))</f>
        <v/>
      </c>
      <c r="S44">
        <f>IF($K44="To Do",COUNTIF($K$6:$K44,"To Do"),"")</f>
        <v/>
      </c>
      <c r="T44">
        <f>IF($K44="Doing",COUNTIF($K$6:$K44,"Doing"),"")</f>
        <v/>
      </c>
      <c r="U44">
        <f>IF($K44="Done",COUNTIF($K$6:$K44,"Done"),"")</f>
        <v/>
      </c>
    </row>
    <row r="45" ht="42" customHeight="1">
      <c r="B45" s="12" t="inlineStr">
        <is>
          <t>T-040</t>
        </is>
      </c>
      <c r="C45" s="12" t="inlineStr">
        <is>
          <t>HU-12</t>
        </is>
      </c>
      <c r="D45" s="13" t="inlineStr">
        <is>
          <t>Loguear usuario</t>
        </is>
      </c>
      <c r="E45" s="12" t="inlineStr">
        <is>
          <t>Front-end app</t>
        </is>
      </c>
      <c r="F45" s="13" t="inlineStr">
        <is>
          <t>Programar el login en la app del almacenero</t>
        </is>
      </c>
      <c r="G45" s="12" t="inlineStr">
        <is>
          <t>Nicolás</t>
        </is>
      </c>
      <c r="H45" s="12" t="n">
        <v>3</v>
      </c>
      <c r="I45" s="12" t="inlineStr">
        <is>
          <t>26/10</t>
        </is>
      </c>
      <c r="J45" s="12" t="inlineStr">
        <is>
          <t>T-035, T-242</t>
        </is>
      </c>
      <c r="K45" s="12" t="inlineStr">
        <is>
          <t>To Do</t>
        </is>
      </c>
      <c r="L45" s="12" t="n"/>
      <c r="M45" s="12" t="n"/>
      <c r="N45" s="13" t="inlineStr">
        <is>
          <t>PR fusionado; lo que registra movimientos probado en modo avión</t>
        </is>
      </c>
      <c r="O45" s="12" t="n"/>
      <c r="P45" s="12" t="n"/>
      <c r="Q45" s="13" t="n"/>
      <c r="R45" s="12">
        <f>IF(AND(K45&lt;&gt;"To Do",L45&lt;&gt;"Sí"),"⚠ pasó a Doing sin DoR",IF(AND(K45="Done",O45&lt;&gt;"Sí"),"⚠ Done sin criterio cumplido",IF(AND(K45="Doing",COUNTIFS($G$6:$G$266,G45,$K$6:$K$266,"Doing",$E$6:$E$266,"&lt;&gt;Scrum")&gt;2,E45&lt;&gt;"Scrum"),"⚠ más de 2 en Doing","ok")))</f>
        <v/>
      </c>
      <c r="S45">
        <f>IF($K45="To Do",COUNTIF($K$6:$K45,"To Do"),"")</f>
        <v/>
      </c>
      <c r="T45">
        <f>IF($K45="Doing",COUNTIF($K$6:$K45,"Doing"),"")</f>
        <v/>
      </c>
      <c r="U45">
        <f>IF($K45="Done",COUNTIF($K$6:$K45,"Done"),"")</f>
        <v/>
      </c>
    </row>
    <row r="46" ht="42" customHeight="1">
      <c r="B46" s="12" t="inlineStr">
        <is>
          <t>T-041</t>
        </is>
      </c>
      <c r="C46" s="12" t="inlineStr">
        <is>
          <t>HU-12</t>
        </is>
      </c>
      <c r="D46" s="13" t="inlineStr">
        <is>
          <t>Loguear usuario</t>
        </is>
      </c>
      <c r="E46" s="12" t="inlineStr">
        <is>
          <t>Pruebas</t>
        </is>
      </c>
      <c r="F46" s="13" t="inlineStr">
        <is>
          <t>Probar la funcionalidad de HU-12 (la API con Postman, la pantalla web y la app) contra cada condición final y aprobar su PR</t>
        </is>
      </c>
      <c r="G46" s="12" t="inlineStr">
        <is>
          <t>Fernando</t>
        </is>
      </c>
      <c r="H46" s="12" t="n">
        <v>1</v>
      </c>
      <c r="I46" s="12" t="inlineStr">
        <is>
          <t>27/10</t>
        </is>
      </c>
      <c r="J46" s="12" t="inlineStr">
        <is>
          <t>T-037, T-038, T-039, T-040, T-233</t>
        </is>
      </c>
      <c r="K46" s="12" t="inlineStr">
        <is>
          <t>To Do</t>
        </is>
      </c>
      <c r="L46" s="12" t="n"/>
      <c r="M46" s="12" t="n"/>
      <c r="N46" s="13" t="inlineStr">
        <is>
          <t>Cada condición final verificada con Postman y en la interfaz; PR aprobado por alguien distinto del autor</t>
        </is>
      </c>
      <c r="O46" s="12" t="n"/>
      <c r="P46" s="12" t="n"/>
      <c r="Q46" s="13" t="n"/>
      <c r="R46" s="12">
        <f>IF(AND(K46&lt;&gt;"To Do",L46&lt;&gt;"Sí"),"⚠ pasó a Doing sin DoR",IF(AND(K46="Done",O46&lt;&gt;"Sí"),"⚠ Done sin criterio cumplido",IF(AND(K46="Doing",COUNTIFS($G$6:$G$266,G46,$K$6:$K$266,"Doing",$E$6:$E$266,"&lt;&gt;Scrum")&gt;2,E46&lt;&gt;"Scrum"),"⚠ más de 2 en Doing","ok")))</f>
        <v/>
      </c>
      <c r="S46">
        <f>IF($K46="To Do",COUNTIF($K$6:$K46,"To Do"),"")</f>
        <v/>
      </c>
      <c r="T46">
        <f>IF($K46="Doing",COUNTIF($K$6:$K46,"Doing"),"")</f>
        <v/>
      </c>
      <c r="U46">
        <f>IF($K46="Done",COUNTIF($K$6:$K46,"Done"),"")</f>
        <v/>
      </c>
    </row>
    <row r="47" ht="42" customHeight="1">
      <c r="B47" s="14" t="inlineStr">
        <is>
          <t>T-042</t>
        </is>
      </c>
      <c r="C47" s="14" t="inlineStr">
        <is>
          <t>HU-12</t>
        </is>
      </c>
      <c r="D47" s="15" t="inlineStr">
        <is>
          <t>Loguear usuario</t>
        </is>
      </c>
      <c r="E47" s="14" t="inlineStr">
        <is>
          <t>Aceptación</t>
        </is>
      </c>
      <c r="F47" s="15" t="inlineStr">
        <is>
          <t>Aceptar HU-12 como Product Owner desde la interfaz y moverla a Done</t>
        </is>
      </c>
      <c r="G47" s="14" t="inlineStr">
        <is>
          <t>Adiel</t>
        </is>
      </c>
      <c r="H47" s="14" t="n">
        <v>0.5</v>
      </c>
      <c r="I47" s="14" t="inlineStr">
        <is>
          <t>27/10</t>
        </is>
      </c>
      <c r="J47" s="14" t="inlineStr">
        <is>
          <t>T-041</t>
        </is>
      </c>
      <c r="K47" s="14" t="inlineStr">
        <is>
          <t>To Do</t>
        </is>
      </c>
      <c r="L47" s="14" t="n"/>
      <c r="M47" s="14" t="n"/>
      <c r="N47" s="15" t="inlineStr">
        <is>
          <t>DoD T1–T10 + condiciones finales aceptadas por el PO → la HU pasa a Done</t>
        </is>
      </c>
      <c r="O47" s="14" t="n"/>
      <c r="P47" s="14" t="n"/>
      <c r="Q47" s="15" t="n"/>
      <c r="R47" s="14">
        <f>IF(AND(K47&lt;&gt;"To Do",L47&lt;&gt;"Sí"),"⚠ pasó a Doing sin DoR",IF(AND(K47="Done",O47&lt;&gt;"Sí"),"⚠ Done sin criterio cumplido",IF(AND(K47="Doing",COUNTIFS($G$6:$G$266,G47,$K$6:$K$266,"Doing",$E$6:$E$266,"&lt;&gt;Scrum")&gt;2,E47&lt;&gt;"Scrum"),"⚠ más de 2 en Doing","ok")))</f>
        <v/>
      </c>
      <c r="S47">
        <f>IF($K47="To Do",COUNTIF($K$6:$K47,"To Do"),"")</f>
        <v/>
      </c>
      <c r="T47">
        <f>IF($K47="Doing",COUNTIF($K$6:$K47,"Doing"),"")</f>
        <v/>
      </c>
      <c r="U47">
        <f>IF($K47="Done",COUNTIF($K$6:$K47,"Done"),"")</f>
        <v/>
      </c>
    </row>
    <row r="48" ht="42" customHeight="1">
      <c r="B48" s="12" t="inlineStr">
        <is>
          <t>T-043</t>
        </is>
      </c>
      <c r="C48" s="12" t="inlineStr">
        <is>
          <t>HU-13</t>
        </is>
      </c>
      <c r="D48" s="13" t="inlineStr">
        <is>
          <t>Asignar roles</t>
        </is>
      </c>
      <c r="E48" s="12" t="inlineStr">
        <is>
          <t>Diseño UI</t>
        </is>
      </c>
      <c r="F48" s="13" t="inlineStr">
        <is>
          <t>Diseñar la interfaz de usuario de HU-13: pantalla 10 · Usuarios, roles y dispositivos</t>
        </is>
      </c>
      <c r="G48" s="12" t="inlineStr">
        <is>
          <t>Fernando</t>
        </is>
      </c>
      <c r="H48" s="12" t="n">
        <v>1</v>
      </c>
      <c r="I48" s="12" t="inlineStr">
        <is>
          <t>23/10</t>
        </is>
      </c>
      <c r="J48" s="12" t="n"/>
      <c r="K48" s="12" t="inlineStr">
        <is>
          <t>Done</t>
        </is>
      </c>
      <c r="L48" s="12" t="inlineStr">
        <is>
          <t>Sí</t>
        </is>
      </c>
      <c r="M48" s="12" t="inlineStr">
        <is>
          <t>22/10/2026</t>
        </is>
      </c>
      <c r="N48" s="13" t="inlineStr">
        <is>
          <t>Mockup en el lienzo, revisado por el equipo</t>
        </is>
      </c>
      <c r="O48" s="12" t="inlineStr">
        <is>
          <t>Sí</t>
        </is>
      </c>
      <c r="P48" s="12" t="inlineStr">
        <is>
          <t>22/10/2026</t>
        </is>
      </c>
      <c r="Q48" s="13" t="inlineStr">
        <is>
          <t>Lienzo «SIGRO · Pantallas y diagramas del Sprint 1»</t>
        </is>
      </c>
      <c r="R48" s="12">
        <f>IF(AND(K48&lt;&gt;"To Do",L48&lt;&gt;"Sí"),"⚠ pasó a Doing sin DoR",IF(AND(K48="Done",O48&lt;&gt;"Sí"),"⚠ Done sin criterio cumplido",IF(AND(K48="Doing",COUNTIFS($G$6:$G$266,G48,$K$6:$K$266,"Doing",$E$6:$E$266,"&lt;&gt;Scrum")&gt;2,E48&lt;&gt;"Scrum"),"⚠ más de 2 en Doing","ok")))</f>
        <v/>
      </c>
      <c r="S48">
        <f>IF($K48="To Do",COUNTIF($K$6:$K48,"To Do"),"")</f>
        <v/>
      </c>
      <c r="T48">
        <f>IF($K48="Doing",COUNTIF($K$6:$K48,"Doing"),"")</f>
        <v/>
      </c>
      <c r="U48">
        <f>IF($K48="Done",COUNTIF($K$6:$K48,"Done"),"")</f>
        <v/>
      </c>
    </row>
    <row r="49" ht="42" customHeight="1">
      <c r="B49" s="12" t="inlineStr">
        <is>
          <t>T-044</t>
        </is>
      </c>
      <c r="C49" s="12" t="inlineStr">
        <is>
          <t>HU-13</t>
        </is>
      </c>
      <c r="D49" s="13" t="inlineStr">
        <is>
          <t>Asignar roles</t>
        </is>
      </c>
      <c r="E49" s="12" t="inlineStr">
        <is>
          <t>Modelado UML</t>
        </is>
      </c>
      <c r="F49" s="13" t="inlineStr">
        <is>
          <t>Modelar la funcionalidad de HU-13 con el diagrama UML de secuencia de la verificación del permiso en el servidor</t>
        </is>
      </c>
      <c r="G49" s="12" t="inlineStr">
        <is>
          <t>Henry</t>
        </is>
      </c>
      <c r="H49" s="12" t="n">
        <v>1</v>
      </c>
      <c r="I49" s="12" t="inlineStr">
        <is>
          <t>24/10</t>
        </is>
      </c>
      <c r="J49" s="12" t="inlineStr">
        <is>
          <t>T-043</t>
        </is>
      </c>
      <c r="K49" s="12" t="inlineStr">
        <is>
          <t>To Do</t>
        </is>
      </c>
      <c r="L49" s="12" t="n"/>
      <c r="M49" s="12" t="n"/>
      <c r="N49" s="13" t="inlineStr">
        <is>
          <t>Diagrama publicado en el repo o el lienzo</t>
        </is>
      </c>
      <c r="O49" s="12" t="n"/>
      <c r="P49" s="12" t="n"/>
      <c r="Q49" s="13" t="n"/>
      <c r="R49" s="12">
        <f>IF(AND(K49&lt;&gt;"To Do",L49&lt;&gt;"Sí"),"⚠ pasó a Doing sin DoR",IF(AND(K49="Done",O49&lt;&gt;"Sí"),"⚠ Done sin criterio cumplido",IF(AND(K49="Doing",COUNTIFS($G$6:$G$266,G49,$K$6:$K$266,"Doing",$E$6:$E$266,"&lt;&gt;Scrum")&gt;2,E49&lt;&gt;"Scrum"),"⚠ más de 2 en Doing","ok")))</f>
        <v/>
      </c>
      <c r="S49">
        <f>IF($K49="To Do",COUNTIF($K$6:$K49,"To Do"),"")</f>
        <v/>
      </c>
      <c r="T49">
        <f>IF($K49="Doing",COUNTIF($K$6:$K49,"Doing"),"")</f>
        <v/>
      </c>
      <c r="U49">
        <f>IF($K49="Done",COUNTIF($K$6:$K49,"Done"),"")</f>
        <v/>
      </c>
    </row>
    <row r="50" ht="42" customHeight="1">
      <c r="B50" s="12" t="inlineStr">
        <is>
          <t>T-045</t>
        </is>
      </c>
      <c r="C50" s="12" t="inlineStr">
        <is>
          <t>HU-13</t>
        </is>
      </c>
      <c r="D50" s="13" t="inlineStr">
        <is>
          <t>Asignar roles</t>
        </is>
      </c>
      <c r="E50" s="12" t="inlineStr">
        <is>
          <t>Base de datos</t>
        </is>
      </c>
      <c r="F50" s="13" t="inlineStr">
        <is>
          <t>Implementar las tablas asociadas a HU-13: asignacion (el rol vive aquí, por obra)</t>
        </is>
      </c>
      <c r="G50" s="12" t="inlineStr">
        <is>
          <t>Adiel</t>
        </is>
      </c>
      <c r="H50" s="12" t="n">
        <v>1</v>
      </c>
      <c r="I50" s="12" t="inlineStr">
        <is>
          <t>24/10</t>
        </is>
      </c>
      <c r="J50" s="12" t="n"/>
      <c r="K50" s="12" t="inlineStr">
        <is>
          <t>Done</t>
        </is>
      </c>
      <c r="L50" s="12" t="inlineStr">
        <is>
          <t>Sí</t>
        </is>
      </c>
      <c r="M50" s="12" t="inlineStr">
        <is>
          <t>22/10/2026</t>
        </is>
      </c>
      <c r="N50" s="13" t="inlineStr">
        <is>
          <t>Migración fusionada, corre en base limpia y con datos, y se revierte</t>
        </is>
      </c>
      <c r="O50" s="12" t="inlineStr">
        <is>
          <t>Sí</t>
        </is>
      </c>
      <c r="P50" s="12" t="inlineStr">
        <is>
          <t>22/10/2026</t>
        </is>
      </c>
      <c r="Q50" s="13" t="inlineStr">
        <is>
          <t>PR #1 de Adiel (22/10)</t>
        </is>
      </c>
      <c r="R50" s="12">
        <f>IF(AND(K50&lt;&gt;"To Do",L50&lt;&gt;"Sí"),"⚠ pasó a Doing sin DoR",IF(AND(K50="Done",O50&lt;&gt;"Sí"),"⚠ Done sin criterio cumplido",IF(AND(K50="Doing",COUNTIFS($G$6:$G$266,G50,$K$6:$K$266,"Doing",$E$6:$E$266,"&lt;&gt;Scrum")&gt;2,E50&lt;&gt;"Scrum"),"⚠ más de 2 en Doing","ok")))</f>
        <v/>
      </c>
      <c r="S50">
        <f>IF($K50="To Do",COUNTIF($K$6:$K50,"To Do"),"")</f>
        <v/>
      </c>
      <c r="T50">
        <f>IF($K50="Doing",COUNTIF($K$6:$K50,"Doing"),"")</f>
        <v/>
      </c>
      <c r="U50">
        <f>IF($K50="Done",COUNTIF($K$6:$K50,"Done"),"")</f>
        <v/>
      </c>
    </row>
    <row r="51" ht="42" customHeight="1">
      <c r="B51" s="12" t="inlineStr">
        <is>
          <t>T-046</t>
        </is>
      </c>
      <c r="C51" s="12" t="inlineStr">
        <is>
          <t>HU-13</t>
        </is>
      </c>
      <c r="D51" s="13" t="inlineStr">
        <is>
          <t>Asignar roles</t>
        </is>
      </c>
      <c r="E51" s="12" t="inlineStr">
        <is>
          <t>Backend</t>
        </is>
      </c>
      <c r="F51" s="13" t="inlineStr">
        <is>
          <t>Programar el back-end de HU-13 (entidad, repositorio, servicio y controlador): los roles y verificar sus permisos en el servidor</t>
        </is>
      </c>
      <c r="G51" s="12" t="inlineStr">
        <is>
          <t>Adiel</t>
        </is>
      </c>
      <c r="H51" s="12" t="n">
        <v>4</v>
      </c>
      <c r="I51" s="12" t="inlineStr">
        <is>
          <t>25/10</t>
        </is>
      </c>
      <c r="J51" s="12" t="n"/>
      <c r="K51" s="12" t="inlineStr">
        <is>
          <t>Done</t>
        </is>
      </c>
      <c r="L51" s="12" t="inlineStr">
        <is>
          <t>Sí</t>
        </is>
      </c>
      <c r="M51" s="12" t="inlineStr">
        <is>
          <t>22/10/2026</t>
        </is>
      </c>
      <c r="N51" s="13" t="inlineStr">
        <is>
          <t>PR fusionado con sus pruebas automáticas en verde y el endpoint documentado</t>
        </is>
      </c>
      <c r="O51" s="12" t="inlineStr">
        <is>
          <t>Sí</t>
        </is>
      </c>
      <c r="P51" s="12" t="inlineStr">
        <is>
          <t>22/10/2026</t>
        </is>
      </c>
      <c r="Q51" s="13" t="inlineStr">
        <is>
          <t>PR #1 y #2 de Adiel (22/10)</t>
        </is>
      </c>
      <c r="R51" s="12">
        <f>IF(AND(K51&lt;&gt;"To Do",L51&lt;&gt;"Sí"),"⚠ pasó a Doing sin DoR",IF(AND(K51="Done",O51&lt;&gt;"Sí"),"⚠ Done sin criterio cumplido",IF(AND(K51="Doing",COUNTIFS($G$6:$G$266,G51,$K$6:$K$266,"Doing",$E$6:$E$266,"&lt;&gt;Scrum")&gt;2,E51&lt;&gt;"Scrum"),"⚠ más de 2 en Doing","ok")))</f>
        <v/>
      </c>
      <c r="S51">
        <f>IF($K51="To Do",COUNTIF($K$6:$K51,"To Do"),"")</f>
        <v/>
      </c>
      <c r="T51">
        <f>IF($K51="Doing",COUNTIF($K$6:$K51,"Doing"),"")</f>
        <v/>
      </c>
      <c r="U51">
        <f>IF($K51="Done",COUNTIF($K$6:$K51,"Done"),"")</f>
        <v/>
      </c>
    </row>
    <row r="52" ht="42" customHeight="1">
      <c r="B52" s="12" t="inlineStr">
        <is>
          <t>T-047</t>
        </is>
      </c>
      <c r="C52" s="12" t="inlineStr">
        <is>
          <t>HU-13</t>
        </is>
      </c>
      <c r="D52" s="13" t="inlineStr">
        <is>
          <t>Asignar roles</t>
        </is>
      </c>
      <c r="E52" s="12" t="inlineStr">
        <is>
          <t>Front-end web</t>
        </is>
      </c>
      <c r="F52" s="13" t="inlineStr">
        <is>
          <t>Programar la pantalla web para crear usuarios, asignar su rol y darlos de baja</t>
        </is>
      </c>
      <c r="G52" s="12" t="inlineStr">
        <is>
          <t>Henry</t>
        </is>
      </c>
      <c r="H52" s="12" t="n">
        <v>4</v>
      </c>
      <c r="I52" s="12" t="inlineStr">
        <is>
          <t>26/10</t>
        </is>
      </c>
      <c r="J52" s="12" t="inlineStr">
        <is>
          <t>T-043</t>
        </is>
      </c>
      <c r="K52" s="12" t="inlineStr">
        <is>
          <t>To Do</t>
        </is>
      </c>
      <c r="L52" s="12" t="n"/>
      <c r="M52" s="12" t="n"/>
      <c r="N52" s="13" t="inlineStr">
        <is>
          <t>PR fusionado, build sin errores, modo claro/oscuro y escala 125 %</t>
        </is>
      </c>
      <c r="O52" s="12" t="n"/>
      <c r="P52" s="12" t="n"/>
      <c r="Q52" s="13" t="n"/>
      <c r="R52" s="12">
        <f>IF(AND(K52&lt;&gt;"To Do",L52&lt;&gt;"Sí"),"⚠ pasó a Doing sin DoR",IF(AND(K52="Done",O52&lt;&gt;"Sí"),"⚠ Done sin criterio cumplido",IF(AND(K52="Doing",COUNTIFS($G$6:$G$266,G52,$K$6:$K$266,"Doing",$E$6:$E$266,"&lt;&gt;Scrum")&gt;2,E52&lt;&gt;"Scrum"),"⚠ más de 2 en Doing","ok")))</f>
        <v/>
      </c>
      <c r="S52">
        <f>IF($K52="To Do",COUNTIF($K$6:$K52,"To Do"),"")</f>
        <v/>
      </c>
      <c r="T52">
        <f>IF($K52="Doing",COUNTIF($K$6:$K52,"Doing"),"")</f>
        <v/>
      </c>
      <c r="U52">
        <f>IF($K52="Done",COUNTIF($K$6:$K52,"Done"),"")</f>
        <v/>
      </c>
    </row>
    <row r="53" ht="42" customHeight="1">
      <c r="B53" s="12" t="inlineStr">
        <is>
          <t>T-048</t>
        </is>
      </c>
      <c r="C53" s="12" t="inlineStr">
        <is>
          <t>HU-13</t>
        </is>
      </c>
      <c r="D53" s="13" t="inlineStr">
        <is>
          <t>Asignar roles</t>
        </is>
      </c>
      <c r="E53" s="12" t="inlineStr">
        <is>
          <t>Pruebas</t>
        </is>
      </c>
      <c r="F53" s="13" t="inlineStr">
        <is>
          <t>Probar la funcionalidad de HU-13 (la API con Postman y la pantalla web) contra cada condición final y aprobar su PR</t>
        </is>
      </c>
      <c r="G53" s="12" t="inlineStr">
        <is>
          <t>Fernando</t>
        </is>
      </c>
      <c r="H53" s="12" t="n">
        <v>1</v>
      </c>
      <c r="I53" s="12" t="inlineStr">
        <is>
          <t>27/10</t>
        </is>
      </c>
      <c r="J53" s="12" t="inlineStr">
        <is>
          <t>T-045, T-046, T-047, T-233</t>
        </is>
      </c>
      <c r="K53" s="12" t="inlineStr">
        <is>
          <t>To Do</t>
        </is>
      </c>
      <c r="L53" s="12" t="n"/>
      <c r="M53" s="12" t="n"/>
      <c r="N53" s="13" t="inlineStr">
        <is>
          <t>Cada condición final verificada con Postman y en la interfaz; PR aprobado por alguien distinto del autor</t>
        </is>
      </c>
      <c r="O53" s="12" t="n"/>
      <c r="P53" s="12" t="n"/>
      <c r="Q53" s="13" t="n"/>
      <c r="R53" s="12">
        <f>IF(AND(K53&lt;&gt;"To Do",L53&lt;&gt;"Sí"),"⚠ pasó a Doing sin DoR",IF(AND(K53="Done",O53&lt;&gt;"Sí"),"⚠ Done sin criterio cumplido",IF(AND(K53="Doing",COUNTIFS($G$6:$G$266,G53,$K$6:$K$266,"Doing",$E$6:$E$266,"&lt;&gt;Scrum")&gt;2,E53&lt;&gt;"Scrum"),"⚠ más de 2 en Doing","ok")))</f>
        <v/>
      </c>
      <c r="S53">
        <f>IF($K53="To Do",COUNTIF($K$6:$K53,"To Do"),"")</f>
        <v/>
      </c>
      <c r="T53">
        <f>IF($K53="Doing",COUNTIF($K$6:$K53,"Doing"),"")</f>
        <v/>
      </c>
      <c r="U53">
        <f>IF($K53="Done",COUNTIF($K$6:$K53,"Done"),"")</f>
        <v/>
      </c>
    </row>
    <row r="54" ht="42" customHeight="1">
      <c r="B54" s="14" t="inlineStr">
        <is>
          <t>T-049</t>
        </is>
      </c>
      <c r="C54" s="14" t="inlineStr">
        <is>
          <t>HU-13</t>
        </is>
      </c>
      <c r="D54" s="15" t="inlineStr">
        <is>
          <t>Asignar roles</t>
        </is>
      </c>
      <c r="E54" s="14" t="inlineStr">
        <is>
          <t>Aceptación</t>
        </is>
      </c>
      <c r="F54" s="15" t="inlineStr">
        <is>
          <t>Aceptar HU-13 como Product Owner desde la interfaz y moverla a Done</t>
        </is>
      </c>
      <c r="G54" s="14" t="inlineStr">
        <is>
          <t>Adiel</t>
        </is>
      </c>
      <c r="H54" s="14" t="n">
        <v>0.5</v>
      </c>
      <c r="I54" s="14" t="inlineStr">
        <is>
          <t>27/10</t>
        </is>
      </c>
      <c r="J54" s="14" t="inlineStr">
        <is>
          <t>T-048</t>
        </is>
      </c>
      <c r="K54" s="14" t="inlineStr">
        <is>
          <t>To Do</t>
        </is>
      </c>
      <c r="L54" s="14" t="n"/>
      <c r="M54" s="14" t="n"/>
      <c r="N54" s="15" t="inlineStr">
        <is>
          <t>DoD T1–T10 + condiciones finales aceptadas por el PO → la HU pasa a Done</t>
        </is>
      </c>
      <c r="O54" s="14" t="n"/>
      <c r="P54" s="14" t="n"/>
      <c r="Q54" s="15" t="n"/>
      <c r="R54" s="14">
        <f>IF(AND(K54&lt;&gt;"To Do",L54&lt;&gt;"Sí"),"⚠ pasó a Doing sin DoR",IF(AND(K54="Done",O54&lt;&gt;"Sí"),"⚠ Done sin criterio cumplido",IF(AND(K54="Doing",COUNTIFS($G$6:$G$266,G54,$K$6:$K$266,"Doing",$E$6:$E$266,"&lt;&gt;Scrum")&gt;2,E54&lt;&gt;"Scrum"),"⚠ más de 2 en Doing","ok")))</f>
        <v/>
      </c>
      <c r="S54">
        <f>IF($K54="To Do",COUNTIF($K$6:$K54,"To Do"),"")</f>
        <v/>
      </c>
      <c r="T54">
        <f>IF($K54="Doing",COUNTIF($K$6:$K54,"Doing"),"")</f>
        <v/>
      </c>
      <c r="U54">
        <f>IF($K54="Done",COUNTIF($K$6:$K54,"Done"),"")</f>
        <v/>
      </c>
    </row>
    <row r="55" ht="42" customHeight="1">
      <c r="B55" s="12" t="inlineStr">
        <is>
          <t>T-050</t>
        </is>
      </c>
      <c r="C55" s="12" t="inlineStr">
        <is>
          <t>HU-14</t>
        </is>
      </c>
      <c r="D55" s="13" t="inlineStr">
        <is>
          <t>Asignar usuarios a obras</t>
        </is>
      </c>
      <c r="E55" s="12" t="inlineStr">
        <is>
          <t>Diseño UI</t>
        </is>
      </c>
      <c r="F55" s="13" t="inlineStr">
        <is>
          <t>Diseñar la interfaz de usuario de HU-14: pantalla 10 · Usuarios, roles y dispositivos</t>
        </is>
      </c>
      <c r="G55" s="12" t="inlineStr">
        <is>
          <t>Fernando</t>
        </is>
      </c>
      <c r="H55" s="12" t="n">
        <v>1</v>
      </c>
      <c r="I55" s="12" t="inlineStr">
        <is>
          <t>23/10</t>
        </is>
      </c>
      <c r="J55" s="12" t="n"/>
      <c r="K55" s="12" t="inlineStr">
        <is>
          <t>Done</t>
        </is>
      </c>
      <c r="L55" s="12" t="inlineStr">
        <is>
          <t>Sí</t>
        </is>
      </c>
      <c r="M55" s="12" t="inlineStr">
        <is>
          <t>22/10/2026</t>
        </is>
      </c>
      <c r="N55" s="13" t="inlineStr">
        <is>
          <t>Mockup en el lienzo, revisado por el equipo</t>
        </is>
      </c>
      <c r="O55" s="12" t="inlineStr">
        <is>
          <t>Sí</t>
        </is>
      </c>
      <c r="P55" s="12" t="inlineStr">
        <is>
          <t>22/10/2026</t>
        </is>
      </c>
      <c r="Q55" s="13" t="inlineStr">
        <is>
          <t>Lienzo «SIGRO · Pantallas y diagramas del Sprint 1»</t>
        </is>
      </c>
      <c r="R55" s="12">
        <f>IF(AND(K55&lt;&gt;"To Do",L55&lt;&gt;"Sí"),"⚠ pasó a Doing sin DoR",IF(AND(K55="Done",O55&lt;&gt;"Sí"),"⚠ Done sin criterio cumplido",IF(AND(K55="Doing",COUNTIFS($G$6:$G$266,G55,$K$6:$K$266,"Doing",$E$6:$E$266,"&lt;&gt;Scrum")&gt;2,E55&lt;&gt;"Scrum"),"⚠ más de 2 en Doing","ok")))</f>
        <v/>
      </c>
      <c r="S55">
        <f>IF($K55="To Do",COUNTIF($K$6:$K55,"To Do"),"")</f>
        <v/>
      </c>
      <c r="T55">
        <f>IF($K55="Doing",COUNTIF($K$6:$K55,"Doing"),"")</f>
        <v/>
      </c>
      <c r="U55">
        <f>IF($K55="Done",COUNTIF($K$6:$K55,"Done"),"")</f>
        <v/>
      </c>
    </row>
    <row r="56" ht="42" customHeight="1">
      <c r="B56" s="12" t="inlineStr">
        <is>
          <t>T-051</t>
        </is>
      </c>
      <c r="C56" s="12" t="inlineStr">
        <is>
          <t>HU-14</t>
        </is>
      </c>
      <c r="D56" s="13" t="inlineStr">
        <is>
          <t>Asignar usuarios a obras</t>
        </is>
      </c>
      <c r="E56" s="12" t="inlineStr">
        <is>
          <t>Modelado UML</t>
        </is>
      </c>
      <c r="F56" s="13" t="inlineStr">
        <is>
          <t>Modelar la funcionalidad de HU-14 con el diagrama UML de secuencia de la asignación de usuario a obra</t>
        </is>
      </c>
      <c r="G56" s="12" t="inlineStr">
        <is>
          <t>Henry</t>
        </is>
      </c>
      <c r="H56" s="12" t="n">
        <v>1</v>
      </c>
      <c r="I56" s="12" t="inlineStr">
        <is>
          <t>24/10</t>
        </is>
      </c>
      <c r="J56" s="12" t="inlineStr">
        <is>
          <t>T-050</t>
        </is>
      </c>
      <c r="K56" s="12" t="inlineStr">
        <is>
          <t>To Do</t>
        </is>
      </c>
      <c r="L56" s="12" t="n"/>
      <c r="M56" s="12" t="n"/>
      <c r="N56" s="13" t="inlineStr">
        <is>
          <t>Diagrama publicado en el repo o el lienzo</t>
        </is>
      </c>
      <c r="O56" s="12" t="n"/>
      <c r="P56" s="12" t="n"/>
      <c r="Q56" s="13" t="n"/>
      <c r="R56" s="12">
        <f>IF(AND(K56&lt;&gt;"To Do",L56&lt;&gt;"Sí"),"⚠ pasó a Doing sin DoR",IF(AND(K56="Done",O56&lt;&gt;"Sí"),"⚠ Done sin criterio cumplido",IF(AND(K56="Doing",COUNTIFS($G$6:$G$266,G56,$K$6:$K$266,"Doing",$E$6:$E$266,"&lt;&gt;Scrum")&gt;2,E56&lt;&gt;"Scrum"),"⚠ más de 2 en Doing","ok")))</f>
        <v/>
      </c>
      <c r="S56">
        <f>IF($K56="To Do",COUNTIF($K$6:$K56,"To Do"),"")</f>
        <v/>
      </c>
      <c r="T56">
        <f>IF($K56="Doing",COUNTIF($K$6:$K56,"Doing"),"")</f>
        <v/>
      </c>
      <c r="U56">
        <f>IF($K56="Done",COUNTIF($K$6:$K56,"Done"),"")</f>
        <v/>
      </c>
    </row>
    <row r="57" ht="42" customHeight="1">
      <c r="B57" s="12" t="inlineStr">
        <is>
          <t>T-052</t>
        </is>
      </c>
      <c r="C57" s="12" t="inlineStr">
        <is>
          <t>HU-14</t>
        </is>
      </c>
      <c r="D57" s="13" t="inlineStr">
        <is>
          <t>Asignar usuarios a obras</t>
        </is>
      </c>
      <c r="E57" s="12" t="inlineStr">
        <is>
          <t>Base de datos</t>
        </is>
      </c>
      <c r="F57" s="13" t="inlineStr">
        <is>
          <t>Implementar las tablas asociadas a HU-14: asignacion</t>
        </is>
      </c>
      <c r="G57" s="12" t="inlineStr">
        <is>
          <t>Adiel</t>
        </is>
      </c>
      <c r="H57" s="12" t="n">
        <v>1</v>
      </c>
      <c r="I57" s="12" t="inlineStr">
        <is>
          <t>24/10</t>
        </is>
      </c>
      <c r="J57" s="12" t="n"/>
      <c r="K57" s="12" t="inlineStr">
        <is>
          <t>Done</t>
        </is>
      </c>
      <c r="L57" s="12" t="inlineStr">
        <is>
          <t>Sí</t>
        </is>
      </c>
      <c r="M57" s="12" t="inlineStr">
        <is>
          <t>22/10/2026</t>
        </is>
      </c>
      <c r="N57" s="13" t="inlineStr">
        <is>
          <t>Migración fusionada, corre en base limpia y con datos, y se revierte</t>
        </is>
      </c>
      <c r="O57" s="12" t="inlineStr">
        <is>
          <t>Sí</t>
        </is>
      </c>
      <c r="P57" s="12" t="inlineStr">
        <is>
          <t>22/10/2026</t>
        </is>
      </c>
      <c r="Q57" s="13" t="inlineStr">
        <is>
          <t>PR #1 de Adiel (22/10)</t>
        </is>
      </c>
      <c r="R57" s="12">
        <f>IF(AND(K57&lt;&gt;"To Do",L57&lt;&gt;"Sí"),"⚠ pasó a Doing sin DoR",IF(AND(K57="Done",O57&lt;&gt;"Sí"),"⚠ Done sin criterio cumplido",IF(AND(K57="Doing",COUNTIFS($G$6:$G$266,G57,$K$6:$K$266,"Doing",$E$6:$E$266,"&lt;&gt;Scrum")&gt;2,E57&lt;&gt;"Scrum"),"⚠ más de 2 en Doing","ok")))</f>
        <v/>
      </c>
      <c r="S57">
        <f>IF($K57="To Do",COUNTIF($K$6:$K57,"To Do"),"")</f>
        <v/>
      </c>
      <c r="T57">
        <f>IF($K57="Doing",COUNTIF($K$6:$K57,"Doing"),"")</f>
        <v/>
      </c>
      <c r="U57">
        <f>IF($K57="Done",COUNTIF($K$6:$K57,"Done"),"")</f>
        <v/>
      </c>
    </row>
    <row r="58" ht="42" customHeight="1">
      <c r="B58" s="12" t="inlineStr">
        <is>
          <t>T-053</t>
        </is>
      </c>
      <c r="C58" s="12" t="inlineStr">
        <is>
          <t>HU-14</t>
        </is>
      </c>
      <c r="D58" s="13" t="inlineStr">
        <is>
          <t>Asignar usuarios a obras</t>
        </is>
      </c>
      <c r="E58" s="12" t="inlineStr">
        <is>
          <t>Backend</t>
        </is>
      </c>
      <c r="F58" s="13" t="inlineStr">
        <is>
          <t>Programar el back-end de HU-14 (entidad, repositorio, servicio y controlador): el endpoint para asignar usuarios a obras</t>
        </is>
      </c>
      <c r="G58" s="12" t="inlineStr">
        <is>
          <t>Adiel</t>
        </is>
      </c>
      <c r="H58" s="12" t="n">
        <v>2</v>
      </c>
      <c r="I58" s="12" t="inlineStr">
        <is>
          <t>25/10</t>
        </is>
      </c>
      <c r="J58" s="12" t="n"/>
      <c r="K58" s="12" t="inlineStr">
        <is>
          <t>Done</t>
        </is>
      </c>
      <c r="L58" s="12" t="inlineStr">
        <is>
          <t>Sí</t>
        </is>
      </c>
      <c r="M58" s="12" t="inlineStr">
        <is>
          <t>22/10/2026</t>
        </is>
      </c>
      <c r="N58" s="13" t="inlineStr">
        <is>
          <t>PR fusionado con sus pruebas automáticas en verde y el endpoint documentado</t>
        </is>
      </c>
      <c r="O58" s="12" t="inlineStr">
        <is>
          <t>Sí</t>
        </is>
      </c>
      <c r="P58" s="12" t="inlineStr">
        <is>
          <t>22/10/2026</t>
        </is>
      </c>
      <c r="Q58" s="13" t="inlineStr">
        <is>
          <t>PR #1 y #2 de Adiel (22/10)</t>
        </is>
      </c>
      <c r="R58" s="12">
        <f>IF(AND(K58&lt;&gt;"To Do",L58&lt;&gt;"Sí"),"⚠ pasó a Doing sin DoR",IF(AND(K58="Done",O58&lt;&gt;"Sí"),"⚠ Done sin criterio cumplido",IF(AND(K58="Doing",COUNTIFS($G$6:$G$266,G58,$K$6:$K$266,"Doing",$E$6:$E$266,"&lt;&gt;Scrum")&gt;2,E58&lt;&gt;"Scrum"),"⚠ más de 2 en Doing","ok")))</f>
        <v/>
      </c>
      <c r="S58">
        <f>IF($K58="To Do",COUNTIF($K$6:$K58,"To Do"),"")</f>
        <v/>
      </c>
      <c r="T58">
        <f>IF($K58="Doing",COUNTIF($K$6:$K58,"Doing"),"")</f>
        <v/>
      </c>
      <c r="U58">
        <f>IF($K58="Done",COUNTIF($K$6:$K58,"Done"),"")</f>
        <v/>
      </c>
    </row>
    <row r="59" ht="42" customHeight="1">
      <c r="B59" s="12" t="inlineStr">
        <is>
          <t>T-054</t>
        </is>
      </c>
      <c r="C59" s="12" t="inlineStr">
        <is>
          <t>HU-14</t>
        </is>
      </c>
      <c r="D59" s="13" t="inlineStr">
        <is>
          <t>Asignar usuarios a obras</t>
        </is>
      </c>
      <c r="E59" s="12" t="inlineStr">
        <is>
          <t>Front-end web</t>
        </is>
      </c>
      <c r="F59" s="13" t="inlineStr">
        <is>
          <t>Programar la pantalla web para asignar usuarios a obras</t>
        </is>
      </c>
      <c r="G59" s="12" t="inlineStr">
        <is>
          <t>Henry</t>
        </is>
      </c>
      <c r="H59" s="12" t="n">
        <v>2</v>
      </c>
      <c r="I59" s="12" t="inlineStr">
        <is>
          <t>26/10</t>
        </is>
      </c>
      <c r="J59" s="12" t="inlineStr">
        <is>
          <t>T-050</t>
        </is>
      </c>
      <c r="K59" s="12" t="inlineStr">
        <is>
          <t>To Do</t>
        </is>
      </c>
      <c r="L59" s="12" t="n"/>
      <c r="M59" s="12" t="n"/>
      <c r="N59" s="13" t="inlineStr">
        <is>
          <t>PR fusionado, build sin errores, modo claro/oscuro y escala 125 %</t>
        </is>
      </c>
      <c r="O59" s="12" t="n"/>
      <c r="P59" s="12" t="n"/>
      <c r="Q59" s="13" t="n"/>
      <c r="R59" s="12">
        <f>IF(AND(K59&lt;&gt;"To Do",L59&lt;&gt;"Sí"),"⚠ pasó a Doing sin DoR",IF(AND(K59="Done",O59&lt;&gt;"Sí"),"⚠ Done sin criterio cumplido",IF(AND(K59="Doing",COUNTIFS($G$6:$G$266,G59,$K$6:$K$266,"Doing",$E$6:$E$266,"&lt;&gt;Scrum")&gt;2,E59&lt;&gt;"Scrum"),"⚠ más de 2 en Doing","ok")))</f>
        <v/>
      </c>
      <c r="S59">
        <f>IF($K59="To Do",COUNTIF($K$6:$K59,"To Do"),"")</f>
        <v/>
      </c>
      <c r="T59">
        <f>IF($K59="Doing",COUNTIF($K$6:$K59,"Doing"),"")</f>
        <v/>
      </c>
      <c r="U59">
        <f>IF($K59="Done",COUNTIF($K$6:$K59,"Done"),"")</f>
        <v/>
      </c>
    </row>
    <row r="60" ht="42" customHeight="1">
      <c r="B60" s="12" t="inlineStr">
        <is>
          <t>T-055</t>
        </is>
      </c>
      <c r="C60" s="12" t="inlineStr">
        <is>
          <t>HU-14</t>
        </is>
      </c>
      <c r="D60" s="13" t="inlineStr">
        <is>
          <t>Asignar usuarios a obras</t>
        </is>
      </c>
      <c r="E60" s="12" t="inlineStr">
        <is>
          <t>Pruebas</t>
        </is>
      </c>
      <c r="F60" s="13" t="inlineStr">
        <is>
          <t>Probar la funcionalidad de HU-14 (la API con Postman y la pantalla web) contra cada condición final y aprobar su PR</t>
        </is>
      </c>
      <c r="G60" s="12" t="inlineStr">
        <is>
          <t>Fernando</t>
        </is>
      </c>
      <c r="H60" s="12" t="n">
        <v>1</v>
      </c>
      <c r="I60" s="12" t="inlineStr">
        <is>
          <t>27/10</t>
        </is>
      </c>
      <c r="J60" s="12" t="inlineStr">
        <is>
          <t>T-052, T-053, T-054, T-233</t>
        </is>
      </c>
      <c r="K60" s="12" t="inlineStr">
        <is>
          <t>To Do</t>
        </is>
      </c>
      <c r="L60" s="12" t="n"/>
      <c r="M60" s="12" t="n"/>
      <c r="N60" s="13" t="inlineStr">
        <is>
          <t>Cada condición final verificada con Postman y en la interfaz; PR aprobado por alguien distinto del autor</t>
        </is>
      </c>
      <c r="O60" s="12" t="n"/>
      <c r="P60" s="12" t="n"/>
      <c r="Q60" s="13" t="n"/>
      <c r="R60" s="12">
        <f>IF(AND(K60&lt;&gt;"To Do",L60&lt;&gt;"Sí"),"⚠ pasó a Doing sin DoR",IF(AND(K60="Done",O60&lt;&gt;"Sí"),"⚠ Done sin criterio cumplido",IF(AND(K60="Doing",COUNTIFS($G$6:$G$266,G60,$K$6:$K$266,"Doing",$E$6:$E$266,"&lt;&gt;Scrum")&gt;2,E60&lt;&gt;"Scrum"),"⚠ más de 2 en Doing","ok")))</f>
        <v/>
      </c>
      <c r="S60">
        <f>IF($K60="To Do",COUNTIF($K$6:$K60,"To Do"),"")</f>
        <v/>
      </c>
      <c r="T60">
        <f>IF($K60="Doing",COUNTIF($K$6:$K60,"Doing"),"")</f>
        <v/>
      </c>
      <c r="U60">
        <f>IF($K60="Done",COUNTIF($K$6:$K60,"Done"),"")</f>
        <v/>
      </c>
    </row>
    <row r="61" ht="42" customHeight="1">
      <c r="B61" s="14" t="inlineStr">
        <is>
          <t>T-056</t>
        </is>
      </c>
      <c r="C61" s="14" t="inlineStr">
        <is>
          <t>HU-14</t>
        </is>
      </c>
      <c r="D61" s="15" t="inlineStr">
        <is>
          <t>Asignar usuarios a obras</t>
        </is>
      </c>
      <c r="E61" s="14" t="inlineStr">
        <is>
          <t>Aceptación</t>
        </is>
      </c>
      <c r="F61" s="15" t="inlineStr">
        <is>
          <t>Aceptar HU-14 como Product Owner desde la interfaz y moverla a Done</t>
        </is>
      </c>
      <c r="G61" s="14" t="inlineStr">
        <is>
          <t>Adiel</t>
        </is>
      </c>
      <c r="H61" s="14" t="n">
        <v>0.5</v>
      </c>
      <c r="I61" s="14" t="inlineStr">
        <is>
          <t>27/10</t>
        </is>
      </c>
      <c r="J61" s="14" t="inlineStr">
        <is>
          <t>T-055</t>
        </is>
      </c>
      <c r="K61" s="14" t="inlineStr">
        <is>
          <t>To Do</t>
        </is>
      </c>
      <c r="L61" s="14" t="n"/>
      <c r="M61" s="14" t="n"/>
      <c r="N61" s="15" t="inlineStr">
        <is>
          <t>DoD T1–T10 + condiciones finales aceptadas por el PO → la HU pasa a Done</t>
        </is>
      </c>
      <c r="O61" s="14" t="n"/>
      <c r="P61" s="14" t="n"/>
      <c r="Q61" s="15" t="n"/>
      <c r="R61" s="14">
        <f>IF(AND(K61&lt;&gt;"To Do",L61&lt;&gt;"Sí"),"⚠ pasó a Doing sin DoR",IF(AND(K61="Done",O61&lt;&gt;"Sí"),"⚠ Done sin criterio cumplido",IF(AND(K61="Doing",COUNTIFS($G$6:$G$266,G61,$K$6:$K$266,"Doing",$E$6:$E$266,"&lt;&gt;Scrum")&gt;2,E61&lt;&gt;"Scrum"),"⚠ más de 2 en Doing","ok")))</f>
        <v/>
      </c>
      <c r="S61">
        <f>IF($K61="To Do",COUNTIF($K$6:$K61,"To Do"),"")</f>
        <v/>
      </c>
      <c r="T61">
        <f>IF($K61="Doing",COUNTIF($K$6:$K61,"Doing"),"")</f>
        <v/>
      </c>
      <c r="U61">
        <f>IF($K61="Done",COUNTIF($K$6:$K61,"Done"),"")</f>
        <v/>
      </c>
    </row>
    <row r="62" ht="42" customHeight="1">
      <c r="B62" s="12" t="inlineStr">
        <is>
          <t>T-057</t>
        </is>
      </c>
      <c r="C62" s="12" t="inlineStr">
        <is>
          <t>HU-15</t>
        </is>
      </c>
      <c r="D62" s="13" t="inlineStr">
        <is>
          <t>Autorizar celular de la obra</t>
        </is>
      </c>
      <c r="E62" s="12" t="inlineStr">
        <is>
          <t>Diseño UI</t>
        </is>
      </c>
      <c r="F62" s="13" t="inlineStr">
        <is>
          <t>Diseñar la interfaz de usuario de HU-15: pantalla 10 · Usuarios, roles y dispositivos</t>
        </is>
      </c>
      <c r="G62" s="12" t="inlineStr">
        <is>
          <t>Fernando</t>
        </is>
      </c>
      <c r="H62" s="12" t="n">
        <v>1</v>
      </c>
      <c r="I62" s="12" t="inlineStr">
        <is>
          <t>23/10</t>
        </is>
      </c>
      <c r="J62" s="12" t="n"/>
      <c r="K62" s="12" t="inlineStr">
        <is>
          <t>Done</t>
        </is>
      </c>
      <c r="L62" s="12" t="inlineStr">
        <is>
          <t>Sí</t>
        </is>
      </c>
      <c r="M62" s="12" t="inlineStr">
        <is>
          <t>22/10/2026</t>
        </is>
      </c>
      <c r="N62" s="13" t="inlineStr">
        <is>
          <t>Mockup en el lienzo, revisado por el equipo</t>
        </is>
      </c>
      <c r="O62" s="12" t="inlineStr">
        <is>
          <t>Sí</t>
        </is>
      </c>
      <c r="P62" s="12" t="inlineStr">
        <is>
          <t>22/10/2026</t>
        </is>
      </c>
      <c r="Q62" s="13" t="inlineStr">
        <is>
          <t>Lienzo «SIGRO · Pantallas y diagramas del Sprint 1»</t>
        </is>
      </c>
      <c r="R62" s="12">
        <f>IF(AND(K62&lt;&gt;"To Do",L62&lt;&gt;"Sí"),"⚠ pasó a Doing sin DoR",IF(AND(K62="Done",O62&lt;&gt;"Sí"),"⚠ Done sin criterio cumplido",IF(AND(K62="Doing",COUNTIFS($G$6:$G$266,G62,$K$6:$K$266,"Doing",$E$6:$E$266,"&lt;&gt;Scrum")&gt;2,E62&lt;&gt;"Scrum"),"⚠ más de 2 en Doing","ok")))</f>
        <v/>
      </c>
      <c r="S62">
        <f>IF($K62="To Do",COUNTIF($K$6:$K62,"To Do"),"")</f>
        <v/>
      </c>
      <c r="T62">
        <f>IF($K62="Doing",COUNTIF($K$6:$K62,"Doing"),"")</f>
        <v/>
      </c>
      <c r="U62">
        <f>IF($K62="Done",COUNTIF($K$6:$K62,"Done"),"")</f>
        <v/>
      </c>
    </row>
    <row r="63" ht="42" customHeight="1">
      <c r="B63" s="12" t="inlineStr">
        <is>
          <t>T-058</t>
        </is>
      </c>
      <c r="C63" s="12" t="inlineStr">
        <is>
          <t>HU-15</t>
        </is>
      </c>
      <c r="D63" s="13" t="inlineStr">
        <is>
          <t>Autorizar celular de la obra</t>
        </is>
      </c>
      <c r="E63" s="12" t="inlineStr">
        <is>
          <t>Modelado UML</t>
        </is>
      </c>
      <c r="F63" s="13" t="inlineStr">
        <is>
          <t>Modelar la funcionalidad de HU-15 con el diagrama UML de secuencia del registro desde un dispositivo no autorizado</t>
        </is>
      </c>
      <c r="G63" s="12" t="inlineStr">
        <is>
          <t>Nicolás</t>
        </is>
      </c>
      <c r="H63" s="12" t="n">
        <v>1</v>
      </c>
      <c r="I63" s="12" t="inlineStr">
        <is>
          <t>24/10</t>
        </is>
      </c>
      <c r="J63" s="12" t="inlineStr">
        <is>
          <t>T-057</t>
        </is>
      </c>
      <c r="K63" s="12" t="inlineStr">
        <is>
          <t>To Do</t>
        </is>
      </c>
      <c r="L63" s="12" t="n"/>
      <c r="M63" s="12" t="n"/>
      <c r="N63" s="13" t="inlineStr">
        <is>
          <t>Diagrama publicado en el repo o el lienzo</t>
        </is>
      </c>
      <c r="O63" s="12" t="n"/>
      <c r="P63" s="12" t="n"/>
      <c r="Q63" s="13" t="n"/>
      <c r="R63" s="12">
        <f>IF(AND(K63&lt;&gt;"To Do",L63&lt;&gt;"Sí"),"⚠ pasó a Doing sin DoR",IF(AND(K63="Done",O63&lt;&gt;"Sí"),"⚠ Done sin criterio cumplido",IF(AND(K63="Doing",COUNTIFS($G$6:$G$266,G63,$K$6:$K$266,"Doing",$E$6:$E$266,"&lt;&gt;Scrum")&gt;2,E63&lt;&gt;"Scrum"),"⚠ más de 2 en Doing","ok")))</f>
        <v/>
      </c>
      <c r="S63">
        <f>IF($K63="To Do",COUNTIF($K$6:$K63,"To Do"),"")</f>
        <v/>
      </c>
      <c r="T63">
        <f>IF($K63="Doing",COUNTIF($K$6:$K63,"Doing"),"")</f>
        <v/>
      </c>
      <c r="U63">
        <f>IF($K63="Done",COUNTIF($K$6:$K63,"Done"),"")</f>
        <v/>
      </c>
    </row>
    <row r="64" ht="42" customHeight="1">
      <c r="B64" s="12" t="inlineStr">
        <is>
          <t>T-059</t>
        </is>
      </c>
      <c r="C64" s="12" t="inlineStr">
        <is>
          <t>HU-15</t>
        </is>
      </c>
      <c r="D64" s="13" t="inlineStr">
        <is>
          <t>Autorizar celular de la obra</t>
        </is>
      </c>
      <c r="E64" s="12" t="inlineStr">
        <is>
          <t>Base de datos</t>
        </is>
      </c>
      <c r="F64" s="13" t="inlineStr">
        <is>
          <t>Implementar las tablas asociadas a HU-15: dispositivo (máximo dos activos por obra)</t>
        </is>
      </c>
      <c r="G64" s="12" t="inlineStr">
        <is>
          <t>Adiel</t>
        </is>
      </c>
      <c r="H64" s="12" t="n">
        <v>1</v>
      </c>
      <c r="I64" s="12" t="inlineStr">
        <is>
          <t>24/10</t>
        </is>
      </c>
      <c r="J64" s="12" t="n"/>
      <c r="K64" s="12" t="inlineStr">
        <is>
          <t>Done</t>
        </is>
      </c>
      <c r="L64" s="12" t="inlineStr">
        <is>
          <t>Sí</t>
        </is>
      </c>
      <c r="M64" s="12" t="inlineStr">
        <is>
          <t>22/10/2026</t>
        </is>
      </c>
      <c r="N64" s="13" t="inlineStr">
        <is>
          <t>Migración fusionada, corre en base limpia y con datos, y se revierte</t>
        </is>
      </c>
      <c r="O64" s="12" t="inlineStr">
        <is>
          <t>Sí</t>
        </is>
      </c>
      <c r="P64" s="12" t="inlineStr">
        <is>
          <t>22/10/2026</t>
        </is>
      </c>
      <c r="Q64" s="13" t="inlineStr">
        <is>
          <t>PR #1 de Adiel (22/10)</t>
        </is>
      </c>
      <c r="R64" s="12">
        <f>IF(AND(K64&lt;&gt;"To Do",L64&lt;&gt;"Sí"),"⚠ pasó a Doing sin DoR",IF(AND(K64="Done",O64&lt;&gt;"Sí"),"⚠ Done sin criterio cumplido",IF(AND(K64="Doing",COUNTIFS($G$6:$G$266,G64,$K$6:$K$266,"Doing",$E$6:$E$266,"&lt;&gt;Scrum")&gt;2,E64&lt;&gt;"Scrum"),"⚠ más de 2 en Doing","ok")))</f>
        <v/>
      </c>
      <c r="S64">
        <f>IF($K64="To Do",COUNTIF($K$6:$K64,"To Do"),"")</f>
        <v/>
      </c>
      <c r="T64">
        <f>IF($K64="Doing",COUNTIF($K$6:$K64,"Doing"),"")</f>
        <v/>
      </c>
      <c r="U64">
        <f>IF($K64="Done",COUNTIF($K$6:$K64,"Done"),"")</f>
        <v/>
      </c>
    </row>
    <row r="65" ht="42" customHeight="1">
      <c r="B65" s="12" t="inlineStr">
        <is>
          <t>T-060</t>
        </is>
      </c>
      <c r="C65" s="12" t="inlineStr">
        <is>
          <t>HU-15</t>
        </is>
      </c>
      <c r="D65" s="13" t="inlineStr">
        <is>
          <t>Autorizar celular de la obra</t>
        </is>
      </c>
      <c r="E65" s="12" t="inlineStr">
        <is>
          <t>Backend</t>
        </is>
      </c>
      <c r="F65" s="13" t="inlineStr">
        <is>
          <t>Programar el back-end de HU-15 (entidad, repositorio, servicio y controlador): el registro de dispositivos autorizados por obra (máximo dos) y el rechazo del no autorizado</t>
        </is>
      </c>
      <c r="G65" s="12" t="inlineStr">
        <is>
          <t>Adiel</t>
        </is>
      </c>
      <c r="H65" s="12" t="n">
        <v>3</v>
      </c>
      <c r="I65" s="12" t="inlineStr">
        <is>
          <t>25/10</t>
        </is>
      </c>
      <c r="J65" s="12" t="n"/>
      <c r="K65" s="12" t="inlineStr">
        <is>
          <t>Done</t>
        </is>
      </c>
      <c r="L65" s="12" t="inlineStr">
        <is>
          <t>Sí</t>
        </is>
      </c>
      <c r="M65" s="12" t="inlineStr">
        <is>
          <t>22/10/2026</t>
        </is>
      </c>
      <c r="N65" s="13" t="inlineStr">
        <is>
          <t>PR fusionado con sus pruebas automáticas en verde y el endpoint documentado</t>
        </is>
      </c>
      <c r="O65" s="12" t="inlineStr">
        <is>
          <t>Sí</t>
        </is>
      </c>
      <c r="P65" s="12" t="inlineStr">
        <is>
          <t>22/10/2026</t>
        </is>
      </c>
      <c r="Q65" s="13" t="inlineStr">
        <is>
          <t>PR #1 y #2 de Adiel (22/10)</t>
        </is>
      </c>
      <c r="R65" s="12">
        <f>IF(AND(K65&lt;&gt;"To Do",L65&lt;&gt;"Sí"),"⚠ pasó a Doing sin DoR",IF(AND(K65="Done",O65&lt;&gt;"Sí"),"⚠ Done sin criterio cumplido",IF(AND(K65="Doing",COUNTIFS($G$6:$G$266,G65,$K$6:$K$266,"Doing",$E$6:$E$266,"&lt;&gt;Scrum")&gt;2,E65&lt;&gt;"Scrum"),"⚠ más de 2 en Doing","ok")))</f>
        <v/>
      </c>
      <c r="S65">
        <f>IF($K65="To Do",COUNTIF($K$6:$K65,"To Do"),"")</f>
        <v/>
      </c>
      <c r="T65">
        <f>IF($K65="Doing",COUNTIF($K$6:$K65,"Doing"),"")</f>
        <v/>
      </c>
      <c r="U65">
        <f>IF($K65="Done",COUNTIF($K$6:$K65,"Done"),"")</f>
        <v/>
      </c>
    </row>
    <row r="66" ht="42" customHeight="1">
      <c r="B66" s="12" t="inlineStr">
        <is>
          <t>T-061</t>
        </is>
      </c>
      <c r="C66" s="12" t="inlineStr">
        <is>
          <t>HU-15</t>
        </is>
      </c>
      <c r="D66" s="13" t="inlineStr">
        <is>
          <t>Autorizar celular de la obra</t>
        </is>
      </c>
      <c r="E66" s="12" t="inlineStr">
        <is>
          <t>Front-end app</t>
        </is>
      </c>
      <c r="F66" s="13" t="inlineStr">
        <is>
          <t>Programar en la app la generación del código del dispositivo en la primera instalación</t>
        </is>
      </c>
      <c r="G66" s="12" t="inlineStr">
        <is>
          <t>Nicolás</t>
        </is>
      </c>
      <c r="H66" s="12" t="n">
        <v>3</v>
      </c>
      <c r="I66" s="12" t="inlineStr">
        <is>
          <t>26/10</t>
        </is>
      </c>
      <c r="J66" s="12" t="inlineStr">
        <is>
          <t>T-057, T-242</t>
        </is>
      </c>
      <c r="K66" s="12" t="inlineStr">
        <is>
          <t>To Do</t>
        </is>
      </c>
      <c r="L66" s="12" t="n"/>
      <c r="M66" s="12" t="n"/>
      <c r="N66" s="13" t="inlineStr">
        <is>
          <t>PR fusionado; lo que registra movimientos probado en modo avión</t>
        </is>
      </c>
      <c r="O66" s="12" t="n"/>
      <c r="P66" s="12" t="n"/>
      <c r="Q66" s="13" t="n"/>
      <c r="R66" s="12">
        <f>IF(AND(K66&lt;&gt;"To Do",L66&lt;&gt;"Sí"),"⚠ pasó a Doing sin DoR",IF(AND(K66="Done",O66&lt;&gt;"Sí"),"⚠ Done sin criterio cumplido",IF(AND(K66="Doing",COUNTIFS($G$6:$G$266,G66,$K$6:$K$266,"Doing",$E$6:$E$266,"&lt;&gt;Scrum")&gt;2,E66&lt;&gt;"Scrum"),"⚠ más de 2 en Doing","ok")))</f>
        <v/>
      </c>
      <c r="S66">
        <f>IF($K66="To Do",COUNTIF($K$6:$K66,"To Do"),"")</f>
        <v/>
      </c>
      <c r="T66">
        <f>IF($K66="Doing",COUNTIF($K$6:$K66,"Doing"),"")</f>
        <v/>
      </c>
      <c r="U66">
        <f>IF($K66="Done",COUNTIF($K$6:$K66,"Done"),"")</f>
        <v/>
      </c>
    </row>
    <row r="67" ht="42" customHeight="1">
      <c r="B67" s="12" t="inlineStr">
        <is>
          <t>T-062</t>
        </is>
      </c>
      <c r="C67" s="12" t="inlineStr">
        <is>
          <t>HU-15</t>
        </is>
      </c>
      <c r="D67" s="13" t="inlineStr">
        <is>
          <t>Autorizar celular de la obra</t>
        </is>
      </c>
      <c r="E67" s="12" t="inlineStr">
        <is>
          <t>Front-end web</t>
        </is>
      </c>
      <c r="F67" s="13" t="inlineStr">
        <is>
          <t>Programar la pantalla web para autorizar o cambiar el celular de la obra</t>
        </is>
      </c>
      <c r="G67" s="12" t="inlineStr">
        <is>
          <t>Henry</t>
        </is>
      </c>
      <c r="H67" s="12" t="n">
        <v>3</v>
      </c>
      <c r="I67" s="12" t="inlineStr">
        <is>
          <t>26/10</t>
        </is>
      </c>
      <c r="J67" s="12" t="inlineStr">
        <is>
          <t>T-057</t>
        </is>
      </c>
      <c r="K67" s="12" t="inlineStr">
        <is>
          <t>To Do</t>
        </is>
      </c>
      <c r="L67" s="12" t="n"/>
      <c r="M67" s="12" t="n"/>
      <c r="N67" s="13" t="inlineStr">
        <is>
          <t>PR fusionado, build sin errores, modo claro/oscuro y escala 125 %</t>
        </is>
      </c>
      <c r="O67" s="12" t="n"/>
      <c r="P67" s="12" t="n"/>
      <c r="Q67" s="13" t="n"/>
      <c r="R67" s="12">
        <f>IF(AND(K67&lt;&gt;"To Do",L67&lt;&gt;"Sí"),"⚠ pasó a Doing sin DoR",IF(AND(K67="Done",O67&lt;&gt;"Sí"),"⚠ Done sin criterio cumplido",IF(AND(K67="Doing",COUNTIFS($G$6:$G$266,G67,$K$6:$K$266,"Doing",$E$6:$E$266,"&lt;&gt;Scrum")&gt;2,E67&lt;&gt;"Scrum"),"⚠ más de 2 en Doing","ok")))</f>
        <v/>
      </c>
      <c r="S67">
        <f>IF($K67="To Do",COUNTIF($K$6:$K67,"To Do"),"")</f>
        <v/>
      </c>
      <c r="T67">
        <f>IF($K67="Doing",COUNTIF($K$6:$K67,"Doing"),"")</f>
        <v/>
      </c>
      <c r="U67">
        <f>IF($K67="Done",COUNTIF($K$6:$K67,"Done"),"")</f>
        <v/>
      </c>
    </row>
    <row r="68" ht="42" customHeight="1">
      <c r="B68" s="12" t="inlineStr">
        <is>
          <t>T-063</t>
        </is>
      </c>
      <c r="C68" s="12" t="inlineStr">
        <is>
          <t>HU-15</t>
        </is>
      </c>
      <c r="D68" s="13" t="inlineStr">
        <is>
          <t>Autorizar celular de la obra</t>
        </is>
      </c>
      <c r="E68" s="12" t="inlineStr">
        <is>
          <t>Pruebas</t>
        </is>
      </c>
      <c r="F68" s="13" t="inlineStr">
        <is>
          <t>Probar la funcionalidad de HU-15 (la API con Postman, la pantalla web y la app) contra cada condición final y aprobar su PR</t>
        </is>
      </c>
      <c r="G68" s="12" t="inlineStr">
        <is>
          <t>Fernando</t>
        </is>
      </c>
      <c r="H68" s="12" t="n">
        <v>1</v>
      </c>
      <c r="I68" s="12" t="inlineStr">
        <is>
          <t>27/10</t>
        </is>
      </c>
      <c r="J68" s="12" t="inlineStr">
        <is>
          <t>T-059, T-060, T-061, T-062, T-233</t>
        </is>
      </c>
      <c r="K68" s="12" t="inlineStr">
        <is>
          <t>To Do</t>
        </is>
      </c>
      <c r="L68" s="12" t="n"/>
      <c r="M68" s="12" t="n"/>
      <c r="N68" s="13" t="inlineStr">
        <is>
          <t>Cada condición final verificada con Postman y en la interfaz; PR aprobado por alguien distinto del autor</t>
        </is>
      </c>
      <c r="O68" s="12" t="n"/>
      <c r="P68" s="12" t="n"/>
      <c r="Q68" s="13" t="n"/>
      <c r="R68" s="12">
        <f>IF(AND(K68&lt;&gt;"To Do",L68&lt;&gt;"Sí"),"⚠ pasó a Doing sin DoR",IF(AND(K68="Done",O68&lt;&gt;"Sí"),"⚠ Done sin criterio cumplido",IF(AND(K68="Doing",COUNTIFS($G$6:$G$266,G68,$K$6:$K$266,"Doing",$E$6:$E$266,"&lt;&gt;Scrum")&gt;2,E68&lt;&gt;"Scrum"),"⚠ más de 2 en Doing","ok")))</f>
        <v/>
      </c>
      <c r="S68">
        <f>IF($K68="To Do",COUNTIF($K$6:$K68,"To Do"),"")</f>
        <v/>
      </c>
      <c r="T68">
        <f>IF($K68="Doing",COUNTIF($K$6:$K68,"Doing"),"")</f>
        <v/>
      </c>
      <c r="U68">
        <f>IF($K68="Done",COUNTIF($K$6:$K68,"Done"),"")</f>
        <v/>
      </c>
    </row>
    <row r="69" ht="42" customHeight="1">
      <c r="B69" s="14" t="inlineStr">
        <is>
          <t>T-064</t>
        </is>
      </c>
      <c r="C69" s="14" t="inlineStr">
        <is>
          <t>HU-15</t>
        </is>
      </c>
      <c r="D69" s="15" t="inlineStr">
        <is>
          <t>Autorizar celular de la obra</t>
        </is>
      </c>
      <c r="E69" s="14" t="inlineStr">
        <is>
          <t>Aceptación</t>
        </is>
      </c>
      <c r="F69" s="15" t="inlineStr">
        <is>
          <t>Aceptar HU-15 como Product Owner desde la interfaz y moverla a Done</t>
        </is>
      </c>
      <c r="G69" s="14" t="inlineStr">
        <is>
          <t>Adiel</t>
        </is>
      </c>
      <c r="H69" s="14" t="n">
        <v>0.5</v>
      </c>
      <c r="I69" s="14" t="inlineStr">
        <is>
          <t>27/10</t>
        </is>
      </c>
      <c r="J69" s="14" t="inlineStr">
        <is>
          <t>T-063</t>
        </is>
      </c>
      <c r="K69" s="14" t="inlineStr">
        <is>
          <t>To Do</t>
        </is>
      </c>
      <c r="L69" s="14" t="n"/>
      <c r="M69" s="14" t="n"/>
      <c r="N69" s="15" t="inlineStr">
        <is>
          <t>DoD T1–T10 + condiciones finales aceptadas por el PO → la HU pasa a Done</t>
        </is>
      </c>
      <c r="O69" s="14" t="n"/>
      <c r="P69" s="14" t="n"/>
      <c r="Q69" s="15" t="n"/>
      <c r="R69" s="14">
        <f>IF(AND(K69&lt;&gt;"To Do",L69&lt;&gt;"Sí"),"⚠ pasó a Doing sin DoR",IF(AND(K69="Done",O69&lt;&gt;"Sí"),"⚠ Done sin criterio cumplido",IF(AND(K69="Doing",COUNTIFS($G$6:$G$266,G69,$K$6:$K$266,"Doing",$E$6:$E$266,"&lt;&gt;Scrum")&gt;2,E69&lt;&gt;"Scrum"),"⚠ más de 2 en Doing","ok")))</f>
        <v/>
      </c>
      <c r="S69">
        <f>IF($K69="To Do",COUNTIF($K$6:$K69,"To Do"),"")</f>
        <v/>
      </c>
      <c r="T69">
        <f>IF($K69="Doing",COUNTIF($K$6:$K69,"Doing"),"")</f>
        <v/>
      </c>
      <c r="U69">
        <f>IF($K69="Done",COUNTIF($K$6:$K69,"Done"),"")</f>
        <v/>
      </c>
    </row>
    <row r="70" ht="42" customHeight="1">
      <c r="B70" s="12" t="inlineStr">
        <is>
          <t>T-065</t>
        </is>
      </c>
      <c r="C70" s="12" t="inlineStr">
        <is>
          <t>HU-16</t>
        </is>
      </c>
      <c r="D70" s="13" t="inlineStr">
        <is>
          <t>Importar precios unitarios</t>
        </is>
      </c>
      <c r="E70" s="12" t="inlineStr">
        <is>
          <t>Diseño UI</t>
        </is>
      </c>
      <c r="F70" s="13" t="inlineStr">
        <is>
          <t>Diseñar la interfaz de usuario de HU-16: pantalla 19 · Importar APU y requerimiento</t>
        </is>
      </c>
      <c r="G70" s="12" t="inlineStr">
        <is>
          <t>Fernando</t>
        </is>
      </c>
      <c r="H70" s="12" t="n">
        <v>1</v>
      </c>
      <c r="I70" s="12" t="inlineStr">
        <is>
          <t>23/10</t>
        </is>
      </c>
      <c r="J70" s="12" t="n"/>
      <c r="K70" s="12" t="inlineStr">
        <is>
          <t>Done</t>
        </is>
      </c>
      <c r="L70" s="12" t="inlineStr">
        <is>
          <t>Sí</t>
        </is>
      </c>
      <c r="M70" s="12" t="inlineStr">
        <is>
          <t>22/10/2026</t>
        </is>
      </c>
      <c r="N70" s="13" t="inlineStr">
        <is>
          <t>Mockup en el lienzo, revisado por el equipo</t>
        </is>
      </c>
      <c r="O70" s="12" t="inlineStr">
        <is>
          <t>Sí</t>
        </is>
      </c>
      <c r="P70" s="12" t="inlineStr">
        <is>
          <t>22/10/2026</t>
        </is>
      </c>
      <c r="Q70" s="13" t="inlineStr">
        <is>
          <t>Lienzo «SIGRO · Pantallas y diagramas del Sprint 1»</t>
        </is>
      </c>
      <c r="R70" s="12">
        <f>IF(AND(K70&lt;&gt;"To Do",L70&lt;&gt;"Sí"),"⚠ pasó a Doing sin DoR",IF(AND(K70="Done",O70&lt;&gt;"Sí"),"⚠ Done sin criterio cumplido",IF(AND(K70="Doing",COUNTIFS($G$6:$G$266,G70,$K$6:$K$266,"Doing",$E$6:$E$266,"&lt;&gt;Scrum")&gt;2,E70&lt;&gt;"Scrum"),"⚠ más de 2 en Doing","ok")))</f>
        <v/>
      </c>
      <c r="S70">
        <f>IF($K70="To Do",COUNTIF($K$6:$K70,"To Do"),"")</f>
        <v/>
      </c>
      <c r="T70">
        <f>IF($K70="Doing",COUNTIF($K$6:$K70,"Doing"),"")</f>
        <v/>
      </c>
      <c r="U70">
        <f>IF($K70="Done",COUNTIF($K$6:$K70,"Done"),"")</f>
        <v/>
      </c>
    </row>
    <row r="71" ht="42" customHeight="1">
      <c r="B71" s="12" t="inlineStr">
        <is>
          <t>T-066</t>
        </is>
      </c>
      <c r="C71" s="12" t="inlineStr">
        <is>
          <t>HU-16</t>
        </is>
      </c>
      <c r="D71" s="13" t="inlineStr">
        <is>
          <t>Importar precios unitarios</t>
        </is>
      </c>
      <c r="E71" s="12" t="inlineStr">
        <is>
          <t>Modelado UML</t>
        </is>
      </c>
      <c r="F71" s="13" t="inlineStr">
        <is>
          <t>Modelar la funcionalidad de HU-16 con el diagrama UML de actividades de la lectura del APU</t>
        </is>
      </c>
      <c r="G71" s="12" t="inlineStr">
        <is>
          <t>Fernando</t>
        </is>
      </c>
      <c r="H71" s="12" t="n">
        <v>1</v>
      </c>
      <c r="I71" s="12" t="inlineStr">
        <is>
          <t>24/10</t>
        </is>
      </c>
      <c r="J71" s="12" t="inlineStr">
        <is>
          <t>T-065</t>
        </is>
      </c>
      <c r="K71" s="12" t="inlineStr">
        <is>
          <t>To Do</t>
        </is>
      </c>
      <c r="L71" s="12" t="n"/>
      <c r="M71" s="12" t="n"/>
      <c r="N71" s="13" t="inlineStr">
        <is>
          <t>Diagrama publicado en el repo o el lienzo</t>
        </is>
      </c>
      <c r="O71" s="12" t="n"/>
      <c r="P71" s="12" t="n"/>
      <c r="Q71" s="13" t="n"/>
      <c r="R71" s="12">
        <f>IF(AND(K71&lt;&gt;"To Do",L71&lt;&gt;"Sí"),"⚠ pasó a Doing sin DoR",IF(AND(K71="Done",O71&lt;&gt;"Sí"),"⚠ Done sin criterio cumplido",IF(AND(K71="Doing",COUNTIFS($G$6:$G$266,G71,$K$6:$K$266,"Doing",$E$6:$E$266,"&lt;&gt;Scrum")&gt;2,E71&lt;&gt;"Scrum"),"⚠ más de 2 en Doing","ok")))</f>
        <v/>
      </c>
      <c r="S71">
        <f>IF($K71="To Do",COUNTIF($K$6:$K71,"To Do"),"")</f>
        <v/>
      </c>
      <c r="T71">
        <f>IF($K71="Doing",COUNTIF($K$6:$K71,"Doing"),"")</f>
        <v/>
      </c>
      <c r="U71">
        <f>IF($K71="Done",COUNTIF($K$6:$K71,"Done"),"")</f>
        <v/>
      </c>
    </row>
    <row r="72" ht="42" customHeight="1">
      <c r="B72" s="12" t="inlineStr">
        <is>
          <t>T-067</t>
        </is>
      </c>
      <c r="C72" s="12" t="inlineStr">
        <is>
          <t>HU-16</t>
        </is>
      </c>
      <c r="D72" s="13" t="inlineStr">
        <is>
          <t>Importar precios unitarios</t>
        </is>
      </c>
      <c r="E72" s="12" t="inlineStr">
        <is>
          <t>Base de datos</t>
        </is>
      </c>
      <c r="F72" s="13" t="inlineStr">
        <is>
          <t>Implementar las tablas asociadas a HU-16: partida, partida_recurso</t>
        </is>
      </c>
      <c r="G72" s="12" t="inlineStr">
        <is>
          <t>Adiel</t>
        </is>
      </c>
      <c r="H72" s="12" t="n">
        <v>1</v>
      </c>
      <c r="I72" s="12" t="inlineStr">
        <is>
          <t>24/10</t>
        </is>
      </c>
      <c r="J72" s="12" t="inlineStr">
        <is>
          <t>T-066</t>
        </is>
      </c>
      <c r="K72" s="12" t="inlineStr">
        <is>
          <t>To Do</t>
        </is>
      </c>
      <c r="L72" s="12" t="n"/>
      <c r="M72" s="12" t="n"/>
      <c r="N72" s="13" t="inlineStr">
        <is>
          <t>Migración fusionada, corre en base limpia y con datos, y se revierte</t>
        </is>
      </c>
      <c r="O72" s="12" t="n"/>
      <c r="P72" s="12" t="n"/>
      <c r="Q72" s="13" t="n"/>
      <c r="R72" s="12">
        <f>IF(AND(K72&lt;&gt;"To Do",L72&lt;&gt;"Sí"),"⚠ pasó a Doing sin DoR",IF(AND(K72="Done",O72&lt;&gt;"Sí"),"⚠ Done sin criterio cumplido",IF(AND(K72="Doing",COUNTIFS($G$6:$G$266,G72,$K$6:$K$266,"Doing",$E$6:$E$266,"&lt;&gt;Scrum")&gt;2,E72&lt;&gt;"Scrum"),"⚠ más de 2 en Doing","ok")))</f>
        <v/>
      </c>
      <c r="S72">
        <f>IF($K72="To Do",COUNTIF($K$6:$K72,"To Do"),"")</f>
        <v/>
      </c>
      <c r="T72">
        <f>IF($K72="Doing",COUNTIF($K$6:$K72,"Doing"),"")</f>
        <v/>
      </c>
      <c r="U72">
        <f>IF($K72="Done",COUNTIF($K$6:$K72,"Done"),"")</f>
        <v/>
      </c>
    </row>
    <row r="73" ht="42" customHeight="1">
      <c r="B73" s="12" t="inlineStr">
        <is>
          <t>T-068</t>
        </is>
      </c>
      <c r="C73" s="12" t="inlineStr">
        <is>
          <t>HU-16</t>
        </is>
      </c>
      <c r="D73" s="13" t="inlineStr">
        <is>
          <t>Importar precios unitarios</t>
        </is>
      </c>
      <c r="E73" s="12" t="inlineStr">
        <is>
          <t>Backend</t>
        </is>
      </c>
      <c r="F73" s="13" t="inlineStr">
        <is>
          <t>Crear la tabla partida–recurso y programar el endpoint que la guarda</t>
        </is>
      </c>
      <c r="G73" s="12" t="inlineStr">
        <is>
          <t>Adiel</t>
        </is>
      </c>
      <c r="H73" s="12" t="n">
        <v>5</v>
      </c>
      <c r="I73" s="12" t="inlineStr">
        <is>
          <t>25/10</t>
        </is>
      </c>
      <c r="J73" s="12" t="inlineStr">
        <is>
          <t>T-067</t>
        </is>
      </c>
      <c r="K73" s="12" t="inlineStr">
        <is>
          <t>To Do</t>
        </is>
      </c>
      <c r="L73" s="12" t="n"/>
      <c r="M73" s="12" t="n"/>
      <c r="N73" s="13" t="inlineStr">
        <is>
          <t>PR fusionado con sus pruebas automáticas en verde y el endpoint documentado</t>
        </is>
      </c>
      <c r="O73" s="12" t="n"/>
      <c r="P73" s="12" t="n"/>
      <c r="Q73" s="13" t="n"/>
      <c r="R73" s="12">
        <f>IF(AND(K73&lt;&gt;"To Do",L73&lt;&gt;"Sí"),"⚠ pasó a Doing sin DoR",IF(AND(K73="Done",O73&lt;&gt;"Sí"),"⚠ Done sin criterio cumplido",IF(AND(K73="Doing",COUNTIFS($G$6:$G$266,G73,$K$6:$K$266,"Doing",$E$6:$E$266,"&lt;&gt;Scrum")&gt;2,E73&lt;&gt;"Scrum"),"⚠ más de 2 en Doing","ok")))</f>
        <v/>
      </c>
      <c r="S73">
        <f>IF($K73="To Do",COUNTIF($K$6:$K73,"To Do"),"")</f>
        <v/>
      </c>
      <c r="T73">
        <f>IF($K73="Doing",COUNTIF($K$6:$K73,"Doing"),"")</f>
        <v/>
      </c>
      <c r="U73">
        <f>IF($K73="Done",COUNTIF($K$6:$K73,"Done"),"")</f>
        <v/>
      </c>
    </row>
    <row r="74" ht="42" customHeight="1">
      <c r="B74" s="12" t="inlineStr">
        <is>
          <t>T-069</t>
        </is>
      </c>
      <c r="C74" s="12" t="inlineStr">
        <is>
          <t>HU-16</t>
        </is>
      </c>
      <c r="D74" s="13" t="inlineStr">
        <is>
          <t>Importar precios unitarios</t>
        </is>
      </c>
      <c r="E74" s="12" t="inlineStr">
        <is>
          <t>Integración</t>
        </is>
      </c>
      <c r="F74" s="13" t="inlineStr">
        <is>
          <t>Programar el lector del PDF del APU (371 páginas), identificando la partida por código y descripción — integración con S10 (análisis de precios unitarios)</t>
        </is>
      </c>
      <c r="G74" s="12" t="inlineStr">
        <is>
          <t>Fernando</t>
        </is>
      </c>
      <c r="H74" s="12" t="n">
        <v>5</v>
      </c>
      <c r="I74" s="12" t="inlineStr">
        <is>
          <t>25/10</t>
        </is>
      </c>
      <c r="J74" s="12" t="inlineStr">
        <is>
          <t>T-066</t>
        </is>
      </c>
      <c r="K74" s="12" t="inlineStr">
        <is>
          <t>Doing</t>
        </is>
      </c>
      <c r="L74" s="12" t="inlineStr">
        <is>
          <t>Sí</t>
        </is>
      </c>
      <c r="M74" s="12" t="inlineStr">
        <is>
          <t>22/10/2026</t>
        </is>
      </c>
      <c r="N74" s="13" t="inlineStr">
        <is>
          <t>Probado con el archivo o servicio real, PR fusionado</t>
        </is>
      </c>
      <c r="O74" s="12" t="n"/>
      <c r="P74" s="12" t="n"/>
      <c r="Q74" s="13" t="inlineStr">
        <is>
          <t>Registro del 22/10</t>
        </is>
      </c>
      <c r="R74" s="12">
        <f>IF(AND(K74&lt;&gt;"To Do",L74&lt;&gt;"Sí"),"⚠ pasó a Doing sin DoR",IF(AND(K74="Done",O74&lt;&gt;"Sí"),"⚠ Done sin criterio cumplido",IF(AND(K74="Doing",COUNTIFS($G$6:$G$266,G74,$K$6:$K$266,"Doing",$E$6:$E$266,"&lt;&gt;Scrum")&gt;2,E74&lt;&gt;"Scrum"),"⚠ más de 2 en Doing","ok")))</f>
        <v/>
      </c>
      <c r="S74">
        <f>IF($K74="To Do",COUNTIF($K$6:$K74,"To Do"),"")</f>
        <v/>
      </c>
      <c r="T74">
        <f>IF($K74="Doing",COUNTIF($K$6:$K74,"Doing"),"")</f>
        <v/>
      </c>
      <c r="U74">
        <f>IF($K74="Done",COUNTIF($K$6:$K74,"Done"),"")</f>
        <v/>
      </c>
    </row>
    <row r="75" ht="42" customHeight="1">
      <c r="B75" s="12" t="inlineStr">
        <is>
          <t>T-070</t>
        </is>
      </c>
      <c r="C75" s="12" t="inlineStr">
        <is>
          <t>HU-16</t>
        </is>
      </c>
      <c r="D75" s="13" t="inlineStr">
        <is>
          <t>Importar precios unitarios</t>
        </is>
      </c>
      <c r="E75" s="12" t="inlineStr">
        <is>
          <t>Front-end web</t>
        </is>
      </c>
      <c r="F75" s="13" t="inlineStr">
        <is>
          <t>Programar la pantalla web para importar el APU</t>
        </is>
      </c>
      <c r="G75" s="12" t="inlineStr">
        <is>
          <t>Fernando</t>
        </is>
      </c>
      <c r="H75" s="12" t="n">
        <v>5</v>
      </c>
      <c r="I75" s="12" t="inlineStr">
        <is>
          <t>26/10</t>
        </is>
      </c>
      <c r="J75" s="12" t="inlineStr">
        <is>
          <t>T-065</t>
        </is>
      </c>
      <c r="K75" s="12" t="inlineStr">
        <is>
          <t>To Do</t>
        </is>
      </c>
      <c r="L75" s="12" t="n"/>
      <c r="M75" s="12" t="n"/>
      <c r="N75" s="13" t="inlineStr">
        <is>
          <t>PR fusionado, build sin errores, modo claro/oscuro y escala 125 %</t>
        </is>
      </c>
      <c r="O75" s="12" t="n"/>
      <c r="P75" s="12" t="n"/>
      <c r="Q75" s="13" t="n"/>
      <c r="R75" s="12">
        <f>IF(AND(K75&lt;&gt;"To Do",L75&lt;&gt;"Sí"),"⚠ pasó a Doing sin DoR",IF(AND(K75="Done",O75&lt;&gt;"Sí"),"⚠ Done sin criterio cumplido",IF(AND(K75="Doing",COUNTIFS($G$6:$G$266,G75,$K$6:$K$266,"Doing",$E$6:$E$266,"&lt;&gt;Scrum")&gt;2,E75&lt;&gt;"Scrum"),"⚠ más de 2 en Doing","ok")))</f>
        <v/>
      </c>
      <c r="S75">
        <f>IF($K75="To Do",COUNTIF($K$6:$K75,"To Do"),"")</f>
        <v/>
      </c>
      <c r="T75">
        <f>IF($K75="Doing",COUNTIF($K$6:$K75,"Doing"),"")</f>
        <v/>
      </c>
      <c r="U75">
        <f>IF($K75="Done",COUNTIF($K$6:$K75,"Done"),"")</f>
        <v/>
      </c>
    </row>
    <row r="76" ht="42" customHeight="1">
      <c r="B76" s="12" t="inlineStr">
        <is>
          <t>T-071</t>
        </is>
      </c>
      <c r="C76" s="12" t="inlineStr">
        <is>
          <t>HU-16</t>
        </is>
      </c>
      <c r="D76" s="13" t="inlineStr">
        <is>
          <t>Importar precios unitarios</t>
        </is>
      </c>
      <c r="E76" s="12" t="inlineStr">
        <is>
          <t>Pruebas</t>
        </is>
      </c>
      <c r="F76" s="13" t="inlineStr">
        <is>
          <t>Probar la funcionalidad de HU-16 (la API con Postman y la pantalla web) contra cada condición final y aprobar su PR</t>
        </is>
      </c>
      <c r="G76" s="12" t="inlineStr">
        <is>
          <t>Henry</t>
        </is>
      </c>
      <c r="H76" s="12" t="n">
        <v>1</v>
      </c>
      <c r="I76" s="12" t="inlineStr">
        <is>
          <t>27/10</t>
        </is>
      </c>
      <c r="J76" s="12" t="inlineStr">
        <is>
          <t>T-067, T-068, T-069, T-070, T-233</t>
        </is>
      </c>
      <c r="K76" s="12" t="inlineStr">
        <is>
          <t>To Do</t>
        </is>
      </c>
      <c r="L76" s="12" t="n"/>
      <c r="M76" s="12" t="n"/>
      <c r="N76" s="13" t="inlineStr">
        <is>
          <t>Cada condición final verificada con Postman y en la interfaz; PR aprobado por alguien distinto del autor</t>
        </is>
      </c>
      <c r="O76" s="12" t="n"/>
      <c r="P76" s="12" t="n"/>
      <c r="Q76" s="13" t="n"/>
      <c r="R76" s="12">
        <f>IF(AND(K76&lt;&gt;"To Do",L76&lt;&gt;"Sí"),"⚠ pasó a Doing sin DoR",IF(AND(K76="Done",O76&lt;&gt;"Sí"),"⚠ Done sin criterio cumplido",IF(AND(K76="Doing",COUNTIFS($G$6:$G$266,G76,$K$6:$K$266,"Doing",$E$6:$E$266,"&lt;&gt;Scrum")&gt;2,E76&lt;&gt;"Scrum"),"⚠ más de 2 en Doing","ok")))</f>
        <v/>
      </c>
      <c r="S76">
        <f>IF($K76="To Do",COUNTIF($K$6:$K76,"To Do"),"")</f>
        <v/>
      </c>
      <c r="T76">
        <f>IF($K76="Doing",COUNTIF($K$6:$K76,"Doing"),"")</f>
        <v/>
      </c>
      <c r="U76">
        <f>IF($K76="Done",COUNTIF($K$6:$K76,"Done"),"")</f>
        <v/>
      </c>
    </row>
    <row r="77" ht="42" customHeight="1">
      <c r="B77" s="14" t="inlineStr">
        <is>
          <t>T-072</t>
        </is>
      </c>
      <c r="C77" s="14" t="inlineStr">
        <is>
          <t>HU-16</t>
        </is>
      </c>
      <c r="D77" s="15" t="inlineStr">
        <is>
          <t>Importar precios unitarios</t>
        </is>
      </c>
      <c r="E77" s="14" t="inlineStr">
        <is>
          <t>Aceptación</t>
        </is>
      </c>
      <c r="F77" s="15" t="inlineStr">
        <is>
          <t>Aceptar HU-16 como Product Owner desde la interfaz y moverla a Done</t>
        </is>
      </c>
      <c r="G77" s="14" t="inlineStr">
        <is>
          <t>Adiel</t>
        </is>
      </c>
      <c r="H77" s="14" t="n">
        <v>0.5</v>
      </c>
      <c r="I77" s="14" t="inlineStr">
        <is>
          <t>27/10</t>
        </is>
      </c>
      <c r="J77" s="14" t="inlineStr">
        <is>
          <t>T-071</t>
        </is>
      </c>
      <c r="K77" s="14" t="inlineStr">
        <is>
          <t>To Do</t>
        </is>
      </c>
      <c r="L77" s="14" t="n"/>
      <c r="M77" s="14" t="n"/>
      <c r="N77" s="15" t="inlineStr">
        <is>
          <t>DoD T1–T10 + condiciones finales aceptadas por el PO → la HU pasa a Done</t>
        </is>
      </c>
      <c r="O77" s="14" t="n"/>
      <c r="P77" s="14" t="n"/>
      <c r="Q77" s="15" t="n"/>
      <c r="R77" s="14">
        <f>IF(AND(K77&lt;&gt;"To Do",L77&lt;&gt;"Sí"),"⚠ pasó a Doing sin DoR",IF(AND(K77="Done",O77&lt;&gt;"Sí"),"⚠ Done sin criterio cumplido",IF(AND(K77="Doing",COUNTIFS($G$6:$G$266,G77,$K$6:$K$266,"Doing",$E$6:$E$266,"&lt;&gt;Scrum")&gt;2,E77&lt;&gt;"Scrum"),"⚠ más de 2 en Doing","ok")))</f>
        <v/>
      </c>
      <c r="S77">
        <f>IF($K77="To Do",COUNTIF($K$6:$K77,"To Do"),"")</f>
        <v/>
      </c>
      <c r="T77">
        <f>IF($K77="Doing",COUNTIF($K$6:$K77,"Doing"),"")</f>
        <v/>
      </c>
      <c r="U77">
        <f>IF($K77="Done",COUNTIF($K$6:$K77,"Done"),"")</f>
        <v/>
      </c>
    </row>
    <row r="78" ht="42" customHeight="1">
      <c r="B78" s="12" t="inlineStr">
        <is>
          <t>T-073</t>
        </is>
      </c>
      <c r="C78" s="12" t="inlineStr">
        <is>
          <t>HU-17</t>
        </is>
      </c>
      <c r="D78" s="13" t="inlineStr">
        <is>
          <t>Convertir unidades (kg a varillas)</t>
        </is>
      </c>
      <c r="E78" s="12" t="inlineStr">
        <is>
          <t>Diseño UI</t>
        </is>
      </c>
      <c r="F78" s="13" t="inlineStr">
        <is>
          <t>Diseñar la interfaz de usuario de HU-17: pantalla 16 · Catálogo e insumo</t>
        </is>
      </c>
      <c r="G78" s="12" t="inlineStr">
        <is>
          <t>Fernando</t>
        </is>
      </c>
      <c r="H78" s="12" t="n">
        <v>1</v>
      </c>
      <c r="I78" s="12" t="inlineStr">
        <is>
          <t>23/10</t>
        </is>
      </c>
      <c r="J78" s="12" t="n"/>
      <c r="K78" s="12" t="inlineStr">
        <is>
          <t>Done</t>
        </is>
      </c>
      <c r="L78" s="12" t="inlineStr">
        <is>
          <t>Sí</t>
        </is>
      </c>
      <c r="M78" s="12" t="inlineStr">
        <is>
          <t>22/10/2026</t>
        </is>
      </c>
      <c r="N78" s="13" t="inlineStr">
        <is>
          <t>Mockup en el lienzo, revisado por el equipo</t>
        </is>
      </c>
      <c r="O78" s="12" t="inlineStr">
        <is>
          <t>Sí</t>
        </is>
      </c>
      <c r="P78" s="12" t="inlineStr">
        <is>
          <t>22/10/2026</t>
        </is>
      </c>
      <c r="Q78" s="13" t="inlineStr">
        <is>
          <t>Lienzo «SIGRO · Pantallas y diagramas del Sprint 1»</t>
        </is>
      </c>
      <c r="R78" s="12">
        <f>IF(AND(K78&lt;&gt;"To Do",L78&lt;&gt;"Sí"),"⚠ pasó a Doing sin DoR",IF(AND(K78="Done",O78&lt;&gt;"Sí"),"⚠ Done sin criterio cumplido",IF(AND(K78="Doing",COUNTIFS($G$6:$G$266,G78,$K$6:$K$266,"Doing",$E$6:$E$266,"&lt;&gt;Scrum")&gt;2,E78&lt;&gt;"Scrum"),"⚠ más de 2 en Doing","ok")))</f>
        <v/>
      </c>
      <c r="S78">
        <f>IF($K78="To Do",COUNTIF($K$6:$K78,"To Do"),"")</f>
        <v/>
      </c>
      <c r="T78">
        <f>IF($K78="Doing",COUNTIF($K$6:$K78,"Doing"),"")</f>
        <v/>
      </c>
      <c r="U78">
        <f>IF($K78="Done",COUNTIF($K$6:$K78,"Done"),"")</f>
        <v/>
      </c>
    </row>
    <row r="79" ht="42" customHeight="1">
      <c r="B79" s="12" t="inlineStr">
        <is>
          <t>T-074</t>
        </is>
      </c>
      <c r="C79" s="12" t="inlineStr">
        <is>
          <t>HU-17</t>
        </is>
      </c>
      <c r="D79" s="13" t="inlineStr">
        <is>
          <t>Convertir unidades (kg a varillas)</t>
        </is>
      </c>
      <c r="E79" s="12" t="inlineStr">
        <is>
          <t>Modelado UML</t>
        </is>
      </c>
      <c r="F79" s="13" t="inlineStr">
        <is>
          <t>Modelar la funcionalidad de HU-17 con el diagrama UML de secuencia de la conversión kg ↔ varillas</t>
        </is>
      </c>
      <c r="G79" s="12" t="inlineStr">
        <is>
          <t>Fernando</t>
        </is>
      </c>
      <c r="H79" s="12" t="n">
        <v>1</v>
      </c>
      <c r="I79" s="12" t="inlineStr">
        <is>
          <t>24/10</t>
        </is>
      </c>
      <c r="J79" s="12" t="inlineStr">
        <is>
          <t>T-073</t>
        </is>
      </c>
      <c r="K79" s="12" t="inlineStr">
        <is>
          <t>To Do</t>
        </is>
      </c>
      <c r="L79" s="12" t="n"/>
      <c r="M79" s="12" t="n"/>
      <c r="N79" s="13" t="inlineStr">
        <is>
          <t>Diagrama publicado en el repo o el lienzo</t>
        </is>
      </c>
      <c r="O79" s="12" t="n"/>
      <c r="P79" s="12" t="n"/>
      <c r="Q79" s="13" t="n"/>
      <c r="R79" s="12">
        <f>IF(AND(K79&lt;&gt;"To Do",L79&lt;&gt;"Sí"),"⚠ pasó a Doing sin DoR",IF(AND(K79="Done",O79&lt;&gt;"Sí"),"⚠ Done sin criterio cumplido",IF(AND(K79="Doing",COUNTIFS($G$6:$G$266,G79,$K$6:$K$266,"Doing",$E$6:$E$266,"&lt;&gt;Scrum")&gt;2,E79&lt;&gt;"Scrum"),"⚠ más de 2 en Doing","ok")))</f>
        <v/>
      </c>
      <c r="S79">
        <f>IF($K79="To Do",COUNTIF($K$6:$K79,"To Do"),"")</f>
        <v/>
      </c>
      <c r="T79">
        <f>IF($K79="Doing",COUNTIF($K$6:$K79,"Doing"),"")</f>
        <v/>
      </c>
      <c r="U79">
        <f>IF($K79="Done",COUNTIF($K$6:$K79,"Done"),"")</f>
        <v/>
      </c>
    </row>
    <row r="80" ht="42" customHeight="1">
      <c r="B80" s="12" t="inlineStr">
        <is>
          <t>T-075</t>
        </is>
      </c>
      <c r="C80" s="12" t="inlineStr">
        <is>
          <t>HU-17</t>
        </is>
      </c>
      <c r="D80" s="13" t="inlineStr">
        <is>
          <t>Convertir unidades (kg a varillas)</t>
        </is>
      </c>
      <c r="E80" s="12" t="inlineStr">
        <is>
          <t>Base de datos</t>
        </is>
      </c>
      <c r="F80" s="13" t="inlineStr">
        <is>
          <t>Implementar las tablas asociadas a HU-17: insumo.factor_conversion con su histórico</t>
        </is>
      </c>
      <c r="G80" s="12" t="inlineStr">
        <is>
          <t>Adiel</t>
        </is>
      </c>
      <c r="H80" s="12" t="n">
        <v>1</v>
      </c>
      <c r="I80" s="12" t="inlineStr">
        <is>
          <t>24/10</t>
        </is>
      </c>
      <c r="J80" s="12" t="inlineStr">
        <is>
          <t>T-074</t>
        </is>
      </c>
      <c r="K80" s="12" t="inlineStr">
        <is>
          <t>To Do</t>
        </is>
      </c>
      <c r="L80" s="12" t="n"/>
      <c r="M80" s="12" t="n"/>
      <c r="N80" s="13" t="inlineStr">
        <is>
          <t>Migración fusionada, corre en base limpia y con datos, y se revierte</t>
        </is>
      </c>
      <c r="O80" s="12" t="n"/>
      <c r="P80" s="12" t="n"/>
      <c r="Q80" s="13" t="n"/>
      <c r="R80" s="12">
        <f>IF(AND(K80&lt;&gt;"To Do",L80&lt;&gt;"Sí"),"⚠ pasó a Doing sin DoR",IF(AND(K80="Done",O80&lt;&gt;"Sí"),"⚠ Done sin criterio cumplido",IF(AND(K80="Doing",COUNTIFS($G$6:$G$266,G80,$K$6:$K$266,"Doing",$E$6:$E$266,"&lt;&gt;Scrum")&gt;2,E80&lt;&gt;"Scrum"),"⚠ más de 2 en Doing","ok")))</f>
        <v/>
      </c>
      <c r="S80">
        <f>IF($K80="To Do",COUNTIF($K$6:$K80,"To Do"),"")</f>
        <v/>
      </c>
      <c r="T80">
        <f>IF($K80="Doing",COUNTIF($K$6:$K80,"Doing"),"")</f>
        <v/>
      </c>
      <c r="U80">
        <f>IF($K80="Done",COUNTIF($K$6:$K80,"Done"),"")</f>
        <v/>
      </c>
    </row>
    <row r="81" ht="42" customHeight="1">
      <c r="B81" s="12" t="inlineStr">
        <is>
          <t>T-076</t>
        </is>
      </c>
      <c r="C81" s="12" t="inlineStr">
        <is>
          <t>HU-17</t>
        </is>
      </c>
      <c r="D81" s="13" t="inlineStr">
        <is>
          <t>Convertir unidades (kg a varillas)</t>
        </is>
      </c>
      <c r="E81" s="12" t="inlineStr">
        <is>
          <t>Backend</t>
        </is>
      </c>
      <c r="F81" s="13" t="inlineStr">
        <is>
          <t>Programar el back-end de HU-17 (entidad, repositorio, servicio y controlador): el registro del factor de conversión con su fecha y su usuario</t>
        </is>
      </c>
      <c r="G81" s="12" t="inlineStr">
        <is>
          <t>Adiel</t>
        </is>
      </c>
      <c r="H81" s="12" t="n">
        <v>2</v>
      </c>
      <c r="I81" s="12" t="inlineStr">
        <is>
          <t>25/10</t>
        </is>
      </c>
      <c r="J81" s="12" t="inlineStr">
        <is>
          <t>T-075</t>
        </is>
      </c>
      <c r="K81" s="12" t="inlineStr">
        <is>
          <t>To Do</t>
        </is>
      </c>
      <c r="L81" s="12" t="n"/>
      <c r="M81" s="12" t="n"/>
      <c r="N81" s="13" t="inlineStr">
        <is>
          <t>PR fusionado con sus pruebas automáticas en verde y el endpoint documentado</t>
        </is>
      </c>
      <c r="O81" s="12" t="n"/>
      <c r="P81" s="12" t="n"/>
      <c r="Q81" s="13" t="n"/>
      <c r="R81" s="12">
        <f>IF(AND(K81&lt;&gt;"To Do",L81&lt;&gt;"Sí"),"⚠ pasó a Doing sin DoR",IF(AND(K81="Done",O81&lt;&gt;"Sí"),"⚠ Done sin criterio cumplido",IF(AND(K81="Doing",COUNTIFS($G$6:$G$266,G81,$K$6:$K$266,"Doing",$E$6:$E$266,"&lt;&gt;Scrum")&gt;2,E81&lt;&gt;"Scrum"),"⚠ más de 2 en Doing","ok")))</f>
        <v/>
      </c>
      <c r="S81">
        <f>IF($K81="To Do",COUNTIF($K$6:$K81,"To Do"),"")</f>
        <v/>
      </c>
      <c r="T81">
        <f>IF($K81="Doing",COUNTIF($K$6:$K81,"Doing"),"")</f>
        <v/>
      </c>
      <c r="U81">
        <f>IF($K81="Done",COUNTIF($K$6:$K81,"Done"),"")</f>
        <v/>
      </c>
    </row>
    <row r="82" ht="42" customHeight="1">
      <c r="B82" s="12" t="inlineStr">
        <is>
          <t>T-077</t>
        </is>
      </c>
      <c r="C82" s="12" t="inlineStr">
        <is>
          <t>HU-17</t>
        </is>
      </c>
      <c r="D82" s="13" t="inlineStr">
        <is>
          <t>Convertir unidades (kg a varillas)</t>
        </is>
      </c>
      <c r="E82" s="12" t="inlineStr">
        <is>
          <t>Front-end web</t>
        </is>
      </c>
      <c r="F82" s="13" t="inlineStr">
        <is>
          <t>Programar el formulario web del factor de conversión (kg ↔ varillas)</t>
        </is>
      </c>
      <c r="G82" s="12" t="inlineStr">
        <is>
          <t>Fernando</t>
        </is>
      </c>
      <c r="H82" s="12" t="n">
        <v>2</v>
      </c>
      <c r="I82" s="12" t="inlineStr">
        <is>
          <t>26/10</t>
        </is>
      </c>
      <c r="J82" s="12" t="inlineStr">
        <is>
          <t>T-073</t>
        </is>
      </c>
      <c r="K82" s="12" t="inlineStr">
        <is>
          <t>To Do</t>
        </is>
      </c>
      <c r="L82" s="12" t="n"/>
      <c r="M82" s="12" t="n"/>
      <c r="N82" s="13" t="inlineStr">
        <is>
          <t>PR fusionado, build sin errores, modo claro/oscuro y escala 125 %</t>
        </is>
      </c>
      <c r="O82" s="12" t="n"/>
      <c r="P82" s="12" t="n"/>
      <c r="Q82" s="13" t="n"/>
      <c r="R82" s="12">
        <f>IF(AND(K82&lt;&gt;"To Do",L82&lt;&gt;"Sí"),"⚠ pasó a Doing sin DoR",IF(AND(K82="Done",O82&lt;&gt;"Sí"),"⚠ Done sin criterio cumplido",IF(AND(K82="Doing",COUNTIFS($G$6:$G$266,G82,$K$6:$K$266,"Doing",$E$6:$E$266,"&lt;&gt;Scrum")&gt;2,E82&lt;&gt;"Scrum"),"⚠ más de 2 en Doing","ok")))</f>
        <v/>
      </c>
      <c r="S82">
        <f>IF($K82="To Do",COUNTIF($K$6:$K82,"To Do"),"")</f>
        <v/>
      </c>
      <c r="T82">
        <f>IF($K82="Doing",COUNTIF($K$6:$K82,"Doing"),"")</f>
        <v/>
      </c>
      <c r="U82">
        <f>IF($K82="Done",COUNTIF($K$6:$K82,"Done"),"")</f>
        <v/>
      </c>
    </row>
    <row r="83" ht="42" customHeight="1">
      <c r="B83" s="12" t="inlineStr">
        <is>
          <t>T-078</t>
        </is>
      </c>
      <c r="C83" s="12" t="inlineStr">
        <is>
          <t>HU-17</t>
        </is>
      </c>
      <c r="D83" s="13" t="inlineStr">
        <is>
          <t>Convertir unidades (kg a varillas)</t>
        </is>
      </c>
      <c r="E83" s="12" t="inlineStr">
        <is>
          <t>Pruebas</t>
        </is>
      </c>
      <c r="F83" s="13" t="inlineStr">
        <is>
          <t>Probar la funcionalidad de HU-17 (la API con Postman y la pantalla web) contra cada condición final y aprobar su PR</t>
        </is>
      </c>
      <c r="G83" s="12" t="inlineStr">
        <is>
          <t>Henry</t>
        </is>
      </c>
      <c r="H83" s="12" t="n">
        <v>1</v>
      </c>
      <c r="I83" s="12" t="inlineStr">
        <is>
          <t>27/10</t>
        </is>
      </c>
      <c r="J83" s="12" t="inlineStr">
        <is>
          <t>T-075, T-076, T-077, T-233</t>
        </is>
      </c>
      <c r="K83" s="12" t="inlineStr">
        <is>
          <t>To Do</t>
        </is>
      </c>
      <c r="L83" s="12" t="n"/>
      <c r="M83" s="12" t="n"/>
      <c r="N83" s="13" t="inlineStr">
        <is>
          <t>Cada condición final verificada con Postman y en la interfaz; PR aprobado por alguien distinto del autor</t>
        </is>
      </c>
      <c r="O83" s="12" t="n"/>
      <c r="P83" s="12" t="n"/>
      <c r="Q83" s="13" t="n"/>
      <c r="R83" s="12">
        <f>IF(AND(K83&lt;&gt;"To Do",L83&lt;&gt;"Sí"),"⚠ pasó a Doing sin DoR",IF(AND(K83="Done",O83&lt;&gt;"Sí"),"⚠ Done sin criterio cumplido",IF(AND(K83="Doing",COUNTIFS($G$6:$G$266,G83,$K$6:$K$266,"Doing",$E$6:$E$266,"&lt;&gt;Scrum")&gt;2,E83&lt;&gt;"Scrum"),"⚠ más de 2 en Doing","ok")))</f>
        <v/>
      </c>
      <c r="S83">
        <f>IF($K83="To Do",COUNTIF($K$6:$K83,"To Do"),"")</f>
        <v/>
      </c>
      <c r="T83">
        <f>IF($K83="Doing",COUNTIF($K$6:$K83,"Doing"),"")</f>
        <v/>
      </c>
      <c r="U83">
        <f>IF($K83="Done",COUNTIF($K$6:$K83,"Done"),"")</f>
        <v/>
      </c>
    </row>
    <row r="84" ht="42" customHeight="1">
      <c r="B84" s="14" t="inlineStr">
        <is>
          <t>T-079</t>
        </is>
      </c>
      <c r="C84" s="14" t="inlineStr">
        <is>
          <t>HU-17</t>
        </is>
      </c>
      <c r="D84" s="15" t="inlineStr">
        <is>
          <t>Convertir unidades (kg a varillas)</t>
        </is>
      </c>
      <c r="E84" s="14" t="inlineStr">
        <is>
          <t>Aceptación</t>
        </is>
      </c>
      <c r="F84" s="15" t="inlineStr">
        <is>
          <t>Aceptar HU-17 como Product Owner desde la interfaz y moverla a Done</t>
        </is>
      </c>
      <c r="G84" s="14" t="inlineStr">
        <is>
          <t>Adiel</t>
        </is>
      </c>
      <c r="H84" s="14" t="n">
        <v>0.5</v>
      </c>
      <c r="I84" s="14" t="inlineStr">
        <is>
          <t>27/10</t>
        </is>
      </c>
      <c r="J84" s="14" t="inlineStr">
        <is>
          <t>T-078</t>
        </is>
      </c>
      <c r="K84" s="14" t="inlineStr">
        <is>
          <t>To Do</t>
        </is>
      </c>
      <c r="L84" s="14" t="n"/>
      <c r="M84" s="14" t="n"/>
      <c r="N84" s="15" t="inlineStr">
        <is>
          <t>DoD T1–T10 + condiciones finales aceptadas por el PO → la HU pasa a Done</t>
        </is>
      </c>
      <c r="O84" s="14" t="n"/>
      <c r="P84" s="14" t="n"/>
      <c r="Q84" s="15" t="n"/>
      <c r="R84" s="14">
        <f>IF(AND(K84&lt;&gt;"To Do",L84&lt;&gt;"Sí"),"⚠ pasó a Doing sin DoR",IF(AND(K84="Done",O84&lt;&gt;"Sí"),"⚠ Done sin criterio cumplido",IF(AND(K84="Doing",COUNTIFS($G$6:$G$266,G84,$K$6:$K$266,"Doing",$E$6:$E$266,"&lt;&gt;Scrum")&gt;2,E84&lt;&gt;"Scrum"),"⚠ más de 2 en Doing","ok")))</f>
        <v/>
      </c>
      <c r="S84">
        <f>IF($K84="To Do",COUNTIF($K$6:$K84,"To Do"),"")</f>
        <v/>
      </c>
      <c r="T84">
        <f>IF($K84="Doing",COUNTIF($K$6:$K84,"Doing"),"")</f>
        <v/>
      </c>
      <c r="U84">
        <f>IF($K84="Done",COUNTIF($K$6:$K84,"Done"),"")</f>
        <v/>
      </c>
    </row>
    <row r="85" ht="42" customHeight="1">
      <c r="B85" s="12" t="inlineStr">
        <is>
          <t>T-080</t>
        </is>
      </c>
      <c r="C85" s="12" t="inlineStr">
        <is>
          <t>HU-19</t>
        </is>
      </c>
      <c r="D85" s="13" t="inlineStr">
        <is>
          <t>Importar requerimiento de la obra</t>
        </is>
      </c>
      <c r="E85" s="12" t="inlineStr">
        <is>
          <t>Diseño UI</t>
        </is>
      </c>
      <c r="F85" s="13" t="inlineStr">
        <is>
          <t>Diseñar la interfaz de usuario de HU-19: pantalla 19 · Importar APU y requerimiento</t>
        </is>
      </c>
      <c r="G85" s="12" t="inlineStr">
        <is>
          <t>Fernando</t>
        </is>
      </c>
      <c r="H85" s="12" t="n">
        <v>1</v>
      </c>
      <c r="I85" s="12" t="inlineStr">
        <is>
          <t>23/10</t>
        </is>
      </c>
      <c r="J85" s="12" t="n"/>
      <c r="K85" s="12" t="inlineStr">
        <is>
          <t>Done</t>
        </is>
      </c>
      <c r="L85" s="12" t="inlineStr">
        <is>
          <t>Sí</t>
        </is>
      </c>
      <c r="M85" s="12" t="inlineStr">
        <is>
          <t>22/10/2026</t>
        </is>
      </c>
      <c r="N85" s="13" t="inlineStr">
        <is>
          <t>Mockup en el lienzo, revisado por el equipo</t>
        </is>
      </c>
      <c r="O85" s="12" t="inlineStr">
        <is>
          <t>Sí</t>
        </is>
      </c>
      <c r="P85" s="12" t="inlineStr">
        <is>
          <t>22/10/2026</t>
        </is>
      </c>
      <c r="Q85" s="13" t="inlineStr">
        <is>
          <t>Lienzo «SIGRO · Pantallas y diagramas del Sprint 1»</t>
        </is>
      </c>
      <c r="R85" s="12">
        <f>IF(AND(K85&lt;&gt;"To Do",L85&lt;&gt;"Sí"),"⚠ pasó a Doing sin DoR",IF(AND(K85="Done",O85&lt;&gt;"Sí"),"⚠ Done sin criterio cumplido",IF(AND(K85="Doing",COUNTIFS($G$6:$G$266,G85,$K$6:$K$266,"Doing",$E$6:$E$266,"&lt;&gt;Scrum")&gt;2,E85&lt;&gt;"Scrum"),"⚠ más de 2 en Doing","ok")))</f>
        <v/>
      </c>
      <c r="S85">
        <f>IF($K85="To Do",COUNTIF($K$6:$K85,"To Do"),"")</f>
        <v/>
      </c>
      <c r="T85">
        <f>IF($K85="Doing",COUNTIF($K$6:$K85,"Doing"),"")</f>
        <v/>
      </c>
      <c r="U85">
        <f>IF($K85="Done",COUNTIF($K$6:$K85,"Done"),"")</f>
        <v/>
      </c>
    </row>
    <row r="86" ht="42" customHeight="1">
      <c r="B86" s="12" t="inlineStr">
        <is>
          <t>T-081</t>
        </is>
      </c>
      <c r="C86" s="12" t="inlineStr">
        <is>
          <t>HU-19</t>
        </is>
      </c>
      <c r="D86" s="13" t="inlineStr">
        <is>
          <t>Importar requerimiento de la obra</t>
        </is>
      </c>
      <c r="E86" s="12" t="inlineStr">
        <is>
          <t>Modelado UML</t>
        </is>
      </c>
      <c r="F86" s="13" t="inlineStr">
        <is>
          <t>Modelar la funcionalidad de HU-19 con el diagrama UML de actividades de la importación del requerimiento total</t>
        </is>
      </c>
      <c r="G86" s="12" t="inlineStr">
        <is>
          <t>Fernando</t>
        </is>
      </c>
      <c r="H86" s="12" t="n">
        <v>1</v>
      </c>
      <c r="I86" s="12" t="inlineStr">
        <is>
          <t>24/10</t>
        </is>
      </c>
      <c r="J86" s="12" t="inlineStr">
        <is>
          <t>T-080</t>
        </is>
      </c>
      <c r="K86" s="12" t="inlineStr">
        <is>
          <t>To Do</t>
        </is>
      </c>
      <c r="L86" s="12" t="n"/>
      <c r="M86" s="12" t="n"/>
      <c r="N86" s="13" t="inlineStr">
        <is>
          <t>Diagrama publicado en el repo o el lienzo</t>
        </is>
      </c>
      <c r="O86" s="12" t="n"/>
      <c r="P86" s="12" t="n"/>
      <c r="Q86" s="13" t="n"/>
      <c r="R86" s="12">
        <f>IF(AND(K86&lt;&gt;"To Do",L86&lt;&gt;"Sí"),"⚠ pasó a Doing sin DoR",IF(AND(K86="Done",O86&lt;&gt;"Sí"),"⚠ Done sin criterio cumplido",IF(AND(K86="Doing",COUNTIFS($G$6:$G$266,G86,$K$6:$K$266,"Doing",$E$6:$E$266,"&lt;&gt;Scrum")&gt;2,E86&lt;&gt;"Scrum"),"⚠ más de 2 en Doing","ok")))</f>
        <v/>
      </c>
      <c r="S86">
        <f>IF($K86="To Do",COUNTIF($K$6:$K86,"To Do"),"")</f>
        <v/>
      </c>
      <c r="T86">
        <f>IF($K86="Doing",COUNTIF($K$6:$K86,"Doing"),"")</f>
        <v/>
      </c>
      <c r="U86">
        <f>IF($K86="Done",COUNTIF($K$6:$K86,"Done"),"")</f>
        <v/>
      </c>
    </row>
    <row r="87" ht="42" customHeight="1">
      <c r="B87" s="12" t="inlineStr">
        <is>
          <t>T-082</t>
        </is>
      </c>
      <c r="C87" s="12" t="inlineStr">
        <is>
          <t>HU-19</t>
        </is>
      </c>
      <c r="D87" s="13" t="inlineStr">
        <is>
          <t>Importar requerimiento de la obra</t>
        </is>
      </c>
      <c r="E87" s="12" t="inlineStr">
        <is>
          <t>Base de datos</t>
        </is>
      </c>
      <c r="F87" s="13" t="inlineStr">
        <is>
          <t>Implementar las tablas asociadas a HU-19: requerimiento (cantidad y costo planificados, ajuste con motivo)</t>
        </is>
      </c>
      <c r="G87" s="12" t="inlineStr">
        <is>
          <t>Adiel</t>
        </is>
      </c>
      <c r="H87" s="12" t="n">
        <v>1</v>
      </c>
      <c r="I87" s="12" t="inlineStr">
        <is>
          <t>24/10</t>
        </is>
      </c>
      <c r="J87" s="12" t="inlineStr">
        <is>
          <t>T-081</t>
        </is>
      </c>
      <c r="K87" s="12" t="inlineStr">
        <is>
          <t>To Do</t>
        </is>
      </c>
      <c r="L87" s="12" t="n"/>
      <c r="M87" s="12" t="n"/>
      <c r="N87" s="13" t="inlineStr">
        <is>
          <t>Migración fusionada, corre en base limpia y con datos, y se revierte</t>
        </is>
      </c>
      <c r="O87" s="12" t="n"/>
      <c r="P87" s="12" t="n"/>
      <c r="Q87" s="13" t="n"/>
      <c r="R87" s="12">
        <f>IF(AND(K87&lt;&gt;"To Do",L87&lt;&gt;"Sí"),"⚠ pasó a Doing sin DoR",IF(AND(K87="Done",O87&lt;&gt;"Sí"),"⚠ Done sin criterio cumplido",IF(AND(K87="Doing",COUNTIFS($G$6:$G$266,G87,$K$6:$K$266,"Doing",$E$6:$E$266,"&lt;&gt;Scrum")&gt;2,E87&lt;&gt;"Scrum"),"⚠ más de 2 en Doing","ok")))</f>
        <v/>
      </c>
      <c r="S87">
        <f>IF($K87="To Do",COUNTIF($K$6:$K87,"To Do"),"")</f>
        <v/>
      </c>
      <c r="T87">
        <f>IF($K87="Doing",COUNTIF($K$6:$K87,"Doing"),"")</f>
        <v/>
      </c>
      <c r="U87">
        <f>IF($K87="Done",COUNTIF($K$6:$K87,"Done"),"")</f>
        <v/>
      </c>
    </row>
    <row r="88" ht="42" customHeight="1">
      <c r="B88" s="12" t="inlineStr">
        <is>
          <t>T-083</t>
        </is>
      </c>
      <c r="C88" s="12" t="inlineStr">
        <is>
          <t>HU-19</t>
        </is>
      </c>
      <c r="D88" s="13" t="inlineStr">
        <is>
          <t>Importar requerimiento de la obra</t>
        </is>
      </c>
      <c r="E88" s="12" t="inlineStr">
        <is>
          <t>Backend</t>
        </is>
      </c>
      <c r="F88" s="13" t="inlineStr">
        <is>
          <t>Programar el back-end de HU-19 (entidad, repositorio, servicio y controlador): el guardado del requerimiento total y de sus ajustes con motivo</t>
        </is>
      </c>
      <c r="G88" s="12" t="inlineStr">
        <is>
          <t>Adiel</t>
        </is>
      </c>
      <c r="H88" s="12" t="n">
        <v>3</v>
      </c>
      <c r="I88" s="12" t="inlineStr">
        <is>
          <t>25/10</t>
        </is>
      </c>
      <c r="J88" s="12" t="inlineStr">
        <is>
          <t>T-082</t>
        </is>
      </c>
      <c r="K88" s="12" t="inlineStr">
        <is>
          <t>To Do</t>
        </is>
      </c>
      <c r="L88" s="12" t="n"/>
      <c r="M88" s="12" t="n"/>
      <c r="N88" s="13" t="inlineStr">
        <is>
          <t>PR fusionado con sus pruebas automáticas en verde y el endpoint documentado</t>
        </is>
      </c>
      <c r="O88" s="12" t="n"/>
      <c r="P88" s="12" t="n"/>
      <c r="Q88" s="13" t="n"/>
      <c r="R88" s="12">
        <f>IF(AND(K88&lt;&gt;"To Do",L88&lt;&gt;"Sí"),"⚠ pasó a Doing sin DoR",IF(AND(K88="Done",O88&lt;&gt;"Sí"),"⚠ Done sin criterio cumplido",IF(AND(K88="Doing",COUNTIFS($G$6:$G$266,G88,$K$6:$K$266,"Doing",$E$6:$E$266,"&lt;&gt;Scrum")&gt;2,E88&lt;&gt;"Scrum"),"⚠ más de 2 en Doing","ok")))</f>
        <v/>
      </c>
      <c r="S88">
        <f>IF($K88="To Do",COUNTIF($K$6:$K88,"To Do"),"")</f>
        <v/>
      </c>
      <c r="T88">
        <f>IF($K88="Doing",COUNTIF($K$6:$K88,"Doing"),"")</f>
        <v/>
      </c>
      <c r="U88">
        <f>IF($K88="Done",COUNTIF($K$6:$K88,"Done"),"")</f>
        <v/>
      </c>
    </row>
    <row r="89" ht="42" customHeight="1">
      <c r="B89" s="12" t="inlineStr">
        <is>
          <t>T-084</t>
        </is>
      </c>
      <c r="C89" s="12" t="inlineStr">
        <is>
          <t>HU-19</t>
        </is>
      </c>
      <c r="D89" s="13" t="inlineStr">
        <is>
          <t>Importar requerimiento de la obra</t>
        </is>
      </c>
      <c r="E89" s="12" t="inlineStr">
        <is>
          <t>Integración</t>
        </is>
      </c>
      <c r="F89" s="13" t="inlineStr">
        <is>
          <t>Adaptar el lector de la Relación de insumos para obtener el requerimiento total — integración con S10 (relación de insumos)</t>
        </is>
      </c>
      <c r="G89" s="12" t="inlineStr">
        <is>
          <t>Fernando</t>
        </is>
      </c>
      <c r="H89" s="12" t="n">
        <v>3</v>
      </c>
      <c r="I89" s="12" t="inlineStr">
        <is>
          <t>25/10</t>
        </is>
      </c>
      <c r="J89" s="12" t="inlineStr">
        <is>
          <t>T-081</t>
        </is>
      </c>
      <c r="K89" s="12" t="inlineStr">
        <is>
          <t>To Do</t>
        </is>
      </c>
      <c r="L89" s="12" t="n"/>
      <c r="M89" s="12" t="n"/>
      <c r="N89" s="13" t="inlineStr">
        <is>
          <t>Probado con el archivo o servicio real, PR fusionado</t>
        </is>
      </c>
      <c r="O89" s="12" t="n"/>
      <c r="P89" s="12" t="n"/>
      <c r="Q89" s="13" t="n"/>
      <c r="R89" s="12">
        <f>IF(AND(K89&lt;&gt;"To Do",L89&lt;&gt;"Sí"),"⚠ pasó a Doing sin DoR",IF(AND(K89="Done",O89&lt;&gt;"Sí"),"⚠ Done sin criterio cumplido",IF(AND(K89="Doing",COUNTIFS($G$6:$G$266,G89,$K$6:$K$266,"Doing",$E$6:$E$266,"&lt;&gt;Scrum")&gt;2,E89&lt;&gt;"Scrum"),"⚠ más de 2 en Doing","ok")))</f>
        <v/>
      </c>
      <c r="S89">
        <f>IF($K89="To Do",COUNTIF($K$6:$K89,"To Do"),"")</f>
        <v/>
      </c>
      <c r="T89">
        <f>IF($K89="Doing",COUNTIF($K$6:$K89,"Doing"),"")</f>
        <v/>
      </c>
      <c r="U89">
        <f>IF($K89="Done",COUNTIF($K$6:$K89,"Done"),"")</f>
        <v/>
      </c>
    </row>
    <row r="90" ht="42" customHeight="1">
      <c r="B90" s="12" t="inlineStr">
        <is>
          <t>T-085</t>
        </is>
      </c>
      <c r="C90" s="12" t="inlineStr">
        <is>
          <t>HU-19</t>
        </is>
      </c>
      <c r="D90" s="13" t="inlineStr">
        <is>
          <t>Importar requerimiento de la obra</t>
        </is>
      </c>
      <c r="E90" s="12" t="inlineStr">
        <is>
          <t>Front-end web</t>
        </is>
      </c>
      <c r="F90" s="13" t="inlineStr">
        <is>
          <t>Programar la pantalla web del requerimiento total</t>
        </is>
      </c>
      <c r="G90" s="12" t="inlineStr">
        <is>
          <t>Fernando</t>
        </is>
      </c>
      <c r="H90" s="12" t="n">
        <v>3</v>
      </c>
      <c r="I90" s="12" t="inlineStr">
        <is>
          <t>26/10</t>
        </is>
      </c>
      <c r="J90" s="12" t="inlineStr">
        <is>
          <t>T-080</t>
        </is>
      </c>
      <c r="K90" s="12" t="inlineStr">
        <is>
          <t>To Do</t>
        </is>
      </c>
      <c r="L90" s="12" t="n"/>
      <c r="M90" s="12" t="n"/>
      <c r="N90" s="13" t="inlineStr">
        <is>
          <t>PR fusionado, build sin errores, modo claro/oscuro y escala 125 %</t>
        </is>
      </c>
      <c r="O90" s="12" t="n"/>
      <c r="P90" s="12" t="n"/>
      <c r="Q90" s="13" t="n"/>
      <c r="R90" s="12">
        <f>IF(AND(K90&lt;&gt;"To Do",L90&lt;&gt;"Sí"),"⚠ pasó a Doing sin DoR",IF(AND(K90="Done",O90&lt;&gt;"Sí"),"⚠ Done sin criterio cumplido",IF(AND(K90="Doing",COUNTIFS($G$6:$G$266,G90,$K$6:$K$266,"Doing",$E$6:$E$266,"&lt;&gt;Scrum")&gt;2,E90&lt;&gt;"Scrum"),"⚠ más de 2 en Doing","ok")))</f>
        <v/>
      </c>
      <c r="S90">
        <f>IF($K90="To Do",COUNTIF($K$6:$K90,"To Do"),"")</f>
        <v/>
      </c>
      <c r="T90">
        <f>IF($K90="Doing",COUNTIF($K$6:$K90,"Doing"),"")</f>
        <v/>
      </c>
      <c r="U90">
        <f>IF($K90="Done",COUNTIF($K$6:$K90,"Done"),"")</f>
        <v/>
      </c>
    </row>
    <row r="91" ht="42" customHeight="1">
      <c r="B91" s="12" t="inlineStr">
        <is>
          <t>T-086</t>
        </is>
      </c>
      <c r="C91" s="12" t="inlineStr">
        <is>
          <t>HU-19</t>
        </is>
      </c>
      <c r="D91" s="13" t="inlineStr">
        <is>
          <t>Importar requerimiento de la obra</t>
        </is>
      </c>
      <c r="E91" s="12" t="inlineStr">
        <is>
          <t>Pruebas</t>
        </is>
      </c>
      <c r="F91" s="13" t="inlineStr">
        <is>
          <t>Probar la funcionalidad de HU-19 (la API con Postman y la pantalla web) contra cada condición final y aprobar su PR</t>
        </is>
      </c>
      <c r="G91" s="12" t="inlineStr">
        <is>
          <t>Henry</t>
        </is>
      </c>
      <c r="H91" s="12" t="n">
        <v>1</v>
      </c>
      <c r="I91" s="12" t="inlineStr">
        <is>
          <t>27/10</t>
        </is>
      </c>
      <c r="J91" s="12" t="inlineStr">
        <is>
          <t>T-082, T-083, T-084, T-085, T-233</t>
        </is>
      </c>
      <c r="K91" s="12" t="inlineStr">
        <is>
          <t>To Do</t>
        </is>
      </c>
      <c r="L91" s="12" t="n"/>
      <c r="M91" s="12" t="n"/>
      <c r="N91" s="13" t="inlineStr">
        <is>
          <t>Cada condición final verificada con Postman y en la interfaz; PR aprobado por alguien distinto del autor</t>
        </is>
      </c>
      <c r="O91" s="12" t="n"/>
      <c r="P91" s="12" t="n"/>
      <c r="Q91" s="13" t="n"/>
      <c r="R91" s="12">
        <f>IF(AND(K91&lt;&gt;"To Do",L91&lt;&gt;"Sí"),"⚠ pasó a Doing sin DoR",IF(AND(K91="Done",O91&lt;&gt;"Sí"),"⚠ Done sin criterio cumplido",IF(AND(K91="Doing",COUNTIFS($G$6:$G$266,G91,$K$6:$K$266,"Doing",$E$6:$E$266,"&lt;&gt;Scrum")&gt;2,E91&lt;&gt;"Scrum"),"⚠ más de 2 en Doing","ok")))</f>
        <v/>
      </c>
      <c r="S91">
        <f>IF($K91="To Do",COUNTIF($K$6:$K91,"To Do"),"")</f>
        <v/>
      </c>
      <c r="T91">
        <f>IF($K91="Doing",COUNTIF($K$6:$K91,"Doing"),"")</f>
        <v/>
      </c>
      <c r="U91">
        <f>IF($K91="Done",COUNTIF($K$6:$K91,"Done"),"")</f>
        <v/>
      </c>
    </row>
    <row r="92" ht="42" customHeight="1">
      <c r="B92" s="14" t="inlineStr">
        <is>
          <t>T-087</t>
        </is>
      </c>
      <c r="C92" s="14" t="inlineStr">
        <is>
          <t>HU-19</t>
        </is>
      </c>
      <c r="D92" s="15" t="inlineStr">
        <is>
          <t>Importar requerimiento de la obra</t>
        </is>
      </c>
      <c r="E92" s="14" t="inlineStr">
        <is>
          <t>Aceptación</t>
        </is>
      </c>
      <c r="F92" s="15" t="inlineStr">
        <is>
          <t>Aceptar HU-19 como Product Owner desde la interfaz y moverla a Done</t>
        </is>
      </c>
      <c r="G92" s="14" t="inlineStr">
        <is>
          <t>Adiel</t>
        </is>
      </c>
      <c r="H92" s="14" t="n">
        <v>0.5</v>
      </c>
      <c r="I92" s="14" t="inlineStr">
        <is>
          <t>27/10</t>
        </is>
      </c>
      <c r="J92" s="14" t="inlineStr">
        <is>
          <t>T-086</t>
        </is>
      </c>
      <c r="K92" s="14" t="inlineStr">
        <is>
          <t>To Do</t>
        </is>
      </c>
      <c r="L92" s="14" t="n"/>
      <c r="M92" s="14" t="n"/>
      <c r="N92" s="15" t="inlineStr">
        <is>
          <t>DoD T1–T10 + condiciones finales aceptadas por el PO → la HU pasa a Done</t>
        </is>
      </c>
      <c r="O92" s="14" t="n"/>
      <c r="P92" s="14" t="n"/>
      <c r="Q92" s="15" t="n"/>
      <c r="R92" s="14">
        <f>IF(AND(K92&lt;&gt;"To Do",L92&lt;&gt;"Sí"),"⚠ pasó a Doing sin DoR",IF(AND(K92="Done",O92&lt;&gt;"Sí"),"⚠ Done sin criterio cumplido",IF(AND(K92="Doing",COUNTIFS($G$6:$G$266,G92,$K$6:$K$266,"Doing",$E$6:$E$266,"&lt;&gt;Scrum")&gt;2,E92&lt;&gt;"Scrum"),"⚠ más de 2 en Doing","ok")))</f>
        <v/>
      </c>
      <c r="S92">
        <f>IF($K92="To Do",COUNTIF($K$6:$K92,"To Do"),"")</f>
        <v/>
      </c>
      <c r="T92">
        <f>IF($K92="Doing",COUNTIF($K$6:$K92,"Doing"),"")</f>
        <v/>
      </c>
      <c r="U92">
        <f>IF($K92="Done",COUNTIF($K$6:$K92,"Done"),"")</f>
        <v/>
      </c>
    </row>
    <row r="93" ht="42" customHeight="1">
      <c r="B93" s="12" t="inlineStr">
        <is>
          <t>T-088</t>
        </is>
      </c>
      <c r="C93" s="12" t="inlineStr">
        <is>
          <t>HU-23</t>
        </is>
      </c>
      <c r="D93" s="13" t="inlineStr">
        <is>
          <t>Consultar cuánto se compró y consumió</t>
        </is>
      </c>
      <c r="E93" s="12" t="inlineStr">
        <is>
          <t>Diseño UI</t>
        </is>
      </c>
      <c r="F93" s="13" t="inlineStr">
        <is>
          <t>Diseñar la interfaz de usuario de HU-23: pantalla 13 · Gasto en recursos</t>
        </is>
      </c>
      <c r="G93" s="12" t="inlineStr">
        <is>
          <t>Fernando</t>
        </is>
      </c>
      <c r="H93" s="12" t="n">
        <v>1</v>
      </c>
      <c r="I93" s="12" t="inlineStr">
        <is>
          <t>23/10</t>
        </is>
      </c>
      <c r="J93" s="12" t="n"/>
      <c r="K93" s="12" t="inlineStr">
        <is>
          <t>Done</t>
        </is>
      </c>
      <c r="L93" s="12" t="inlineStr">
        <is>
          <t>Sí</t>
        </is>
      </c>
      <c r="M93" s="12" t="inlineStr">
        <is>
          <t>22/10/2026</t>
        </is>
      </c>
      <c r="N93" s="13" t="inlineStr">
        <is>
          <t>Mockup en el lienzo, revisado por el equipo</t>
        </is>
      </c>
      <c r="O93" s="12" t="inlineStr">
        <is>
          <t>Sí</t>
        </is>
      </c>
      <c r="P93" s="12" t="inlineStr">
        <is>
          <t>22/10/2026</t>
        </is>
      </c>
      <c r="Q93" s="13" t="inlineStr">
        <is>
          <t>Lienzo «SIGRO · Pantallas y diagramas del Sprint 1»</t>
        </is>
      </c>
      <c r="R93" s="12">
        <f>IF(AND(K93&lt;&gt;"To Do",L93&lt;&gt;"Sí"),"⚠ pasó a Doing sin DoR",IF(AND(K93="Done",O93&lt;&gt;"Sí"),"⚠ Done sin criterio cumplido",IF(AND(K93="Doing",COUNTIFS($G$6:$G$266,G93,$K$6:$K$266,"Doing",$E$6:$E$266,"&lt;&gt;Scrum")&gt;2,E93&lt;&gt;"Scrum"),"⚠ más de 2 en Doing","ok")))</f>
        <v/>
      </c>
      <c r="S93">
        <f>IF($K93="To Do",COUNTIF($K$6:$K93,"To Do"),"")</f>
        <v/>
      </c>
      <c r="T93">
        <f>IF($K93="Doing",COUNTIF($K$6:$K93,"Doing"),"")</f>
        <v/>
      </c>
      <c r="U93">
        <f>IF($K93="Done",COUNTIF($K$6:$K93,"Done"),"")</f>
        <v/>
      </c>
    </row>
    <row r="94" ht="42" customHeight="1">
      <c r="B94" s="12" t="inlineStr">
        <is>
          <t>T-089</t>
        </is>
      </c>
      <c r="C94" s="12" t="inlineStr">
        <is>
          <t>HU-23</t>
        </is>
      </c>
      <c r="D94" s="13" t="inlineStr">
        <is>
          <t>Consultar cuánto se compró y consumió</t>
        </is>
      </c>
      <c r="E94" s="12" t="inlineStr">
        <is>
          <t>Modelado UML</t>
        </is>
      </c>
      <c r="F94" s="13" t="inlineStr">
        <is>
          <t>Modelar la funcionalidad de HU-23 con el diagrama UML de secuencia del cálculo del avance</t>
        </is>
      </c>
      <c r="G94" s="12" t="inlineStr">
        <is>
          <t>Fernando</t>
        </is>
      </c>
      <c r="H94" s="12" t="n">
        <v>1</v>
      </c>
      <c r="I94" s="12" t="inlineStr">
        <is>
          <t>24/10</t>
        </is>
      </c>
      <c r="J94" s="12" t="inlineStr">
        <is>
          <t>T-088</t>
        </is>
      </c>
      <c r="K94" s="12" t="inlineStr">
        <is>
          <t>To Do</t>
        </is>
      </c>
      <c r="L94" s="12" t="n"/>
      <c r="M94" s="12" t="n"/>
      <c r="N94" s="13" t="inlineStr">
        <is>
          <t>Diagrama publicado en el repo o el lienzo</t>
        </is>
      </c>
      <c r="O94" s="12" t="n"/>
      <c r="P94" s="12" t="n"/>
      <c r="Q94" s="13" t="n"/>
      <c r="R94" s="12">
        <f>IF(AND(K94&lt;&gt;"To Do",L94&lt;&gt;"Sí"),"⚠ pasó a Doing sin DoR",IF(AND(K94="Done",O94&lt;&gt;"Sí"),"⚠ Done sin criterio cumplido",IF(AND(K94="Doing",COUNTIFS($G$6:$G$266,G94,$K$6:$K$266,"Doing",$E$6:$E$266,"&lt;&gt;Scrum")&gt;2,E94&lt;&gt;"Scrum"),"⚠ más de 2 en Doing","ok")))</f>
        <v/>
      </c>
      <c r="S94">
        <f>IF($K94="To Do",COUNTIF($K$6:$K94,"To Do"),"")</f>
        <v/>
      </c>
      <c r="T94">
        <f>IF($K94="Doing",COUNTIF($K$6:$K94,"Doing"),"")</f>
        <v/>
      </c>
      <c r="U94">
        <f>IF($K94="Done",COUNTIF($K$6:$K94,"Done"),"")</f>
        <v/>
      </c>
    </row>
    <row r="95" ht="42" customHeight="1">
      <c r="B95" s="12" t="inlineStr">
        <is>
          <t>T-090</t>
        </is>
      </c>
      <c r="C95" s="12" t="inlineStr">
        <is>
          <t>HU-23</t>
        </is>
      </c>
      <c r="D95" s="13" t="inlineStr">
        <is>
          <t>Consultar cuánto se compró y consumió</t>
        </is>
      </c>
      <c r="E95" s="12" t="inlineStr">
        <is>
          <t>Base de datos</t>
        </is>
      </c>
      <c r="F95" s="13" t="inlineStr">
        <is>
          <t>Implementar las tablas asociadas a HU-23: vista de avance sobre requerimiento, compra_detalle y movimiento</t>
        </is>
      </c>
      <c r="G95" s="12" t="inlineStr">
        <is>
          <t>Adiel</t>
        </is>
      </c>
      <c r="H95" s="12" t="n">
        <v>1</v>
      </c>
      <c r="I95" s="12" t="inlineStr">
        <is>
          <t>24/10</t>
        </is>
      </c>
      <c r="J95" s="12" t="inlineStr">
        <is>
          <t>T-089</t>
        </is>
      </c>
      <c r="K95" s="12" t="inlineStr">
        <is>
          <t>To Do</t>
        </is>
      </c>
      <c r="L95" s="12" t="n"/>
      <c r="M95" s="12" t="n"/>
      <c r="N95" s="13" t="inlineStr">
        <is>
          <t>Migración fusionada, corre en base limpia y con datos, y se revierte</t>
        </is>
      </c>
      <c r="O95" s="12" t="n"/>
      <c r="P95" s="12" t="n"/>
      <c r="Q95" s="13" t="n"/>
      <c r="R95" s="12">
        <f>IF(AND(K95&lt;&gt;"To Do",L95&lt;&gt;"Sí"),"⚠ pasó a Doing sin DoR",IF(AND(K95="Done",O95&lt;&gt;"Sí"),"⚠ Done sin criterio cumplido",IF(AND(K95="Doing",COUNTIFS($G$6:$G$266,G95,$K$6:$K$266,"Doing",$E$6:$E$266,"&lt;&gt;Scrum")&gt;2,E95&lt;&gt;"Scrum"),"⚠ más de 2 en Doing","ok")))</f>
        <v/>
      </c>
      <c r="S95">
        <f>IF($K95="To Do",COUNTIF($K$6:$K95,"To Do"),"")</f>
        <v/>
      </c>
      <c r="T95">
        <f>IF($K95="Doing",COUNTIF($K$6:$K95,"Doing"),"")</f>
        <v/>
      </c>
      <c r="U95">
        <f>IF($K95="Done",COUNTIF($K$6:$K95,"Done"),"")</f>
        <v/>
      </c>
    </row>
    <row r="96" ht="42" customHeight="1">
      <c r="B96" s="12" t="inlineStr">
        <is>
          <t>T-091</t>
        </is>
      </c>
      <c r="C96" s="12" t="inlineStr">
        <is>
          <t>HU-23</t>
        </is>
      </c>
      <c r="D96" s="13" t="inlineStr">
        <is>
          <t>Consultar cuánto se compró y consumió</t>
        </is>
      </c>
      <c r="E96" s="12" t="inlineStr">
        <is>
          <t>Backend</t>
        </is>
      </c>
      <c r="F96" s="13" t="inlineStr">
        <is>
          <t>Programar el back-end de HU-23 (entidad, repositorio, servicio y controlador): la consulta de avance: requerido, comprado, recibido y consumido por insumo</t>
        </is>
      </c>
      <c r="G96" s="12" t="inlineStr">
        <is>
          <t>Adiel</t>
        </is>
      </c>
      <c r="H96" s="12" t="n">
        <v>3</v>
      </c>
      <c r="I96" s="12" t="inlineStr">
        <is>
          <t>25/10</t>
        </is>
      </c>
      <c r="J96" s="12" t="inlineStr">
        <is>
          <t>T-090</t>
        </is>
      </c>
      <c r="K96" s="12" t="inlineStr">
        <is>
          <t>To Do</t>
        </is>
      </c>
      <c r="L96" s="12" t="n"/>
      <c r="M96" s="12" t="n"/>
      <c r="N96" s="13" t="inlineStr">
        <is>
          <t>PR fusionado con sus pruebas automáticas en verde y el endpoint documentado</t>
        </is>
      </c>
      <c r="O96" s="12" t="n"/>
      <c r="P96" s="12" t="n"/>
      <c r="Q96" s="13" t="n"/>
      <c r="R96" s="12">
        <f>IF(AND(K96&lt;&gt;"To Do",L96&lt;&gt;"Sí"),"⚠ pasó a Doing sin DoR",IF(AND(K96="Done",O96&lt;&gt;"Sí"),"⚠ Done sin criterio cumplido",IF(AND(K96="Doing",COUNTIFS($G$6:$G$266,G96,$K$6:$K$266,"Doing",$E$6:$E$266,"&lt;&gt;Scrum")&gt;2,E96&lt;&gt;"Scrum"),"⚠ más de 2 en Doing","ok")))</f>
        <v/>
      </c>
      <c r="S96">
        <f>IF($K96="To Do",COUNTIF($K$6:$K96,"To Do"),"")</f>
        <v/>
      </c>
      <c r="T96">
        <f>IF($K96="Doing",COUNTIF($K$6:$K96,"Doing"),"")</f>
        <v/>
      </c>
      <c r="U96">
        <f>IF($K96="Done",COUNTIF($K$6:$K96,"Done"),"")</f>
        <v/>
      </c>
    </row>
    <row r="97" ht="42" customHeight="1">
      <c r="B97" s="12" t="inlineStr">
        <is>
          <t>T-092</t>
        </is>
      </c>
      <c r="C97" s="12" t="inlineStr">
        <is>
          <t>HU-23</t>
        </is>
      </c>
      <c r="D97" s="13" t="inlineStr">
        <is>
          <t>Consultar cuánto se compró y consumió</t>
        </is>
      </c>
      <c r="E97" s="12" t="inlineStr">
        <is>
          <t>Front-end web</t>
        </is>
      </c>
      <c r="F97" s="13" t="inlineStr">
        <is>
          <t>Programar la pantalla web de avance de compra y consumo</t>
        </is>
      </c>
      <c r="G97" s="12" t="inlineStr">
        <is>
          <t>Fernando</t>
        </is>
      </c>
      <c r="H97" s="12" t="n">
        <v>3</v>
      </c>
      <c r="I97" s="12" t="inlineStr">
        <is>
          <t>26/10</t>
        </is>
      </c>
      <c r="J97" s="12" t="n"/>
      <c r="K97" s="12" t="inlineStr">
        <is>
          <t>Done</t>
        </is>
      </c>
      <c r="L97" s="12" t="inlineStr">
        <is>
          <t>Sí</t>
        </is>
      </c>
      <c r="M97" s="12" t="inlineStr">
        <is>
          <t>22/10/2026</t>
        </is>
      </c>
      <c r="N97" s="13" t="inlineStr">
        <is>
          <t>PR fusionado, build sin errores, modo claro/oscuro y escala 125 %</t>
        </is>
      </c>
      <c r="O97" s="12" t="inlineStr">
        <is>
          <t>Sí</t>
        </is>
      </c>
      <c r="P97" s="12" t="inlineStr">
        <is>
          <t>22/10/2026</t>
        </is>
      </c>
      <c r="Q97" s="13" t="inlineStr">
        <is>
          <t>Commit del 22/10 09:30 (datos simulados)</t>
        </is>
      </c>
      <c r="R97" s="12">
        <f>IF(AND(K97&lt;&gt;"To Do",L97&lt;&gt;"Sí"),"⚠ pasó a Doing sin DoR",IF(AND(K97="Done",O97&lt;&gt;"Sí"),"⚠ Done sin criterio cumplido",IF(AND(K97="Doing",COUNTIFS($G$6:$G$266,G97,$K$6:$K$266,"Doing",$E$6:$E$266,"&lt;&gt;Scrum")&gt;2,E97&lt;&gt;"Scrum"),"⚠ más de 2 en Doing","ok")))</f>
        <v/>
      </c>
      <c r="S97">
        <f>IF($K97="To Do",COUNTIF($K$6:$K97,"To Do"),"")</f>
        <v/>
      </c>
      <c r="T97">
        <f>IF($K97="Doing",COUNTIF($K$6:$K97,"Doing"),"")</f>
        <v/>
      </c>
      <c r="U97">
        <f>IF($K97="Done",COUNTIF($K$6:$K97,"Done"),"")</f>
        <v/>
      </c>
    </row>
    <row r="98" ht="42" customHeight="1">
      <c r="B98" s="12" t="inlineStr">
        <is>
          <t>T-093</t>
        </is>
      </c>
      <c r="C98" s="12" t="inlineStr">
        <is>
          <t>HU-23</t>
        </is>
      </c>
      <c r="D98" s="13" t="inlineStr">
        <is>
          <t>Consultar cuánto se compró y consumió</t>
        </is>
      </c>
      <c r="E98" s="12" t="inlineStr">
        <is>
          <t>Conexión API</t>
        </is>
      </c>
      <c r="F98" s="13" t="inlineStr">
        <is>
          <t>Conectar la pantalla de avance con la API real</t>
        </is>
      </c>
      <c r="G98" s="12" t="inlineStr">
        <is>
          <t>Fernando</t>
        </is>
      </c>
      <c r="H98" s="12" t="n">
        <v>3</v>
      </c>
      <c r="I98" s="12" t="inlineStr">
        <is>
          <t>26/10</t>
        </is>
      </c>
      <c r="J98" s="12" t="inlineStr">
        <is>
          <t>T-091, T-092, T-240</t>
        </is>
      </c>
      <c r="K98" s="12" t="inlineStr">
        <is>
          <t>To Do</t>
        </is>
      </c>
      <c r="L98" s="12" t="n"/>
      <c r="M98" s="12" t="n"/>
      <c r="N98" s="13" t="inlineStr">
        <is>
          <t>La pantalla muestra los datos reales del servidor y sus errores</t>
        </is>
      </c>
      <c r="O98" s="12" t="n"/>
      <c r="P98" s="12" t="n"/>
      <c r="Q98" s="13" t="n"/>
      <c r="R98" s="12">
        <f>IF(AND(K98&lt;&gt;"To Do",L98&lt;&gt;"Sí"),"⚠ pasó a Doing sin DoR",IF(AND(K98="Done",O98&lt;&gt;"Sí"),"⚠ Done sin criterio cumplido",IF(AND(K98="Doing",COUNTIFS($G$6:$G$266,G98,$K$6:$K$266,"Doing",$E$6:$E$266,"&lt;&gt;Scrum")&gt;2,E98&lt;&gt;"Scrum"),"⚠ más de 2 en Doing","ok")))</f>
        <v/>
      </c>
      <c r="S98">
        <f>IF($K98="To Do",COUNTIF($K$6:$K98,"To Do"),"")</f>
        <v/>
      </c>
      <c r="T98">
        <f>IF($K98="Doing",COUNTIF($K$6:$K98,"Doing"),"")</f>
        <v/>
      </c>
      <c r="U98">
        <f>IF($K98="Done",COUNTIF($K$6:$K98,"Done"),"")</f>
        <v/>
      </c>
    </row>
    <row r="99" ht="42" customHeight="1">
      <c r="B99" s="12" t="inlineStr">
        <is>
          <t>T-094</t>
        </is>
      </c>
      <c r="C99" s="12" t="inlineStr">
        <is>
          <t>HU-23</t>
        </is>
      </c>
      <c r="D99" s="13" t="inlineStr">
        <is>
          <t>Consultar cuánto se compró y consumió</t>
        </is>
      </c>
      <c r="E99" s="12" t="inlineStr">
        <is>
          <t>Pruebas</t>
        </is>
      </c>
      <c r="F99" s="13" t="inlineStr">
        <is>
          <t>Probar la funcionalidad de HU-23 (la API con Postman y la pantalla web) contra cada condición final y aprobar su PR</t>
        </is>
      </c>
      <c r="G99" s="12" t="inlineStr">
        <is>
          <t>Henry</t>
        </is>
      </c>
      <c r="H99" s="12" t="n">
        <v>1</v>
      </c>
      <c r="I99" s="12" t="inlineStr">
        <is>
          <t>27/10</t>
        </is>
      </c>
      <c r="J99" s="12" t="inlineStr">
        <is>
          <t>T-090, T-091, T-092, T-093, T-233</t>
        </is>
      </c>
      <c r="K99" s="12" t="inlineStr">
        <is>
          <t>To Do</t>
        </is>
      </c>
      <c r="L99" s="12" t="n"/>
      <c r="M99" s="12" t="n"/>
      <c r="N99" s="13" t="inlineStr">
        <is>
          <t>Cada condición final verificada con Postman y en la interfaz; PR aprobado por alguien distinto del autor</t>
        </is>
      </c>
      <c r="O99" s="12" t="n"/>
      <c r="P99" s="12" t="n"/>
      <c r="Q99" s="13" t="n"/>
      <c r="R99" s="12">
        <f>IF(AND(K99&lt;&gt;"To Do",L99&lt;&gt;"Sí"),"⚠ pasó a Doing sin DoR",IF(AND(K99="Done",O99&lt;&gt;"Sí"),"⚠ Done sin criterio cumplido",IF(AND(K99="Doing",COUNTIFS($G$6:$G$266,G99,$K$6:$K$266,"Doing",$E$6:$E$266,"&lt;&gt;Scrum")&gt;2,E99&lt;&gt;"Scrum"),"⚠ más de 2 en Doing","ok")))</f>
        <v/>
      </c>
      <c r="S99">
        <f>IF($K99="To Do",COUNTIF($K$6:$K99,"To Do"),"")</f>
        <v/>
      </c>
      <c r="T99">
        <f>IF($K99="Doing",COUNTIF($K$6:$K99,"Doing"),"")</f>
        <v/>
      </c>
      <c r="U99">
        <f>IF($K99="Done",COUNTIF($K$6:$K99,"Done"),"")</f>
        <v/>
      </c>
    </row>
    <row r="100" ht="42" customHeight="1">
      <c r="B100" s="14" t="inlineStr">
        <is>
          <t>T-095</t>
        </is>
      </c>
      <c r="C100" s="14" t="inlineStr">
        <is>
          <t>HU-23</t>
        </is>
      </c>
      <c r="D100" s="15" t="inlineStr">
        <is>
          <t>Consultar cuánto se compró y consumió</t>
        </is>
      </c>
      <c r="E100" s="14" t="inlineStr">
        <is>
          <t>Aceptación</t>
        </is>
      </c>
      <c r="F100" s="15" t="inlineStr">
        <is>
          <t>Aceptar HU-23 como Product Owner desde la interfaz y moverla a Done</t>
        </is>
      </c>
      <c r="G100" s="14" t="inlineStr">
        <is>
          <t>Adiel</t>
        </is>
      </c>
      <c r="H100" s="14" t="n">
        <v>0.5</v>
      </c>
      <c r="I100" s="14" t="inlineStr">
        <is>
          <t>27/10</t>
        </is>
      </c>
      <c r="J100" s="14" t="inlineStr">
        <is>
          <t>T-094</t>
        </is>
      </c>
      <c r="K100" s="14" t="inlineStr">
        <is>
          <t>To Do</t>
        </is>
      </c>
      <c r="L100" s="14" t="n"/>
      <c r="M100" s="14" t="n"/>
      <c r="N100" s="15" t="inlineStr">
        <is>
          <t>DoD T1–T10 + condiciones finales aceptadas por el PO → la HU pasa a Done</t>
        </is>
      </c>
      <c r="O100" s="14" t="n"/>
      <c r="P100" s="14" t="n"/>
      <c r="Q100" s="15" t="n"/>
      <c r="R100" s="14">
        <f>IF(AND(K100&lt;&gt;"To Do",L100&lt;&gt;"Sí"),"⚠ pasó a Doing sin DoR",IF(AND(K100="Done",O100&lt;&gt;"Sí"),"⚠ Done sin criterio cumplido",IF(AND(K100="Doing",COUNTIFS($G$6:$G$266,G100,$K$6:$K$266,"Doing",$E$6:$E$266,"&lt;&gt;Scrum")&gt;2,E100&lt;&gt;"Scrum"),"⚠ más de 2 en Doing","ok")))</f>
        <v/>
      </c>
      <c r="S100">
        <f>IF($K100="To Do",COUNTIF($K$6:$K100,"To Do"),"")</f>
        <v/>
      </c>
      <c r="T100">
        <f>IF($K100="Doing",COUNTIF($K$6:$K100,"Doing"),"")</f>
        <v/>
      </c>
      <c r="U100">
        <f>IF($K100="Done",COUNTIF($K$6:$K100,"Done"),"")</f>
        <v/>
      </c>
    </row>
    <row r="101" ht="42" customHeight="1">
      <c r="B101" s="12" t="inlineStr">
        <is>
          <t>T-096</t>
        </is>
      </c>
      <c r="C101" s="12" t="inlineStr">
        <is>
          <t>HU-24</t>
        </is>
      </c>
      <c r="D101" s="13" t="inlineStr">
        <is>
          <t>Consultar cuánto falta comprar</t>
        </is>
      </c>
      <c r="E101" s="12" t="inlineStr">
        <is>
          <t>Diseño UI</t>
        </is>
      </c>
      <c r="F101" s="13" t="inlineStr">
        <is>
          <t>Diseñar la interfaz de usuario de HU-24: pantalla 8 · Reposición</t>
        </is>
      </c>
      <c r="G101" s="12" t="inlineStr">
        <is>
          <t>Fernando</t>
        </is>
      </c>
      <c r="H101" s="12" t="n">
        <v>1</v>
      </c>
      <c r="I101" s="12" t="inlineStr">
        <is>
          <t>23/10</t>
        </is>
      </c>
      <c r="J101" s="12" t="n"/>
      <c r="K101" s="12" t="inlineStr">
        <is>
          <t>Done</t>
        </is>
      </c>
      <c r="L101" s="12" t="inlineStr">
        <is>
          <t>Sí</t>
        </is>
      </c>
      <c r="M101" s="12" t="inlineStr">
        <is>
          <t>22/10/2026</t>
        </is>
      </c>
      <c r="N101" s="13" t="inlineStr">
        <is>
          <t>Mockup en el lienzo, revisado por el equipo</t>
        </is>
      </c>
      <c r="O101" s="12" t="inlineStr">
        <is>
          <t>Sí</t>
        </is>
      </c>
      <c r="P101" s="12" t="inlineStr">
        <is>
          <t>22/10/2026</t>
        </is>
      </c>
      <c r="Q101" s="13" t="inlineStr">
        <is>
          <t>Lienzo «SIGRO · Pantallas y diagramas del Sprint 1»</t>
        </is>
      </c>
      <c r="R101" s="12">
        <f>IF(AND(K101&lt;&gt;"To Do",L101&lt;&gt;"Sí"),"⚠ pasó a Doing sin DoR",IF(AND(K101="Done",O101&lt;&gt;"Sí"),"⚠ Done sin criterio cumplido",IF(AND(K101="Doing",COUNTIFS($G$6:$G$266,G101,$K$6:$K$266,"Doing",$E$6:$E$266,"&lt;&gt;Scrum")&gt;2,E101&lt;&gt;"Scrum"),"⚠ más de 2 en Doing","ok")))</f>
        <v/>
      </c>
      <c r="S101">
        <f>IF($K101="To Do",COUNTIF($K$6:$K101,"To Do"),"")</f>
        <v/>
      </c>
      <c r="T101">
        <f>IF($K101="Doing",COUNTIF($K$6:$K101,"Doing"),"")</f>
        <v/>
      </c>
      <c r="U101">
        <f>IF($K101="Done",COUNTIF($K$6:$K101,"Done"),"")</f>
        <v/>
      </c>
    </row>
    <row r="102" ht="42" customHeight="1">
      <c r="B102" s="12" t="inlineStr">
        <is>
          <t>T-097</t>
        </is>
      </c>
      <c r="C102" s="12" t="inlineStr">
        <is>
          <t>HU-24</t>
        </is>
      </c>
      <c r="D102" s="13" t="inlineStr">
        <is>
          <t>Consultar cuánto falta comprar</t>
        </is>
      </c>
      <c r="E102" s="12" t="inlineStr">
        <is>
          <t>Modelado UML</t>
        </is>
      </c>
      <c r="F102" s="13" t="inlineStr">
        <is>
          <t>Modelar la funcionalidad de HU-24 con el diagrama UML de secuencia de la consulta de lo que falta comprar</t>
        </is>
      </c>
      <c r="G102" s="12" t="inlineStr">
        <is>
          <t>Fernando</t>
        </is>
      </c>
      <c r="H102" s="12" t="n">
        <v>1</v>
      </c>
      <c r="I102" s="12" t="inlineStr">
        <is>
          <t>24/10</t>
        </is>
      </c>
      <c r="J102" s="12" t="inlineStr">
        <is>
          <t>T-096</t>
        </is>
      </c>
      <c r="K102" s="12" t="inlineStr">
        <is>
          <t>To Do</t>
        </is>
      </c>
      <c r="L102" s="12" t="n"/>
      <c r="M102" s="12" t="n"/>
      <c r="N102" s="13" t="inlineStr">
        <is>
          <t>Diagrama publicado en el repo o el lienzo</t>
        </is>
      </c>
      <c r="O102" s="12" t="n"/>
      <c r="P102" s="12" t="n"/>
      <c r="Q102" s="13" t="n"/>
      <c r="R102" s="12">
        <f>IF(AND(K102&lt;&gt;"To Do",L102&lt;&gt;"Sí"),"⚠ pasó a Doing sin DoR",IF(AND(K102="Done",O102&lt;&gt;"Sí"),"⚠ Done sin criterio cumplido",IF(AND(K102="Doing",COUNTIFS($G$6:$G$266,G102,$K$6:$K$266,"Doing",$E$6:$E$266,"&lt;&gt;Scrum")&gt;2,E102&lt;&gt;"Scrum"),"⚠ más de 2 en Doing","ok")))</f>
        <v/>
      </c>
      <c r="S102">
        <f>IF($K102="To Do",COUNTIF($K$6:$K102,"To Do"),"")</f>
        <v/>
      </c>
      <c r="T102">
        <f>IF($K102="Doing",COUNTIF($K$6:$K102,"Doing"),"")</f>
        <v/>
      </c>
      <c r="U102">
        <f>IF($K102="Done",COUNTIF($K$6:$K102,"Done"),"")</f>
        <v/>
      </c>
    </row>
    <row r="103" ht="42" customHeight="1">
      <c r="B103" s="12" t="inlineStr">
        <is>
          <t>T-098</t>
        </is>
      </c>
      <c r="C103" s="12" t="inlineStr">
        <is>
          <t>HU-24</t>
        </is>
      </c>
      <c r="D103" s="13" t="inlineStr">
        <is>
          <t>Consultar cuánto falta comprar</t>
        </is>
      </c>
      <c r="E103" s="12" t="inlineStr">
        <is>
          <t>Base de datos</t>
        </is>
      </c>
      <c r="F103" s="13" t="inlineStr">
        <is>
          <t>Implementar las tablas asociadas a HU-24: vista de saldo por comprar (requerido − comprado)</t>
        </is>
      </c>
      <c r="G103" s="12" t="inlineStr">
        <is>
          <t>Adiel</t>
        </is>
      </c>
      <c r="H103" s="12" t="n">
        <v>1</v>
      </c>
      <c r="I103" s="12" t="inlineStr">
        <is>
          <t>24/10</t>
        </is>
      </c>
      <c r="J103" s="12" t="inlineStr">
        <is>
          <t>T-097</t>
        </is>
      </c>
      <c r="K103" s="12" t="inlineStr">
        <is>
          <t>To Do</t>
        </is>
      </c>
      <c r="L103" s="12" t="n"/>
      <c r="M103" s="12" t="n"/>
      <c r="N103" s="13" t="inlineStr">
        <is>
          <t>Migración fusionada, corre en base limpia y con datos, y se revierte</t>
        </is>
      </c>
      <c r="O103" s="12" t="n"/>
      <c r="P103" s="12" t="n"/>
      <c r="Q103" s="13" t="n"/>
      <c r="R103" s="12">
        <f>IF(AND(K103&lt;&gt;"To Do",L103&lt;&gt;"Sí"),"⚠ pasó a Doing sin DoR",IF(AND(K103="Done",O103&lt;&gt;"Sí"),"⚠ Done sin criterio cumplido",IF(AND(K103="Doing",COUNTIFS($G$6:$G$266,G103,$K$6:$K$266,"Doing",$E$6:$E$266,"&lt;&gt;Scrum")&gt;2,E103&lt;&gt;"Scrum"),"⚠ más de 2 en Doing","ok")))</f>
        <v/>
      </c>
      <c r="S103">
        <f>IF($K103="To Do",COUNTIF($K$6:$K103,"To Do"),"")</f>
        <v/>
      </c>
      <c r="T103">
        <f>IF($K103="Doing",COUNTIF($K$6:$K103,"Doing"),"")</f>
        <v/>
      </c>
      <c r="U103">
        <f>IF($K103="Done",COUNTIF($K$6:$K103,"Done"),"")</f>
        <v/>
      </c>
    </row>
    <row r="104" ht="42" customHeight="1">
      <c r="B104" s="12" t="inlineStr">
        <is>
          <t>T-099</t>
        </is>
      </c>
      <c r="C104" s="12" t="inlineStr">
        <is>
          <t>HU-24</t>
        </is>
      </c>
      <c r="D104" s="13" t="inlineStr">
        <is>
          <t>Consultar cuánto falta comprar</t>
        </is>
      </c>
      <c r="E104" s="12" t="inlineStr">
        <is>
          <t>Backend</t>
        </is>
      </c>
      <c r="F104" s="13" t="inlineStr">
        <is>
          <t>Programar el back-end de HU-24 (entidad, repositorio, servicio y controlador): la consulta de lo que falta comprar por insumo</t>
        </is>
      </c>
      <c r="G104" s="12" t="inlineStr">
        <is>
          <t>Adiel</t>
        </is>
      </c>
      <c r="H104" s="12" t="n">
        <v>2</v>
      </c>
      <c r="I104" s="12" t="inlineStr">
        <is>
          <t>25/10</t>
        </is>
      </c>
      <c r="J104" s="12" t="inlineStr">
        <is>
          <t>T-098</t>
        </is>
      </c>
      <c r="K104" s="12" t="inlineStr">
        <is>
          <t>To Do</t>
        </is>
      </c>
      <c r="L104" s="12" t="n"/>
      <c r="M104" s="12" t="n"/>
      <c r="N104" s="13" t="inlineStr">
        <is>
          <t>PR fusionado con sus pruebas automáticas en verde y el endpoint documentado</t>
        </is>
      </c>
      <c r="O104" s="12" t="n"/>
      <c r="P104" s="12" t="n"/>
      <c r="Q104" s="13" t="n"/>
      <c r="R104" s="12">
        <f>IF(AND(K104&lt;&gt;"To Do",L104&lt;&gt;"Sí"),"⚠ pasó a Doing sin DoR",IF(AND(K104="Done",O104&lt;&gt;"Sí"),"⚠ Done sin criterio cumplido",IF(AND(K104="Doing",COUNTIFS($G$6:$G$266,G104,$K$6:$K$266,"Doing",$E$6:$E$266,"&lt;&gt;Scrum")&gt;2,E104&lt;&gt;"Scrum"),"⚠ más de 2 en Doing","ok")))</f>
        <v/>
      </c>
      <c r="S104">
        <f>IF($K104="To Do",COUNTIF($K$6:$K104,"To Do"),"")</f>
        <v/>
      </c>
      <c r="T104">
        <f>IF($K104="Doing",COUNTIF($K$6:$K104,"Doing"),"")</f>
        <v/>
      </c>
      <c r="U104">
        <f>IF($K104="Done",COUNTIF($K$6:$K104,"Done"),"")</f>
        <v/>
      </c>
    </row>
    <row r="105" ht="42" customHeight="1">
      <c r="B105" s="12" t="inlineStr">
        <is>
          <t>T-100</t>
        </is>
      </c>
      <c r="C105" s="12" t="inlineStr">
        <is>
          <t>HU-24</t>
        </is>
      </c>
      <c r="D105" s="13" t="inlineStr">
        <is>
          <t>Consultar cuánto falta comprar</t>
        </is>
      </c>
      <c r="E105" s="12" t="inlineStr">
        <is>
          <t>Front-end web</t>
        </is>
      </c>
      <c r="F105" s="13" t="inlineStr">
        <is>
          <t>Programar la pantalla web «Saldo por comprar» con filtros y exportación CSV</t>
        </is>
      </c>
      <c r="G105" s="12" t="inlineStr">
        <is>
          <t>Fernando</t>
        </is>
      </c>
      <c r="H105" s="12" t="n">
        <v>2</v>
      </c>
      <c r="I105" s="12" t="inlineStr">
        <is>
          <t>26/10</t>
        </is>
      </c>
      <c r="J105" s="12" t="n"/>
      <c r="K105" s="12" t="inlineStr">
        <is>
          <t>Done</t>
        </is>
      </c>
      <c r="L105" s="12" t="inlineStr">
        <is>
          <t>Sí</t>
        </is>
      </c>
      <c r="M105" s="12" t="inlineStr">
        <is>
          <t>22/10/2026</t>
        </is>
      </c>
      <c r="N105" s="13" t="inlineStr">
        <is>
          <t>PR fusionado, build sin errores, modo claro/oscuro y escala 125 %</t>
        </is>
      </c>
      <c r="O105" s="12" t="inlineStr">
        <is>
          <t>Sí</t>
        </is>
      </c>
      <c r="P105" s="12" t="inlineStr">
        <is>
          <t>22/10/2026</t>
        </is>
      </c>
      <c r="Q105" s="13" t="inlineStr">
        <is>
          <t>Commit del 22/10 09:30 (datos simulados)</t>
        </is>
      </c>
      <c r="R105" s="12">
        <f>IF(AND(K105&lt;&gt;"To Do",L105&lt;&gt;"Sí"),"⚠ pasó a Doing sin DoR",IF(AND(K105="Done",O105&lt;&gt;"Sí"),"⚠ Done sin criterio cumplido",IF(AND(K105="Doing",COUNTIFS($G$6:$G$266,G105,$K$6:$K$266,"Doing",$E$6:$E$266,"&lt;&gt;Scrum")&gt;2,E105&lt;&gt;"Scrum"),"⚠ más de 2 en Doing","ok")))</f>
        <v/>
      </c>
      <c r="S105">
        <f>IF($K105="To Do",COUNTIF($K$6:$K105,"To Do"),"")</f>
        <v/>
      </c>
      <c r="T105">
        <f>IF($K105="Doing",COUNTIF($K$6:$K105,"Doing"),"")</f>
        <v/>
      </c>
      <c r="U105">
        <f>IF($K105="Done",COUNTIF($K$6:$K105,"Done"),"")</f>
        <v/>
      </c>
    </row>
    <row r="106" ht="42" customHeight="1">
      <c r="B106" s="12" t="inlineStr">
        <is>
          <t>T-101</t>
        </is>
      </c>
      <c r="C106" s="12" t="inlineStr">
        <is>
          <t>HU-24</t>
        </is>
      </c>
      <c r="D106" s="13" t="inlineStr">
        <is>
          <t>Consultar cuánto falta comprar</t>
        </is>
      </c>
      <c r="E106" s="12" t="inlineStr">
        <is>
          <t>Conexión API</t>
        </is>
      </c>
      <c r="F106" s="13" t="inlineStr">
        <is>
          <t>Conectar la pantalla de saldo por comprar con la API real</t>
        </is>
      </c>
      <c r="G106" s="12" t="inlineStr">
        <is>
          <t>Fernando</t>
        </is>
      </c>
      <c r="H106" s="12" t="n">
        <v>2</v>
      </c>
      <c r="I106" s="12" t="inlineStr">
        <is>
          <t>26/10</t>
        </is>
      </c>
      <c r="J106" s="12" t="inlineStr">
        <is>
          <t>T-099, T-100, T-240</t>
        </is>
      </c>
      <c r="K106" s="12" t="inlineStr">
        <is>
          <t>To Do</t>
        </is>
      </c>
      <c r="L106" s="12" t="n"/>
      <c r="M106" s="12" t="n"/>
      <c r="N106" s="13" t="inlineStr">
        <is>
          <t>La pantalla muestra los datos reales del servidor y sus errores</t>
        </is>
      </c>
      <c r="O106" s="12" t="n"/>
      <c r="P106" s="12" t="n"/>
      <c r="Q106" s="13" t="n"/>
      <c r="R106" s="12">
        <f>IF(AND(K106&lt;&gt;"To Do",L106&lt;&gt;"Sí"),"⚠ pasó a Doing sin DoR",IF(AND(K106="Done",O106&lt;&gt;"Sí"),"⚠ Done sin criterio cumplido",IF(AND(K106="Doing",COUNTIFS($G$6:$G$266,G106,$K$6:$K$266,"Doing",$E$6:$E$266,"&lt;&gt;Scrum")&gt;2,E106&lt;&gt;"Scrum"),"⚠ más de 2 en Doing","ok")))</f>
        <v/>
      </c>
      <c r="S106">
        <f>IF($K106="To Do",COUNTIF($K$6:$K106,"To Do"),"")</f>
        <v/>
      </c>
      <c r="T106">
        <f>IF($K106="Doing",COUNTIF($K$6:$K106,"Doing"),"")</f>
        <v/>
      </c>
      <c r="U106">
        <f>IF($K106="Done",COUNTIF($K$6:$K106,"Done"),"")</f>
        <v/>
      </c>
    </row>
    <row r="107" ht="42" customHeight="1">
      <c r="B107" s="12" t="inlineStr">
        <is>
          <t>T-102</t>
        </is>
      </c>
      <c r="C107" s="12" t="inlineStr">
        <is>
          <t>HU-24</t>
        </is>
      </c>
      <c r="D107" s="13" t="inlineStr">
        <is>
          <t>Consultar cuánto falta comprar</t>
        </is>
      </c>
      <c r="E107" s="12" t="inlineStr">
        <is>
          <t>Pruebas</t>
        </is>
      </c>
      <c r="F107" s="13" t="inlineStr">
        <is>
          <t>Probar la funcionalidad de HU-24 (la API con Postman y la pantalla web) contra cada condición final y aprobar su PR</t>
        </is>
      </c>
      <c r="G107" s="12" t="inlineStr">
        <is>
          <t>Henry</t>
        </is>
      </c>
      <c r="H107" s="12" t="n">
        <v>1</v>
      </c>
      <c r="I107" s="12" t="inlineStr">
        <is>
          <t>27/10</t>
        </is>
      </c>
      <c r="J107" s="12" t="inlineStr">
        <is>
          <t>T-098, T-099, T-100, T-101, T-233</t>
        </is>
      </c>
      <c r="K107" s="12" t="inlineStr">
        <is>
          <t>To Do</t>
        </is>
      </c>
      <c r="L107" s="12" t="n"/>
      <c r="M107" s="12" t="n"/>
      <c r="N107" s="13" t="inlineStr">
        <is>
          <t>Cada condición final verificada con Postman y en la interfaz; PR aprobado por alguien distinto del autor</t>
        </is>
      </c>
      <c r="O107" s="12" t="n"/>
      <c r="P107" s="12" t="n"/>
      <c r="Q107" s="13" t="n"/>
      <c r="R107" s="12">
        <f>IF(AND(K107&lt;&gt;"To Do",L107&lt;&gt;"Sí"),"⚠ pasó a Doing sin DoR",IF(AND(K107="Done",O107&lt;&gt;"Sí"),"⚠ Done sin criterio cumplido",IF(AND(K107="Doing",COUNTIFS($G$6:$G$266,G107,$K$6:$K$266,"Doing",$E$6:$E$266,"&lt;&gt;Scrum")&gt;2,E107&lt;&gt;"Scrum"),"⚠ más de 2 en Doing","ok")))</f>
        <v/>
      </c>
      <c r="S107">
        <f>IF($K107="To Do",COUNTIF($K$6:$K107,"To Do"),"")</f>
        <v/>
      </c>
      <c r="T107">
        <f>IF($K107="Doing",COUNTIF($K$6:$K107,"Doing"),"")</f>
        <v/>
      </c>
      <c r="U107">
        <f>IF($K107="Done",COUNTIF($K$6:$K107,"Done"),"")</f>
        <v/>
      </c>
    </row>
    <row r="108" ht="42" customHeight="1">
      <c r="B108" s="14" t="inlineStr">
        <is>
          <t>T-103</t>
        </is>
      </c>
      <c r="C108" s="14" t="inlineStr">
        <is>
          <t>HU-24</t>
        </is>
      </c>
      <c r="D108" s="15" t="inlineStr">
        <is>
          <t>Consultar cuánto falta comprar</t>
        </is>
      </c>
      <c r="E108" s="14" t="inlineStr">
        <is>
          <t>Aceptación</t>
        </is>
      </c>
      <c r="F108" s="15" t="inlineStr">
        <is>
          <t>Aceptar HU-24 como Product Owner desde la interfaz y moverla a Done</t>
        </is>
      </c>
      <c r="G108" s="14" t="inlineStr">
        <is>
          <t>Adiel</t>
        </is>
      </c>
      <c r="H108" s="14" t="n">
        <v>0.5</v>
      </c>
      <c r="I108" s="14" t="inlineStr">
        <is>
          <t>27/10</t>
        </is>
      </c>
      <c r="J108" s="14" t="inlineStr">
        <is>
          <t>T-102</t>
        </is>
      </c>
      <c r="K108" s="14" t="inlineStr">
        <is>
          <t>To Do</t>
        </is>
      </c>
      <c r="L108" s="14" t="n"/>
      <c r="M108" s="14" t="n"/>
      <c r="N108" s="15" t="inlineStr">
        <is>
          <t>DoD T1–T10 + condiciones finales aceptadas por el PO → la HU pasa a Done</t>
        </is>
      </c>
      <c r="O108" s="14" t="n"/>
      <c r="P108" s="14" t="n"/>
      <c r="Q108" s="15" t="n"/>
      <c r="R108" s="14">
        <f>IF(AND(K108&lt;&gt;"To Do",L108&lt;&gt;"Sí"),"⚠ pasó a Doing sin DoR",IF(AND(K108="Done",O108&lt;&gt;"Sí"),"⚠ Done sin criterio cumplido",IF(AND(K108="Doing",COUNTIFS($G$6:$G$266,G108,$K$6:$K$266,"Doing",$E$6:$E$266,"&lt;&gt;Scrum")&gt;2,E108&lt;&gt;"Scrum"),"⚠ más de 2 en Doing","ok")))</f>
        <v/>
      </c>
      <c r="S108">
        <f>IF($K108="To Do",COUNTIF($K$6:$K108,"To Do"),"")</f>
        <v/>
      </c>
      <c r="T108">
        <f>IF($K108="Doing",COUNTIF($K$6:$K108,"Doing"),"")</f>
        <v/>
      </c>
      <c r="U108">
        <f>IF($K108="Done",COUNTIF($K$6:$K108,"Done"),"")</f>
        <v/>
      </c>
    </row>
    <row r="109" ht="42" customHeight="1">
      <c r="B109" s="12" t="inlineStr">
        <is>
          <t>T-104</t>
        </is>
      </c>
      <c r="C109" s="12" t="inlineStr">
        <is>
          <t>HU-25</t>
        </is>
      </c>
      <c r="D109" s="13" t="inlineStr">
        <is>
          <t>Definir punto de reposición</t>
        </is>
      </c>
      <c r="E109" s="12" t="inlineStr">
        <is>
          <t>Diseño UI</t>
        </is>
      </c>
      <c r="F109" s="13" t="inlineStr">
        <is>
          <t>Diseñar la interfaz de usuario de HU-25: pantalla 17 · Parámetros de reposición</t>
        </is>
      </c>
      <c r="G109" s="12" t="inlineStr">
        <is>
          <t>Fernando</t>
        </is>
      </c>
      <c r="H109" s="12" t="n">
        <v>1</v>
      </c>
      <c r="I109" s="12" t="inlineStr">
        <is>
          <t>23/10</t>
        </is>
      </c>
      <c r="J109" s="12" t="n"/>
      <c r="K109" s="12" t="inlineStr">
        <is>
          <t>Done</t>
        </is>
      </c>
      <c r="L109" s="12" t="inlineStr">
        <is>
          <t>Sí</t>
        </is>
      </c>
      <c r="M109" s="12" t="inlineStr">
        <is>
          <t>22/10/2026</t>
        </is>
      </c>
      <c r="N109" s="13" t="inlineStr">
        <is>
          <t>Mockup en el lienzo, revisado por el equipo</t>
        </is>
      </c>
      <c r="O109" s="12" t="inlineStr">
        <is>
          <t>Sí</t>
        </is>
      </c>
      <c r="P109" s="12" t="inlineStr">
        <is>
          <t>22/10/2026</t>
        </is>
      </c>
      <c r="Q109" s="13" t="inlineStr">
        <is>
          <t>Lienzo «SIGRO · Pantallas y diagramas del Sprint 1»</t>
        </is>
      </c>
      <c r="R109" s="12">
        <f>IF(AND(K109&lt;&gt;"To Do",L109&lt;&gt;"Sí"),"⚠ pasó a Doing sin DoR",IF(AND(K109="Done",O109&lt;&gt;"Sí"),"⚠ Done sin criterio cumplido",IF(AND(K109="Doing",COUNTIFS($G$6:$G$266,G109,$K$6:$K$266,"Doing",$E$6:$E$266,"&lt;&gt;Scrum")&gt;2,E109&lt;&gt;"Scrum"),"⚠ más de 2 en Doing","ok")))</f>
        <v/>
      </c>
      <c r="S109">
        <f>IF($K109="To Do",COUNTIF($K$6:$K109,"To Do"),"")</f>
        <v/>
      </c>
      <c r="T109">
        <f>IF($K109="Doing",COUNTIF($K$6:$K109,"Doing"),"")</f>
        <v/>
      </c>
      <c r="U109">
        <f>IF($K109="Done",COUNTIF($K$6:$K109,"Done"),"")</f>
        <v/>
      </c>
    </row>
    <row r="110" ht="42" customHeight="1">
      <c r="B110" s="12" t="inlineStr">
        <is>
          <t>T-105</t>
        </is>
      </c>
      <c r="C110" s="12" t="inlineStr">
        <is>
          <t>HU-25</t>
        </is>
      </c>
      <c r="D110" s="13" t="inlineStr">
        <is>
          <t>Definir punto de reposición</t>
        </is>
      </c>
      <c r="E110" s="12" t="inlineStr">
        <is>
          <t>Modelado UML</t>
        </is>
      </c>
      <c r="F110" s="13" t="inlineStr">
        <is>
          <t>Modelar la funcionalidad de HU-25 con el diagrama UML de clases de los parámetros de reposición</t>
        </is>
      </c>
      <c r="G110" s="12" t="inlineStr">
        <is>
          <t>Fernando</t>
        </is>
      </c>
      <c r="H110" s="12" t="n">
        <v>1</v>
      </c>
      <c r="I110" s="12" t="inlineStr">
        <is>
          <t>24/10</t>
        </is>
      </c>
      <c r="J110" s="12" t="inlineStr">
        <is>
          <t>T-104</t>
        </is>
      </c>
      <c r="K110" s="12" t="inlineStr">
        <is>
          <t>To Do</t>
        </is>
      </c>
      <c r="L110" s="12" t="n"/>
      <c r="M110" s="12" t="n"/>
      <c r="N110" s="13" t="inlineStr">
        <is>
          <t>Diagrama publicado en el repo o el lienzo</t>
        </is>
      </c>
      <c r="O110" s="12" t="n"/>
      <c r="P110" s="12" t="n"/>
      <c r="Q110" s="13" t="n"/>
      <c r="R110" s="12">
        <f>IF(AND(K110&lt;&gt;"To Do",L110&lt;&gt;"Sí"),"⚠ pasó a Doing sin DoR",IF(AND(K110="Done",O110&lt;&gt;"Sí"),"⚠ Done sin criterio cumplido",IF(AND(K110="Doing",COUNTIFS($G$6:$G$266,G110,$K$6:$K$266,"Doing",$E$6:$E$266,"&lt;&gt;Scrum")&gt;2,E110&lt;&gt;"Scrum"),"⚠ más de 2 en Doing","ok")))</f>
        <v/>
      </c>
      <c r="S110">
        <f>IF($K110="To Do",COUNTIF($K$6:$K110,"To Do"),"")</f>
        <v/>
      </c>
      <c r="T110">
        <f>IF($K110="Doing",COUNTIF($K$6:$K110,"Doing"),"")</f>
        <v/>
      </c>
      <c r="U110">
        <f>IF($K110="Done",COUNTIF($K$6:$K110,"Done"),"")</f>
        <v/>
      </c>
    </row>
    <row r="111" ht="42" customHeight="1">
      <c r="B111" s="12" t="inlineStr">
        <is>
          <t>T-106</t>
        </is>
      </c>
      <c r="C111" s="12" t="inlineStr">
        <is>
          <t>HU-25</t>
        </is>
      </c>
      <c r="D111" s="13" t="inlineStr">
        <is>
          <t>Definir punto de reposición</t>
        </is>
      </c>
      <c r="E111" s="12" t="inlineStr">
        <is>
          <t>Base de datos</t>
        </is>
      </c>
      <c r="F111" s="13" t="inlineStr">
        <is>
          <t>Implementar las tablas asociadas a HU-25: parametro_reposicion (con vigencias, nunca se pisa)</t>
        </is>
      </c>
      <c r="G111" s="12" t="inlineStr">
        <is>
          <t>Adiel</t>
        </is>
      </c>
      <c r="H111" s="12" t="n">
        <v>1</v>
      </c>
      <c r="I111" s="12" t="inlineStr">
        <is>
          <t>24/10</t>
        </is>
      </c>
      <c r="J111" s="12" t="inlineStr">
        <is>
          <t>T-105</t>
        </is>
      </c>
      <c r="K111" s="12" t="inlineStr">
        <is>
          <t>To Do</t>
        </is>
      </c>
      <c r="L111" s="12" t="n"/>
      <c r="M111" s="12" t="n"/>
      <c r="N111" s="13" t="inlineStr">
        <is>
          <t>Migración fusionada, corre en base limpia y con datos, y se revierte</t>
        </is>
      </c>
      <c r="O111" s="12" t="n"/>
      <c r="P111" s="12" t="n"/>
      <c r="Q111" s="13" t="n"/>
      <c r="R111" s="12">
        <f>IF(AND(K111&lt;&gt;"To Do",L111&lt;&gt;"Sí"),"⚠ pasó a Doing sin DoR",IF(AND(K111="Done",O111&lt;&gt;"Sí"),"⚠ Done sin criterio cumplido",IF(AND(K111="Doing",COUNTIFS($G$6:$G$266,G111,$K$6:$K$266,"Doing",$E$6:$E$266,"&lt;&gt;Scrum")&gt;2,E111&lt;&gt;"Scrum"),"⚠ más de 2 en Doing","ok")))</f>
        <v/>
      </c>
      <c r="S111">
        <f>IF($K111="To Do",COUNTIF($K$6:$K111,"To Do"),"")</f>
        <v/>
      </c>
      <c r="T111">
        <f>IF($K111="Doing",COUNTIF($K$6:$K111,"Doing"),"")</f>
        <v/>
      </c>
      <c r="U111">
        <f>IF($K111="Done",COUNTIF($K$6:$K111,"Done"),"")</f>
        <v/>
      </c>
    </row>
    <row r="112" ht="42" customHeight="1">
      <c r="B112" s="12" t="inlineStr">
        <is>
          <t>T-107</t>
        </is>
      </c>
      <c r="C112" s="12" t="inlineStr">
        <is>
          <t>HU-25</t>
        </is>
      </c>
      <c r="D112" s="13" t="inlineStr">
        <is>
          <t>Definir punto de reposición</t>
        </is>
      </c>
      <c r="E112" s="12" t="inlineStr">
        <is>
          <t>Backend</t>
        </is>
      </c>
      <c r="F112" s="13" t="inlineStr">
        <is>
          <t>Programar el back-end de HU-25 (entidad, repositorio, servicio y controlador): el registro del stock de seguridad y del punto de reposición, con histórico</t>
        </is>
      </c>
      <c r="G112" s="12" t="inlineStr">
        <is>
          <t>Adiel</t>
        </is>
      </c>
      <c r="H112" s="12" t="n">
        <v>4</v>
      </c>
      <c r="I112" s="12" t="inlineStr">
        <is>
          <t>25/10</t>
        </is>
      </c>
      <c r="J112" s="12" t="inlineStr">
        <is>
          <t>T-106</t>
        </is>
      </c>
      <c r="K112" s="12" t="inlineStr">
        <is>
          <t>To Do</t>
        </is>
      </c>
      <c r="L112" s="12" t="n"/>
      <c r="M112" s="12" t="n"/>
      <c r="N112" s="13" t="inlineStr">
        <is>
          <t>PR fusionado con sus pruebas automáticas en verde y el endpoint documentado</t>
        </is>
      </c>
      <c r="O112" s="12" t="n"/>
      <c r="P112" s="12" t="n"/>
      <c r="Q112" s="13" t="n"/>
      <c r="R112" s="12">
        <f>IF(AND(K112&lt;&gt;"To Do",L112&lt;&gt;"Sí"),"⚠ pasó a Doing sin DoR",IF(AND(K112="Done",O112&lt;&gt;"Sí"),"⚠ Done sin criterio cumplido",IF(AND(K112="Doing",COUNTIFS($G$6:$G$266,G112,$K$6:$K$266,"Doing",$E$6:$E$266,"&lt;&gt;Scrum")&gt;2,E112&lt;&gt;"Scrum"),"⚠ más de 2 en Doing","ok")))</f>
        <v/>
      </c>
      <c r="S112">
        <f>IF($K112="To Do",COUNTIF($K$6:$K112,"To Do"),"")</f>
        <v/>
      </c>
      <c r="T112">
        <f>IF($K112="Doing",COUNTIF($K$6:$K112,"Doing"),"")</f>
        <v/>
      </c>
      <c r="U112">
        <f>IF($K112="Done",COUNTIF($K$6:$K112,"Done"),"")</f>
        <v/>
      </c>
    </row>
    <row r="113" ht="42" customHeight="1">
      <c r="B113" s="12" t="inlineStr">
        <is>
          <t>T-108</t>
        </is>
      </c>
      <c r="C113" s="12" t="inlineStr">
        <is>
          <t>HU-25</t>
        </is>
      </c>
      <c r="D113" s="13" t="inlineStr">
        <is>
          <t>Definir punto de reposición</t>
        </is>
      </c>
      <c r="E113" s="12" t="inlineStr">
        <is>
          <t>Front-end web</t>
        </is>
      </c>
      <c r="F113" s="13" t="inlineStr">
        <is>
          <t>Programar el formulario web de parámetros de reposición</t>
        </is>
      </c>
      <c r="G113" s="12" t="inlineStr">
        <is>
          <t>Fernando</t>
        </is>
      </c>
      <c r="H113" s="12" t="n">
        <v>4</v>
      </c>
      <c r="I113" s="12" t="inlineStr">
        <is>
          <t>26/10</t>
        </is>
      </c>
      <c r="J113" s="12" t="inlineStr">
        <is>
          <t>T-104</t>
        </is>
      </c>
      <c r="K113" s="12" t="inlineStr">
        <is>
          <t>To Do</t>
        </is>
      </c>
      <c r="L113" s="12" t="n"/>
      <c r="M113" s="12" t="n"/>
      <c r="N113" s="13" t="inlineStr">
        <is>
          <t>PR fusionado, build sin errores, modo claro/oscuro y escala 125 %</t>
        </is>
      </c>
      <c r="O113" s="12" t="n"/>
      <c r="P113" s="12" t="n"/>
      <c r="Q113" s="13" t="n"/>
      <c r="R113" s="12">
        <f>IF(AND(K113&lt;&gt;"To Do",L113&lt;&gt;"Sí"),"⚠ pasó a Doing sin DoR",IF(AND(K113="Done",O113&lt;&gt;"Sí"),"⚠ Done sin criterio cumplido",IF(AND(K113="Doing",COUNTIFS($G$6:$G$266,G113,$K$6:$K$266,"Doing",$E$6:$E$266,"&lt;&gt;Scrum")&gt;2,E113&lt;&gt;"Scrum"),"⚠ más de 2 en Doing","ok")))</f>
        <v/>
      </c>
      <c r="S113">
        <f>IF($K113="To Do",COUNTIF($K$6:$K113,"To Do"),"")</f>
        <v/>
      </c>
      <c r="T113">
        <f>IF($K113="Doing",COUNTIF($K$6:$K113,"Doing"),"")</f>
        <v/>
      </c>
      <c r="U113">
        <f>IF($K113="Done",COUNTIF($K$6:$K113,"Done"),"")</f>
        <v/>
      </c>
    </row>
    <row r="114" ht="42" customHeight="1">
      <c r="B114" s="12" t="inlineStr">
        <is>
          <t>T-109</t>
        </is>
      </c>
      <c r="C114" s="12" t="inlineStr">
        <is>
          <t>HU-25</t>
        </is>
      </c>
      <c r="D114" s="13" t="inlineStr">
        <is>
          <t>Definir punto de reposición</t>
        </is>
      </c>
      <c r="E114" s="12" t="inlineStr">
        <is>
          <t>Pruebas</t>
        </is>
      </c>
      <c r="F114" s="13" t="inlineStr">
        <is>
          <t>Probar la funcionalidad de HU-25 (la API con Postman y la pantalla web) contra cada condición final y aprobar su PR</t>
        </is>
      </c>
      <c r="G114" s="12" t="inlineStr">
        <is>
          <t>Henry</t>
        </is>
      </c>
      <c r="H114" s="12" t="n">
        <v>1</v>
      </c>
      <c r="I114" s="12" t="inlineStr">
        <is>
          <t>27/10</t>
        </is>
      </c>
      <c r="J114" s="12" t="inlineStr">
        <is>
          <t>T-106, T-107, T-108, T-233</t>
        </is>
      </c>
      <c r="K114" s="12" t="inlineStr">
        <is>
          <t>To Do</t>
        </is>
      </c>
      <c r="L114" s="12" t="n"/>
      <c r="M114" s="12" t="n"/>
      <c r="N114" s="13" t="inlineStr">
        <is>
          <t>Cada condición final verificada con Postman y en la interfaz; PR aprobado por alguien distinto del autor</t>
        </is>
      </c>
      <c r="O114" s="12" t="n"/>
      <c r="P114" s="12" t="n"/>
      <c r="Q114" s="13" t="n"/>
      <c r="R114" s="12">
        <f>IF(AND(K114&lt;&gt;"To Do",L114&lt;&gt;"Sí"),"⚠ pasó a Doing sin DoR",IF(AND(K114="Done",O114&lt;&gt;"Sí"),"⚠ Done sin criterio cumplido",IF(AND(K114="Doing",COUNTIFS($G$6:$G$266,G114,$K$6:$K$266,"Doing",$E$6:$E$266,"&lt;&gt;Scrum")&gt;2,E114&lt;&gt;"Scrum"),"⚠ más de 2 en Doing","ok")))</f>
        <v/>
      </c>
      <c r="S114">
        <f>IF($K114="To Do",COUNTIF($K$6:$K114,"To Do"),"")</f>
        <v/>
      </c>
      <c r="T114">
        <f>IF($K114="Doing",COUNTIF($K$6:$K114,"Doing"),"")</f>
        <v/>
      </c>
      <c r="U114">
        <f>IF($K114="Done",COUNTIF($K$6:$K114,"Done"),"")</f>
        <v/>
      </c>
    </row>
    <row r="115" ht="42" customHeight="1">
      <c r="B115" s="14" t="inlineStr">
        <is>
          <t>T-110</t>
        </is>
      </c>
      <c r="C115" s="14" t="inlineStr">
        <is>
          <t>HU-25</t>
        </is>
      </c>
      <c r="D115" s="15" t="inlineStr">
        <is>
          <t>Definir punto de reposición</t>
        </is>
      </c>
      <c r="E115" s="14" t="inlineStr">
        <is>
          <t>Aceptación</t>
        </is>
      </c>
      <c r="F115" s="15" t="inlineStr">
        <is>
          <t>Aceptar HU-25 como Product Owner desde la interfaz y moverla a Done</t>
        </is>
      </c>
      <c r="G115" s="14" t="inlineStr">
        <is>
          <t>Adiel</t>
        </is>
      </c>
      <c r="H115" s="14" t="n">
        <v>0.5</v>
      </c>
      <c r="I115" s="14" t="inlineStr">
        <is>
          <t>27/10</t>
        </is>
      </c>
      <c r="J115" s="14" t="inlineStr">
        <is>
          <t>T-109</t>
        </is>
      </c>
      <c r="K115" s="14" t="inlineStr">
        <is>
          <t>To Do</t>
        </is>
      </c>
      <c r="L115" s="14" t="n"/>
      <c r="M115" s="14" t="n"/>
      <c r="N115" s="15" t="inlineStr">
        <is>
          <t>DoD T1–T10 + condiciones finales aceptadas por el PO → la HU pasa a Done</t>
        </is>
      </c>
      <c r="O115" s="14" t="n"/>
      <c r="P115" s="14" t="n"/>
      <c r="Q115" s="15" t="n"/>
      <c r="R115" s="14">
        <f>IF(AND(K115&lt;&gt;"To Do",L115&lt;&gt;"Sí"),"⚠ pasó a Doing sin DoR",IF(AND(K115="Done",O115&lt;&gt;"Sí"),"⚠ Done sin criterio cumplido",IF(AND(K115="Doing",COUNTIFS($G$6:$G$266,G115,$K$6:$K$266,"Doing",$E$6:$E$266,"&lt;&gt;Scrum")&gt;2,E115&lt;&gt;"Scrum"),"⚠ más de 2 en Doing","ok")))</f>
        <v/>
      </c>
      <c r="S115">
        <f>IF($K115="To Do",COUNTIF($K$6:$K115,"To Do"),"")</f>
        <v/>
      </c>
      <c r="T115">
        <f>IF($K115="Doing",COUNTIF($K$6:$K115,"Doing"),"")</f>
        <v/>
      </c>
      <c r="U115">
        <f>IF($K115="Done",COUNTIF($K$6:$K115,"Done"),"")</f>
        <v/>
      </c>
    </row>
    <row r="116" ht="42" customHeight="1">
      <c r="B116" s="12" t="inlineStr">
        <is>
          <t>T-111</t>
        </is>
      </c>
      <c r="C116" s="12" t="inlineStr">
        <is>
          <t>HU-26</t>
        </is>
      </c>
      <c r="D116" s="13" t="inlineStr">
        <is>
          <t>Avisar cuándo reponer</t>
        </is>
      </c>
      <c r="E116" s="12" t="inlineStr">
        <is>
          <t>Diseño UI</t>
        </is>
      </c>
      <c r="F116" s="13" t="inlineStr">
        <is>
          <t>Diseñar la interfaz de usuario de HU-26: pantalla 8 · Reposición y 5 · Consultar stock</t>
        </is>
      </c>
      <c r="G116" s="12" t="inlineStr">
        <is>
          <t>Fernando</t>
        </is>
      </c>
      <c r="H116" s="12" t="n">
        <v>1</v>
      </c>
      <c r="I116" s="12" t="inlineStr">
        <is>
          <t>23/10</t>
        </is>
      </c>
      <c r="J116" s="12" t="n"/>
      <c r="K116" s="12" t="inlineStr">
        <is>
          <t>Done</t>
        </is>
      </c>
      <c r="L116" s="12" t="inlineStr">
        <is>
          <t>Sí</t>
        </is>
      </c>
      <c r="M116" s="12" t="inlineStr">
        <is>
          <t>22/10/2026</t>
        </is>
      </c>
      <c r="N116" s="13" t="inlineStr">
        <is>
          <t>Mockup en el lienzo, revisado por el equipo</t>
        </is>
      </c>
      <c r="O116" s="12" t="inlineStr">
        <is>
          <t>Sí</t>
        </is>
      </c>
      <c r="P116" s="12" t="inlineStr">
        <is>
          <t>22/10/2026</t>
        </is>
      </c>
      <c r="Q116" s="13" t="inlineStr">
        <is>
          <t>Lienzo «SIGRO · Pantallas y diagramas del Sprint 1»</t>
        </is>
      </c>
      <c r="R116" s="12">
        <f>IF(AND(K116&lt;&gt;"To Do",L116&lt;&gt;"Sí"),"⚠ pasó a Doing sin DoR",IF(AND(K116="Done",O116&lt;&gt;"Sí"),"⚠ Done sin criterio cumplido",IF(AND(K116="Doing",COUNTIFS($G$6:$G$266,G116,$K$6:$K$266,"Doing",$E$6:$E$266,"&lt;&gt;Scrum")&gt;2,E116&lt;&gt;"Scrum"),"⚠ más de 2 en Doing","ok")))</f>
        <v/>
      </c>
      <c r="S116">
        <f>IF($K116="To Do",COUNTIF($K$6:$K116,"To Do"),"")</f>
        <v/>
      </c>
      <c r="T116">
        <f>IF($K116="Doing",COUNTIF($K$6:$K116,"Doing"),"")</f>
        <v/>
      </c>
      <c r="U116">
        <f>IF($K116="Done",COUNTIF($K$6:$K116,"Done"),"")</f>
        <v/>
      </c>
    </row>
    <row r="117" ht="42" customHeight="1">
      <c r="B117" s="12" t="inlineStr">
        <is>
          <t>T-112</t>
        </is>
      </c>
      <c r="C117" s="12" t="inlineStr">
        <is>
          <t>HU-26</t>
        </is>
      </c>
      <c r="D117" s="13" t="inlineStr">
        <is>
          <t>Avisar cuándo reponer</t>
        </is>
      </c>
      <c r="E117" s="12" t="inlineStr">
        <is>
          <t>Modelado UML</t>
        </is>
      </c>
      <c r="F117" s="13" t="inlineStr">
        <is>
          <t>Modelar la funcionalidad de HU-26 con el diagrama UML de secuencia de la alerta de reposición con Notificaciones</t>
        </is>
      </c>
      <c r="G117" s="12" t="inlineStr">
        <is>
          <t>Fernando</t>
        </is>
      </c>
      <c r="H117" s="12" t="n">
        <v>1</v>
      </c>
      <c r="I117" s="12" t="inlineStr">
        <is>
          <t>24/10</t>
        </is>
      </c>
      <c r="J117" s="12" t="inlineStr">
        <is>
          <t>T-111</t>
        </is>
      </c>
      <c r="K117" s="12" t="inlineStr">
        <is>
          <t>To Do</t>
        </is>
      </c>
      <c r="L117" s="12" t="n"/>
      <c r="M117" s="12" t="n"/>
      <c r="N117" s="13" t="inlineStr">
        <is>
          <t>Diagrama publicado en el repo o el lienzo</t>
        </is>
      </c>
      <c r="O117" s="12" t="n"/>
      <c r="P117" s="12" t="n"/>
      <c r="Q117" s="13" t="n"/>
      <c r="R117" s="12">
        <f>IF(AND(K117&lt;&gt;"To Do",L117&lt;&gt;"Sí"),"⚠ pasó a Doing sin DoR",IF(AND(K117="Done",O117&lt;&gt;"Sí"),"⚠ Done sin criterio cumplido",IF(AND(K117="Doing",COUNTIFS($G$6:$G$266,G117,$K$6:$K$266,"Doing",$E$6:$E$266,"&lt;&gt;Scrum")&gt;2,E117&lt;&gt;"Scrum"),"⚠ más de 2 en Doing","ok")))</f>
        <v/>
      </c>
      <c r="S117">
        <f>IF($K117="To Do",COUNTIF($K$6:$K117,"To Do"),"")</f>
        <v/>
      </c>
      <c r="T117">
        <f>IF($K117="Doing",COUNTIF($K$6:$K117,"Doing"),"")</f>
        <v/>
      </c>
      <c r="U117">
        <f>IF($K117="Done",COUNTIF($K$6:$K117,"Done"),"")</f>
        <v/>
      </c>
    </row>
    <row r="118" ht="42" customHeight="1">
      <c r="B118" s="12" t="inlineStr">
        <is>
          <t>T-113</t>
        </is>
      </c>
      <c r="C118" s="12" t="inlineStr">
        <is>
          <t>HU-26</t>
        </is>
      </c>
      <c r="D118" s="13" t="inlineStr">
        <is>
          <t>Avisar cuándo reponer</t>
        </is>
      </c>
      <c r="E118" s="12" t="inlineStr">
        <is>
          <t>Base de datos</t>
        </is>
      </c>
      <c r="F118" s="13" t="inlineStr">
        <is>
          <t>Implementar las tablas asociadas a HU-26: alerta_reposicion y outbox de Notificaciones</t>
        </is>
      </c>
      <c r="G118" s="12" t="inlineStr">
        <is>
          <t>Adiel</t>
        </is>
      </c>
      <c r="H118" s="12" t="n">
        <v>1</v>
      </c>
      <c r="I118" s="12" t="inlineStr">
        <is>
          <t>24/10</t>
        </is>
      </c>
      <c r="J118" s="12" t="inlineStr">
        <is>
          <t>T-112</t>
        </is>
      </c>
      <c r="K118" s="12" t="inlineStr">
        <is>
          <t>To Do</t>
        </is>
      </c>
      <c r="L118" s="12" t="n"/>
      <c r="M118" s="12" t="n"/>
      <c r="N118" s="13" t="inlineStr">
        <is>
          <t>Migración fusionada, corre en base limpia y con datos, y se revierte</t>
        </is>
      </c>
      <c r="O118" s="12" t="n"/>
      <c r="P118" s="12" t="n"/>
      <c r="Q118" s="13" t="n"/>
      <c r="R118" s="12">
        <f>IF(AND(K118&lt;&gt;"To Do",L118&lt;&gt;"Sí"),"⚠ pasó a Doing sin DoR",IF(AND(K118="Done",O118&lt;&gt;"Sí"),"⚠ Done sin criterio cumplido",IF(AND(K118="Doing",COUNTIFS($G$6:$G$266,G118,$K$6:$K$266,"Doing",$E$6:$E$266,"&lt;&gt;Scrum")&gt;2,E118&lt;&gt;"Scrum"),"⚠ más de 2 en Doing","ok")))</f>
        <v/>
      </c>
      <c r="S118">
        <f>IF($K118="To Do",COUNTIF($K$6:$K118,"To Do"),"")</f>
        <v/>
      </c>
      <c r="T118">
        <f>IF($K118="Doing",COUNTIF($K$6:$K118,"Doing"),"")</f>
        <v/>
      </c>
      <c r="U118">
        <f>IF($K118="Done",COUNTIF($K$6:$K118,"Done"),"")</f>
        <v/>
      </c>
    </row>
    <row r="119" ht="42" customHeight="1">
      <c r="B119" s="12" t="inlineStr">
        <is>
          <t>T-114</t>
        </is>
      </c>
      <c r="C119" s="12" t="inlineStr">
        <is>
          <t>HU-26</t>
        </is>
      </c>
      <c r="D119" s="13" t="inlineStr">
        <is>
          <t>Avisar cuándo reponer</t>
        </is>
      </c>
      <c r="E119" s="12" t="inlineStr">
        <is>
          <t>Backend</t>
        </is>
      </c>
      <c r="F119" s="13" t="inlineStr">
        <is>
          <t>Programar el back-end de HU-26 (entidad, repositorio, servicio y controlador): el motor de alertas: una por insumo y marcada como atendida al comprar</t>
        </is>
      </c>
      <c r="G119" s="12" t="inlineStr">
        <is>
          <t>Adiel</t>
        </is>
      </c>
      <c r="H119" s="12" t="n">
        <v>2</v>
      </c>
      <c r="I119" s="12" t="inlineStr">
        <is>
          <t>25/10</t>
        </is>
      </c>
      <c r="J119" s="12" t="inlineStr">
        <is>
          <t>T-113</t>
        </is>
      </c>
      <c r="K119" s="12" t="inlineStr">
        <is>
          <t>To Do</t>
        </is>
      </c>
      <c r="L119" s="12" t="n"/>
      <c r="M119" s="12" t="n"/>
      <c r="N119" s="13" t="inlineStr">
        <is>
          <t>PR fusionado con sus pruebas automáticas en verde y el endpoint documentado</t>
        </is>
      </c>
      <c r="O119" s="12" t="n"/>
      <c r="P119" s="12" t="n"/>
      <c r="Q119" s="13" t="n"/>
      <c r="R119" s="12">
        <f>IF(AND(K119&lt;&gt;"To Do",L119&lt;&gt;"Sí"),"⚠ pasó a Doing sin DoR",IF(AND(K119="Done",O119&lt;&gt;"Sí"),"⚠ Done sin criterio cumplido",IF(AND(K119="Doing",COUNTIFS($G$6:$G$266,G119,$K$6:$K$266,"Doing",$E$6:$E$266,"&lt;&gt;Scrum")&gt;2,E119&lt;&gt;"Scrum"),"⚠ más de 2 en Doing","ok")))</f>
        <v/>
      </c>
      <c r="S119">
        <f>IF($K119="To Do",COUNTIF($K$6:$K119,"To Do"),"")</f>
        <v/>
      </c>
      <c r="T119">
        <f>IF($K119="Doing",COUNTIF($K$6:$K119,"Doing"),"")</f>
        <v/>
      </c>
      <c r="U119">
        <f>IF($K119="Done",COUNTIF($K$6:$K119,"Done"),"")</f>
        <v/>
      </c>
    </row>
    <row r="120" ht="42" customHeight="1">
      <c r="B120" s="12" t="inlineStr">
        <is>
          <t>T-115</t>
        </is>
      </c>
      <c r="C120" s="12" t="inlineStr">
        <is>
          <t>HU-26</t>
        </is>
      </c>
      <c r="D120" s="13" t="inlineStr">
        <is>
          <t>Avisar cuándo reponer</t>
        </is>
      </c>
      <c r="E120" s="12" t="inlineStr">
        <is>
          <t>Integración</t>
        </is>
      </c>
      <c r="F120" s="13" t="inlineStr">
        <is>
          <t>Publicar la alerta en el microservicio de Notificaciones (outbox) para avisar al residente</t>
        </is>
      </c>
      <c r="G120" s="12" t="inlineStr">
        <is>
          <t>Adiel</t>
        </is>
      </c>
      <c r="H120" s="12" t="n">
        <v>2</v>
      </c>
      <c r="I120" s="12" t="inlineStr">
        <is>
          <t>25/10</t>
        </is>
      </c>
      <c r="J120" s="12" t="inlineStr">
        <is>
          <t>T-112</t>
        </is>
      </c>
      <c r="K120" s="12" t="inlineStr">
        <is>
          <t>To Do</t>
        </is>
      </c>
      <c r="L120" s="12" t="n"/>
      <c r="M120" s="12" t="n"/>
      <c r="N120" s="13" t="inlineStr">
        <is>
          <t>Probado con el archivo o servicio real, PR fusionado</t>
        </is>
      </c>
      <c r="O120" s="12" t="n"/>
      <c r="P120" s="12" t="n"/>
      <c r="Q120" s="13" t="n"/>
      <c r="R120" s="12">
        <f>IF(AND(K120&lt;&gt;"To Do",L120&lt;&gt;"Sí"),"⚠ pasó a Doing sin DoR",IF(AND(K120="Done",O120&lt;&gt;"Sí"),"⚠ Done sin criterio cumplido",IF(AND(K120="Doing",COUNTIFS($G$6:$G$266,G120,$K$6:$K$266,"Doing",$E$6:$E$266,"&lt;&gt;Scrum")&gt;2,E120&lt;&gt;"Scrum"),"⚠ más de 2 en Doing","ok")))</f>
        <v/>
      </c>
      <c r="S120">
        <f>IF($K120="To Do",COUNTIF($K$6:$K120,"To Do"),"")</f>
        <v/>
      </c>
      <c r="T120">
        <f>IF($K120="Doing",COUNTIF($K$6:$K120,"Doing"),"")</f>
        <v/>
      </c>
      <c r="U120">
        <f>IF($K120="Done",COUNTIF($K$6:$K120,"Done"),"")</f>
        <v/>
      </c>
    </row>
    <row r="121" ht="42" customHeight="1">
      <c r="B121" s="12" t="inlineStr">
        <is>
          <t>T-116</t>
        </is>
      </c>
      <c r="C121" s="12" t="inlineStr">
        <is>
          <t>HU-26</t>
        </is>
      </c>
      <c r="D121" s="13" t="inlineStr">
        <is>
          <t>Avisar cuándo reponer</t>
        </is>
      </c>
      <c r="E121" s="12" t="inlineStr">
        <is>
          <t>Front-end web</t>
        </is>
      </c>
      <c r="F121" s="13" t="inlineStr">
        <is>
          <t>Programar las alertas de reposición en la web</t>
        </is>
      </c>
      <c r="G121" s="12" t="inlineStr">
        <is>
          <t>Fernando</t>
        </is>
      </c>
      <c r="H121" s="12" t="n">
        <v>2</v>
      </c>
      <c r="I121" s="12" t="inlineStr">
        <is>
          <t>26/10</t>
        </is>
      </c>
      <c r="J121" s="12" t="n"/>
      <c r="K121" s="12" t="inlineStr">
        <is>
          <t>Done</t>
        </is>
      </c>
      <c r="L121" s="12" t="inlineStr">
        <is>
          <t>Sí</t>
        </is>
      </c>
      <c r="M121" s="12" t="inlineStr">
        <is>
          <t>22/10/2026</t>
        </is>
      </c>
      <c r="N121" s="13" t="inlineStr">
        <is>
          <t>PR fusionado, build sin errores, modo claro/oscuro y escala 125 %</t>
        </is>
      </c>
      <c r="O121" s="12" t="inlineStr">
        <is>
          <t>Sí</t>
        </is>
      </c>
      <c r="P121" s="12" t="inlineStr">
        <is>
          <t>22/10/2026</t>
        </is>
      </c>
      <c r="Q121" s="13" t="inlineStr">
        <is>
          <t>Commit del 22/10 09:30 (datos simulados)</t>
        </is>
      </c>
      <c r="R121" s="12">
        <f>IF(AND(K121&lt;&gt;"To Do",L121&lt;&gt;"Sí"),"⚠ pasó a Doing sin DoR",IF(AND(K121="Done",O121&lt;&gt;"Sí"),"⚠ Done sin criterio cumplido",IF(AND(K121="Doing",COUNTIFS($G$6:$G$266,G121,$K$6:$K$266,"Doing",$E$6:$E$266,"&lt;&gt;Scrum")&gt;2,E121&lt;&gt;"Scrum"),"⚠ más de 2 en Doing","ok")))</f>
        <v/>
      </c>
      <c r="S121">
        <f>IF($K121="To Do",COUNTIF($K$6:$K121,"To Do"),"")</f>
        <v/>
      </c>
      <c r="T121">
        <f>IF($K121="Doing",COUNTIF($K$6:$K121,"Doing"),"")</f>
        <v/>
      </c>
      <c r="U121">
        <f>IF($K121="Done",COUNTIF($K$6:$K121,"Done"),"")</f>
        <v/>
      </c>
    </row>
    <row r="122" ht="42" customHeight="1">
      <c r="B122" s="12" t="inlineStr">
        <is>
          <t>T-117</t>
        </is>
      </c>
      <c r="C122" s="12" t="inlineStr">
        <is>
          <t>HU-26</t>
        </is>
      </c>
      <c r="D122" s="13" t="inlineStr">
        <is>
          <t>Avisar cuándo reponer</t>
        </is>
      </c>
      <c r="E122" s="12" t="inlineStr">
        <is>
          <t>Conexión API</t>
        </is>
      </c>
      <c r="F122" s="13" t="inlineStr">
        <is>
          <t>Conectar las alertas con la API real</t>
        </is>
      </c>
      <c r="G122" s="12" t="inlineStr">
        <is>
          <t>Fernando</t>
        </is>
      </c>
      <c r="H122" s="12" t="n">
        <v>2</v>
      </c>
      <c r="I122" s="12" t="inlineStr">
        <is>
          <t>26/10</t>
        </is>
      </c>
      <c r="J122" s="12" t="inlineStr">
        <is>
          <t>T-114, T-116, T-240</t>
        </is>
      </c>
      <c r="K122" s="12" t="inlineStr">
        <is>
          <t>To Do</t>
        </is>
      </c>
      <c r="L122" s="12" t="n"/>
      <c r="M122" s="12" t="n"/>
      <c r="N122" s="13" t="inlineStr">
        <is>
          <t>La pantalla muestra los datos reales del servidor y sus errores</t>
        </is>
      </c>
      <c r="O122" s="12" t="n"/>
      <c r="P122" s="12" t="n"/>
      <c r="Q122" s="13" t="n"/>
      <c r="R122" s="12">
        <f>IF(AND(K122&lt;&gt;"To Do",L122&lt;&gt;"Sí"),"⚠ pasó a Doing sin DoR",IF(AND(K122="Done",O122&lt;&gt;"Sí"),"⚠ Done sin criterio cumplido",IF(AND(K122="Doing",COUNTIFS($G$6:$G$266,G122,$K$6:$K$266,"Doing",$E$6:$E$266,"&lt;&gt;Scrum")&gt;2,E122&lt;&gt;"Scrum"),"⚠ más de 2 en Doing","ok")))</f>
        <v/>
      </c>
      <c r="S122">
        <f>IF($K122="To Do",COUNTIF($K$6:$K122,"To Do"),"")</f>
        <v/>
      </c>
      <c r="T122">
        <f>IF($K122="Doing",COUNTIF($K$6:$K122,"Doing"),"")</f>
        <v/>
      </c>
      <c r="U122">
        <f>IF($K122="Done",COUNTIF($K$6:$K122,"Done"),"")</f>
        <v/>
      </c>
    </row>
    <row r="123" ht="42" customHeight="1">
      <c r="B123" s="12" t="inlineStr">
        <is>
          <t>T-118</t>
        </is>
      </c>
      <c r="C123" s="12" t="inlineStr">
        <is>
          <t>HU-26</t>
        </is>
      </c>
      <c r="D123" s="13" t="inlineStr">
        <is>
          <t>Avisar cuándo reponer</t>
        </is>
      </c>
      <c r="E123" s="12" t="inlineStr">
        <is>
          <t>Pruebas</t>
        </is>
      </c>
      <c r="F123" s="13" t="inlineStr">
        <is>
          <t>Probar la funcionalidad de HU-26 (la API con Postman y la pantalla web) contra cada condición final y aprobar su PR</t>
        </is>
      </c>
      <c r="G123" s="12" t="inlineStr">
        <is>
          <t>Henry</t>
        </is>
      </c>
      <c r="H123" s="12" t="n">
        <v>1</v>
      </c>
      <c r="I123" s="12" t="inlineStr">
        <is>
          <t>27/10</t>
        </is>
      </c>
      <c r="J123" s="12" t="inlineStr">
        <is>
          <t>T-113, T-114, T-115, T-116, T-117, T-233</t>
        </is>
      </c>
      <c r="K123" s="12" t="inlineStr">
        <is>
          <t>To Do</t>
        </is>
      </c>
      <c r="L123" s="12" t="n"/>
      <c r="M123" s="12" t="n"/>
      <c r="N123" s="13" t="inlineStr">
        <is>
          <t>Cada condición final verificada con Postman y en la interfaz; PR aprobado por alguien distinto del autor</t>
        </is>
      </c>
      <c r="O123" s="12" t="n"/>
      <c r="P123" s="12" t="n"/>
      <c r="Q123" s="13" t="n"/>
      <c r="R123" s="12">
        <f>IF(AND(K123&lt;&gt;"To Do",L123&lt;&gt;"Sí"),"⚠ pasó a Doing sin DoR",IF(AND(K123="Done",O123&lt;&gt;"Sí"),"⚠ Done sin criterio cumplido",IF(AND(K123="Doing",COUNTIFS($G$6:$G$266,G123,$K$6:$K$266,"Doing",$E$6:$E$266,"&lt;&gt;Scrum")&gt;2,E123&lt;&gt;"Scrum"),"⚠ más de 2 en Doing","ok")))</f>
        <v/>
      </c>
      <c r="S123">
        <f>IF($K123="To Do",COUNTIF($K$6:$K123,"To Do"),"")</f>
        <v/>
      </c>
      <c r="T123">
        <f>IF($K123="Doing",COUNTIF($K$6:$K123,"Doing"),"")</f>
        <v/>
      </c>
      <c r="U123">
        <f>IF($K123="Done",COUNTIF($K$6:$K123,"Done"),"")</f>
        <v/>
      </c>
    </row>
    <row r="124" ht="42" customHeight="1">
      <c r="B124" s="14" t="inlineStr">
        <is>
          <t>T-119</t>
        </is>
      </c>
      <c r="C124" s="14" t="inlineStr">
        <is>
          <t>HU-26</t>
        </is>
      </c>
      <c r="D124" s="15" t="inlineStr">
        <is>
          <t>Avisar cuándo reponer</t>
        </is>
      </c>
      <c r="E124" s="14" t="inlineStr">
        <is>
          <t>Aceptación</t>
        </is>
      </c>
      <c r="F124" s="15" t="inlineStr">
        <is>
          <t>Aceptar HU-26 como Product Owner desde la interfaz y moverla a Done</t>
        </is>
      </c>
      <c r="G124" s="14" t="inlineStr">
        <is>
          <t>Adiel</t>
        </is>
      </c>
      <c r="H124" s="14" t="n">
        <v>0.5</v>
      </c>
      <c r="I124" s="14" t="inlineStr">
        <is>
          <t>27/10</t>
        </is>
      </c>
      <c r="J124" s="14" t="inlineStr">
        <is>
          <t>T-118</t>
        </is>
      </c>
      <c r="K124" s="14" t="inlineStr">
        <is>
          <t>To Do</t>
        </is>
      </c>
      <c r="L124" s="14" t="n"/>
      <c r="M124" s="14" t="n"/>
      <c r="N124" s="15" t="inlineStr">
        <is>
          <t>DoD T1–T10 + condiciones finales aceptadas por el PO → la HU pasa a Done</t>
        </is>
      </c>
      <c r="O124" s="14" t="n"/>
      <c r="P124" s="14" t="n"/>
      <c r="Q124" s="15" t="n"/>
      <c r="R124" s="14">
        <f>IF(AND(K124&lt;&gt;"To Do",L124&lt;&gt;"Sí"),"⚠ pasó a Doing sin DoR",IF(AND(K124="Done",O124&lt;&gt;"Sí"),"⚠ Done sin criterio cumplido",IF(AND(K124="Doing",COUNTIFS($G$6:$G$266,G124,$K$6:$K$266,"Doing",$E$6:$E$266,"&lt;&gt;Scrum")&gt;2,E124&lt;&gt;"Scrum"),"⚠ más de 2 en Doing","ok")))</f>
        <v/>
      </c>
      <c r="S124">
        <f>IF($K124="To Do",COUNTIF($K$6:$K124,"To Do"),"")</f>
        <v/>
      </c>
      <c r="T124">
        <f>IF($K124="Doing",COUNTIF($K$6:$K124,"Doing"),"")</f>
        <v/>
      </c>
      <c r="U124">
        <f>IF($K124="Done",COUNTIF($K$6:$K124,"Done"),"")</f>
        <v/>
      </c>
    </row>
    <row r="125" ht="42" customHeight="1">
      <c r="B125" s="12" t="inlineStr">
        <is>
          <t>T-120</t>
        </is>
      </c>
      <c r="C125" s="12" t="inlineStr">
        <is>
          <t>HU-27</t>
        </is>
      </c>
      <c r="D125" s="13" t="inlineStr">
        <is>
          <t>Sugerir cuánto comprar</t>
        </is>
      </c>
      <c r="E125" s="12" t="inlineStr">
        <is>
          <t>Diseño UI</t>
        </is>
      </c>
      <c r="F125" s="13" t="inlineStr">
        <is>
          <t>Diseñar la interfaz de usuario de HU-27: pantalla 8 · Reposición</t>
        </is>
      </c>
      <c r="G125" s="12" t="inlineStr">
        <is>
          <t>Fernando</t>
        </is>
      </c>
      <c r="H125" s="12" t="n">
        <v>1</v>
      </c>
      <c r="I125" s="12" t="inlineStr">
        <is>
          <t>23/10</t>
        </is>
      </c>
      <c r="J125" s="12" t="n"/>
      <c r="K125" s="12" t="inlineStr">
        <is>
          <t>Done</t>
        </is>
      </c>
      <c r="L125" s="12" t="inlineStr">
        <is>
          <t>Sí</t>
        </is>
      </c>
      <c r="M125" s="12" t="inlineStr">
        <is>
          <t>22/10/2026</t>
        </is>
      </c>
      <c r="N125" s="13" t="inlineStr">
        <is>
          <t>Mockup en el lienzo, revisado por el equipo</t>
        </is>
      </c>
      <c r="O125" s="12" t="inlineStr">
        <is>
          <t>Sí</t>
        </is>
      </c>
      <c r="P125" s="12" t="inlineStr">
        <is>
          <t>22/10/2026</t>
        </is>
      </c>
      <c r="Q125" s="13" t="inlineStr">
        <is>
          <t>Lienzo «SIGRO · Pantallas y diagramas del Sprint 1»</t>
        </is>
      </c>
      <c r="R125" s="12">
        <f>IF(AND(K125&lt;&gt;"To Do",L125&lt;&gt;"Sí"),"⚠ pasó a Doing sin DoR",IF(AND(K125="Done",O125&lt;&gt;"Sí"),"⚠ Done sin criterio cumplido",IF(AND(K125="Doing",COUNTIFS($G$6:$G$266,G125,$K$6:$K$266,"Doing",$E$6:$E$266,"&lt;&gt;Scrum")&gt;2,E125&lt;&gt;"Scrum"),"⚠ más de 2 en Doing","ok")))</f>
        <v/>
      </c>
      <c r="S125">
        <f>IF($K125="To Do",COUNTIF($K$6:$K125,"To Do"),"")</f>
        <v/>
      </c>
      <c r="T125">
        <f>IF($K125="Doing",COUNTIF($K$6:$K125,"Doing"),"")</f>
        <v/>
      </c>
      <c r="U125">
        <f>IF($K125="Done",COUNTIF($K$6:$K125,"Done"),"")</f>
        <v/>
      </c>
    </row>
    <row r="126" ht="42" customHeight="1">
      <c r="B126" s="12" t="inlineStr">
        <is>
          <t>T-121</t>
        </is>
      </c>
      <c r="C126" s="12" t="inlineStr">
        <is>
          <t>HU-27</t>
        </is>
      </c>
      <c r="D126" s="13" t="inlineStr">
        <is>
          <t>Sugerir cuánto comprar</t>
        </is>
      </c>
      <c r="E126" s="12" t="inlineStr">
        <is>
          <t>Modelado UML</t>
        </is>
      </c>
      <c r="F126" s="13" t="inlineStr">
        <is>
          <t>Modelar la funcionalidad de HU-27 con el diagrama UML de actividades del cálculo de la sugerencia</t>
        </is>
      </c>
      <c r="G126" s="12" t="inlineStr">
        <is>
          <t>Fernando</t>
        </is>
      </c>
      <c r="H126" s="12" t="n">
        <v>1</v>
      </c>
      <c r="I126" s="12" t="inlineStr">
        <is>
          <t>24/10</t>
        </is>
      </c>
      <c r="J126" s="12" t="inlineStr">
        <is>
          <t>T-120</t>
        </is>
      </c>
      <c r="K126" s="12" t="inlineStr">
        <is>
          <t>To Do</t>
        </is>
      </c>
      <c r="L126" s="12" t="n"/>
      <c r="M126" s="12" t="n"/>
      <c r="N126" s="13" t="inlineStr">
        <is>
          <t>Diagrama publicado en el repo o el lienzo</t>
        </is>
      </c>
      <c r="O126" s="12" t="n"/>
      <c r="P126" s="12" t="n"/>
      <c r="Q126" s="13" t="n"/>
      <c r="R126" s="12">
        <f>IF(AND(K126&lt;&gt;"To Do",L126&lt;&gt;"Sí"),"⚠ pasó a Doing sin DoR",IF(AND(K126="Done",O126&lt;&gt;"Sí"),"⚠ Done sin criterio cumplido",IF(AND(K126="Doing",COUNTIFS($G$6:$G$266,G126,$K$6:$K$266,"Doing",$E$6:$E$266,"&lt;&gt;Scrum")&gt;2,E126&lt;&gt;"Scrum"),"⚠ más de 2 en Doing","ok")))</f>
        <v/>
      </c>
      <c r="S126">
        <f>IF($K126="To Do",COUNTIF($K$6:$K126,"To Do"),"")</f>
        <v/>
      </c>
      <c r="T126">
        <f>IF($K126="Doing",COUNTIF($K$6:$K126,"Doing"),"")</f>
        <v/>
      </c>
      <c r="U126">
        <f>IF($K126="Done",COUNTIF($K$6:$K126,"Done"),"")</f>
        <v/>
      </c>
    </row>
    <row r="127" ht="42" customHeight="1">
      <c r="B127" s="12" t="inlineStr">
        <is>
          <t>T-122</t>
        </is>
      </c>
      <c r="C127" s="12" t="inlineStr">
        <is>
          <t>HU-27</t>
        </is>
      </c>
      <c r="D127" s="13" t="inlineStr">
        <is>
          <t>Sugerir cuánto comprar</t>
        </is>
      </c>
      <c r="E127" s="12" t="inlineStr">
        <is>
          <t>Base de datos</t>
        </is>
      </c>
      <c r="F127" s="13" t="inlineStr">
        <is>
          <t>Implementar las tablas asociadas a HU-27: vista de sugerencia de compra</t>
        </is>
      </c>
      <c r="G127" s="12" t="inlineStr">
        <is>
          <t>Adiel</t>
        </is>
      </c>
      <c r="H127" s="12" t="n">
        <v>1</v>
      </c>
      <c r="I127" s="12" t="inlineStr">
        <is>
          <t>24/10</t>
        </is>
      </c>
      <c r="J127" s="12" t="inlineStr">
        <is>
          <t>T-121</t>
        </is>
      </c>
      <c r="K127" s="12" t="inlineStr">
        <is>
          <t>To Do</t>
        </is>
      </c>
      <c r="L127" s="12" t="n"/>
      <c r="M127" s="12" t="n"/>
      <c r="N127" s="13" t="inlineStr">
        <is>
          <t>Migración fusionada, corre en base limpia y con datos, y se revierte</t>
        </is>
      </c>
      <c r="O127" s="12" t="n"/>
      <c r="P127" s="12" t="n"/>
      <c r="Q127" s="13" t="n"/>
      <c r="R127" s="12">
        <f>IF(AND(K127&lt;&gt;"To Do",L127&lt;&gt;"Sí"),"⚠ pasó a Doing sin DoR",IF(AND(K127="Done",O127&lt;&gt;"Sí"),"⚠ Done sin criterio cumplido",IF(AND(K127="Doing",COUNTIFS($G$6:$G$266,G127,$K$6:$K$266,"Doing",$E$6:$E$266,"&lt;&gt;Scrum")&gt;2,E127&lt;&gt;"Scrum"),"⚠ más de 2 en Doing","ok")))</f>
        <v/>
      </c>
      <c r="S127">
        <f>IF($K127="To Do",COUNTIF($K$6:$K127,"To Do"),"")</f>
        <v/>
      </c>
      <c r="T127">
        <f>IF($K127="Doing",COUNTIF($K$6:$K127,"Doing"),"")</f>
        <v/>
      </c>
      <c r="U127">
        <f>IF($K127="Done",COUNTIF($K$6:$K127,"Done"),"")</f>
        <v/>
      </c>
    </row>
    <row r="128" ht="42" customHeight="1">
      <c r="B128" s="12" t="inlineStr">
        <is>
          <t>T-123</t>
        </is>
      </c>
      <c r="C128" s="12" t="inlineStr">
        <is>
          <t>HU-27</t>
        </is>
      </c>
      <c r="D128" s="13" t="inlineStr">
        <is>
          <t>Sugerir cuánto comprar</t>
        </is>
      </c>
      <c r="E128" s="12" t="inlineStr">
        <is>
          <t>Backend</t>
        </is>
      </c>
      <c r="F128" s="13" t="inlineStr">
        <is>
          <t>Programar el back-end de HU-27 (entidad, repositorio, servicio y controlador): el cálculo de la sugerencia de compra con su criterio</t>
        </is>
      </c>
      <c r="G128" s="12" t="inlineStr">
        <is>
          <t>Adiel</t>
        </is>
      </c>
      <c r="H128" s="12" t="n">
        <v>3</v>
      </c>
      <c r="I128" s="12" t="inlineStr">
        <is>
          <t>25/10</t>
        </is>
      </c>
      <c r="J128" s="12" t="inlineStr">
        <is>
          <t>T-122</t>
        </is>
      </c>
      <c r="K128" s="12" t="inlineStr">
        <is>
          <t>To Do</t>
        </is>
      </c>
      <c r="L128" s="12" t="n"/>
      <c r="M128" s="12" t="n"/>
      <c r="N128" s="13" t="inlineStr">
        <is>
          <t>PR fusionado con sus pruebas automáticas en verde y el endpoint documentado</t>
        </is>
      </c>
      <c r="O128" s="12" t="n"/>
      <c r="P128" s="12" t="n"/>
      <c r="Q128" s="13" t="n"/>
      <c r="R128" s="12">
        <f>IF(AND(K128&lt;&gt;"To Do",L128&lt;&gt;"Sí"),"⚠ pasó a Doing sin DoR",IF(AND(K128="Done",O128&lt;&gt;"Sí"),"⚠ Done sin criterio cumplido",IF(AND(K128="Doing",COUNTIFS($G$6:$G$266,G128,$K$6:$K$266,"Doing",$E$6:$E$266,"&lt;&gt;Scrum")&gt;2,E128&lt;&gt;"Scrum"),"⚠ más de 2 en Doing","ok")))</f>
        <v/>
      </c>
      <c r="S128">
        <f>IF($K128="To Do",COUNTIF($K$6:$K128,"To Do"),"")</f>
        <v/>
      </c>
      <c r="T128">
        <f>IF($K128="Doing",COUNTIF($K$6:$K128,"Doing"),"")</f>
        <v/>
      </c>
      <c r="U128">
        <f>IF($K128="Done",COUNTIF($K$6:$K128,"Done"),"")</f>
        <v/>
      </c>
    </row>
    <row r="129" ht="42" customHeight="1">
      <c r="B129" s="12" t="inlineStr">
        <is>
          <t>T-124</t>
        </is>
      </c>
      <c r="C129" s="12" t="inlineStr">
        <is>
          <t>HU-27</t>
        </is>
      </c>
      <c r="D129" s="13" t="inlineStr">
        <is>
          <t>Sugerir cuánto comprar</t>
        </is>
      </c>
      <c r="E129" s="12" t="inlineStr">
        <is>
          <t>Front-end web</t>
        </is>
      </c>
      <c r="F129" s="13" t="inlineStr">
        <is>
          <t>Programar la sugerencia editable dentro de la alerta</t>
        </is>
      </c>
      <c r="G129" s="12" t="inlineStr">
        <is>
          <t>Fernando</t>
        </is>
      </c>
      <c r="H129" s="12" t="n">
        <v>3</v>
      </c>
      <c r="I129" s="12" t="inlineStr">
        <is>
          <t>26/10</t>
        </is>
      </c>
      <c r="J129" s="12" t="n"/>
      <c r="K129" s="12" t="inlineStr">
        <is>
          <t>Done</t>
        </is>
      </c>
      <c r="L129" s="12" t="inlineStr">
        <is>
          <t>Sí</t>
        </is>
      </c>
      <c r="M129" s="12" t="inlineStr">
        <is>
          <t>22/10/2026</t>
        </is>
      </c>
      <c r="N129" s="13" t="inlineStr">
        <is>
          <t>PR fusionado, build sin errores, modo claro/oscuro y escala 125 %</t>
        </is>
      </c>
      <c r="O129" s="12" t="inlineStr">
        <is>
          <t>Sí</t>
        </is>
      </c>
      <c r="P129" s="12" t="inlineStr">
        <is>
          <t>22/10/2026</t>
        </is>
      </c>
      <c r="Q129" s="13" t="inlineStr">
        <is>
          <t>Commit del 22/10 09:30 (datos simulados)</t>
        </is>
      </c>
      <c r="R129" s="12">
        <f>IF(AND(K129&lt;&gt;"To Do",L129&lt;&gt;"Sí"),"⚠ pasó a Doing sin DoR",IF(AND(K129="Done",O129&lt;&gt;"Sí"),"⚠ Done sin criterio cumplido",IF(AND(K129="Doing",COUNTIFS($G$6:$G$266,G129,$K$6:$K$266,"Doing",$E$6:$E$266,"&lt;&gt;Scrum")&gt;2,E129&lt;&gt;"Scrum"),"⚠ más de 2 en Doing","ok")))</f>
        <v/>
      </c>
      <c r="S129">
        <f>IF($K129="To Do",COUNTIF($K$6:$K129,"To Do"),"")</f>
        <v/>
      </c>
      <c r="T129">
        <f>IF($K129="Doing",COUNTIF($K$6:$K129,"Doing"),"")</f>
        <v/>
      </c>
      <c r="U129">
        <f>IF($K129="Done",COUNTIF($K$6:$K129,"Done"),"")</f>
        <v/>
      </c>
    </row>
    <row r="130" ht="42" customHeight="1">
      <c r="B130" s="12" t="inlineStr">
        <is>
          <t>T-125</t>
        </is>
      </c>
      <c r="C130" s="12" t="inlineStr">
        <is>
          <t>HU-27</t>
        </is>
      </c>
      <c r="D130" s="13" t="inlineStr">
        <is>
          <t>Sugerir cuánto comprar</t>
        </is>
      </c>
      <c r="E130" s="12" t="inlineStr">
        <is>
          <t>Conexión API</t>
        </is>
      </c>
      <c r="F130" s="13" t="inlineStr">
        <is>
          <t>Conectar la sugerencia con la API real</t>
        </is>
      </c>
      <c r="G130" s="12" t="inlineStr">
        <is>
          <t>Fernando</t>
        </is>
      </c>
      <c r="H130" s="12" t="n">
        <v>3</v>
      </c>
      <c r="I130" s="12" t="inlineStr">
        <is>
          <t>26/10</t>
        </is>
      </c>
      <c r="J130" s="12" t="inlineStr">
        <is>
          <t>T-123, T-124, T-240</t>
        </is>
      </c>
      <c r="K130" s="12" t="inlineStr">
        <is>
          <t>To Do</t>
        </is>
      </c>
      <c r="L130" s="12" t="n"/>
      <c r="M130" s="12" t="n"/>
      <c r="N130" s="13" t="inlineStr">
        <is>
          <t>La pantalla muestra los datos reales del servidor y sus errores</t>
        </is>
      </c>
      <c r="O130" s="12" t="n"/>
      <c r="P130" s="12" t="n"/>
      <c r="Q130" s="13" t="n"/>
      <c r="R130" s="12">
        <f>IF(AND(K130&lt;&gt;"To Do",L130&lt;&gt;"Sí"),"⚠ pasó a Doing sin DoR",IF(AND(K130="Done",O130&lt;&gt;"Sí"),"⚠ Done sin criterio cumplido",IF(AND(K130="Doing",COUNTIFS($G$6:$G$266,G130,$K$6:$K$266,"Doing",$E$6:$E$266,"&lt;&gt;Scrum")&gt;2,E130&lt;&gt;"Scrum"),"⚠ más de 2 en Doing","ok")))</f>
        <v/>
      </c>
      <c r="S130">
        <f>IF($K130="To Do",COUNTIF($K$6:$K130,"To Do"),"")</f>
        <v/>
      </c>
      <c r="T130">
        <f>IF($K130="Doing",COUNTIF($K$6:$K130,"Doing"),"")</f>
        <v/>
      </c>
      <c r="U130">
        <f>IF($K130="Done",COUNTIF($K$6:$K130,"Done"),"")</f>
        <v/>
      </c>
    </row>
    <row r="131" ht="42" customHeight="1">
      <c r="B131" s="12" t="inlineStr">
        <is>
          <t>T-126</t>
        </is>
      </c>
      <c r="C131" s="12" t="inlineStr">
        <is>
          <t>HU-27</t>
        </is>
      </c>
      <c r="D131" s="13" t="inlineStr">
        <is>
          <t>Sugerir cuánto comprar</t>
        </is>
      </c>
      <c r="E131" s="12" t="inlineStr">
        <is>
          <t>Pruebas</t>
        </is>
      </c>
      <c r="F131" s="13" t="inlineStr">
        <is>
          <t>Probar la funcionalidad de HU-27 (la API con Postman y la pantalla web) contra cada condición final y aprobar su PR</t>
        </is>
      </c>
      <c r="G131" s="12" t="inlineStr">
        <is>
          <t>Henry</t>
        </is>
      </c>
      <c r="H131" s="12" t="n">
        <v>1</v>
      </c>
      <c r="I131" s="12" t="inlineStr">
        <is>
          <t>27/10</t>
        </is>
      </c>
      <c r="J131" s="12" t="inlineStr">
        <is>
          <t>T-122, T-123, T-124, T-125, T-233</t>
        </is>
      </c>
      <c r="K131" s="12" t="inlineStr">
        <is>
          <t>To Do</t>
        </is>
      </c>
      <c r="L131" s="12" t="n"/>
      <c r="M131" s="12" t="n"/>
      <c r="N131" s="13" t="inlineStr">
        <is>
          <t>Cada condición final verificada con Postman y en la interfaz; PR aprobado por alguien distinto del autor</t>
        </is>
      </c>
      <c r="O131" s="12" t="n"/>
      <c r="P131" s="12" t="n"/>
      <c r="Q131" s="13" t="n"/>
      <c r="R131" s="12">
        <f>IF(AND(K131&lt;&gt;"To Do",L131&lt;&gt;"Sí"),"⚠ pasó a Doing sin DoR",IF(AND(K131="Done",O131&lt;&gt;"Sí"),"⚠ Done sin criterio cumplido",IF(AND(K131="Doing",COUNTIFS($G$6:$G$266,G131,$K$6:$K$266,"Doing",$E$6:$E$266,"&lt;&gt;Scrum")&gt;2,E131&lt;&gt;"Scrum"),"⚠ más de 2 en Doing","ok")))</f>
        <v/>
      </c>
      <c r="S131">
        <f>IF($K131="To Do",COUNTIF($K$6:$K131,"To Do"),"")</f>
        <v/>
      </c>
      <c r="T131">
        <f>IF($K131="Doing",COUNTIF($K$6:$K131,"Doing"),"")</f>
        <v/>
      </c>
      <c r="U131">
        <f>IF($K131="Done",COUNTIF($K$6:$K131,"Done"),"")</f>
        <v/>
      </c>
    </row>
    <row r="132" ht="42" customHeight="1">
      <c r="B132" s="14" t="inlineStr">
        <is>
          <t>T-127</t>
        </is>
      </c>
      <c r="C132" s="14" t="inlineStr">
        <is>
          <t>HU-27</t>
        </is>
      </c>
      <c r="D132" s="15" t="inlineStr">
        <is>
          <t>Sugerir cuánto comprar</t>
        </is>
      </c>
      <c r="E132" s="14" t="inlineStr">
        <is>
          <t>Aceptación</t>
        </is>
      </c>
      <c r="F132" s="15" t="inlineStr">
        <is>
          <t>Aceptar HU-27 como Product Owner desde la interfaz y moverla a Done</t>
        </is>
      </c>
      <c r="G132" s="14" t="inlineStr">
        <is>
          <t>Adiel</t>
        </is>
      </c>
      <c r="H132" s="14" t="n">
        <v>0.5</v>
      </c>
      <c r="I132" s="14" t="inlineStr">
        <is>
          <t>27/10</t>
        </is>
      </c>
      <c r="J132" s="14" t="inlineStr">
        <is>
          <t>T-126</t>
        </is>
      </c>
      <c r="K132" s="14" t="inlineStr">
        <is>
          <t>To Do</t>
        </is>
      </c>
      <c r="L132" s="14" t="n"/>
      <c r="M132" s="14" t="n"/>
      <c r="N132" s="15" t="inlineStr">
        <is>
          <t>DoD T1–T10 + condiciones finales aceptadas por el PO → la HU pasa a Done</t>
        </is>
      </c>
      <c r="O132" s="14" t="n"/>
      <c r="P132" s="14" t="n"/>
      <c r="Q132" s="15" t="n"/>
      <c r="R132" s="14">
        <f>IF(AND(K132&lt;&gt;"To Do",L132&lt;&gt;"Sí"),"⚠ pasó a Doing sin DoR",IF(AND(K132="Done",O132&lt;&gt;"Sí"),"⚠ Done sin criterio cumplido",IF(AND(K132="Doing",COUNTIFS($G$6:$G$266,G132,$K$6:$K$266,"Doing",$E$6:$E$266,"&lt;&gt;Scrum")&gt;2,E132&lt;&gt;"Scrum"),"⚠ más de 2 en Doing","ok")))</f>
        <v/>
      </c>
      <c r="S132">
        <f>IF($K132="To Do",COUNTIF($K$6:$K132,"To Do"),"")</f>
        <v/>
      </c>
      <c r="T132">
        <f>IF($K132="Doing",COUNTIF($K$6:$K132,"Doing"),"")</f>
        <v/>
      </c>
      <c r="U132">
        <f>IF($K132="Done",COUNTIF($K$6:$K132,"Done"),"")</f>
        <v/>
      </c>
    </row>
    <row r="133" ht="42" customHeight="1">
      <c r="B133" s="12" t="inlineStr">
        <is>
          <t>T-128</t>
        </is>
      </c>
      <c r="C133" s="12" t="inlineStr">
        <is>
          <t>HU-29</t>
        </is>
      </c>
      <c r="D133" s="13" t="inlineStr">
        <is>
          <t>Consultar proveedores</t>
        </is>
      </c>
      <c r="E133" s="12" t="inlineStr">
        <is>
          <t>Diseño UI</t>
        </is>
      </c>
      <c r="F133" s="13" t="inlineStr">
        <is>
          <t>Diseñar la interfaz de usuario de HU-29: pantalla 18 · Proveedores</t>
        </is>
      </c>
      <c r="G133" s="12" t="inlineStr">
        <is>
          <t>Fernando</t>
        </is>
      </c>
      <c r="H133" s="12" t="n">
        <v>1</v>
      </c>
      <c r="I133" s="12" t="inlineStr">
        <is>
          <t>23/10</t>
        </is>
      </c>
      <c r="J133" s="12" t="n"/>
      <c r="K133" s="12" t="inlineStr">
        <is>
          <t>Done</t>
        </is>
      </c>
      <c r="L133" s="12" t="inlineStr">
        <is>
          <t>Sí</t>
        </is>
      </c>
      <c r="M133" s="12" t="inlineStr">
        <is>
          <t>22/10/2026</t>
        </is>
      </c>
      <c r="N133" s="13" t="inlineStr">
        <is>
          <t>Mockup en el lienzo, revisado por el equipo</t>
        </is>
      </c>
      <c r="O133" s="12" t="inlineStr">
        <is>
          <t>Sí</t>
        </is>
      </c>
      <c r="P133" s="12" t="inlineStr">
        <is>
          <t>22/10/2026</t>
        </is>
      </c>
      <c r="Q133" s="13" t="inlineStr">
        <is>
          <t>Lienzo «SIGRO · Pantallas y diagramas del Sprint 1»</t>
        </is>
      </c>
      <c r="R133" s="12">
        <f>IF(AND(K133&lt;&gt;"To Do",L133&lt;&gt;"Sí"),"⚠ pasó a Doing sin DoR",IF(AND(K133="Done",O133&lt;&gt;"Sí"),"⚠ Done sin criterio cumplido",IF(AND(K133="Doing",COUNTIFS($G$6:$G$266,G133,$K$6:$K$266,"Doing",$E$6:$E$266,"&lt;&gt;Scrum")&gt;2,E133&lt;&gt;"Scrum"),"⚠ más de 2 en Doing","ok")))</f>
        <v/>
      </c>
      <c r="S133">
        <f>IF($K133="To Do",COUNTIF($K$6:$K133,"To Do"),"")</f>
        <v/>
      </c>
      <c r="T133">
        <f>IF($K133="Doing",COUNTIF($K$6:$K133,"Doing"),"")</f>
        <v/>
      </c>
      <c r="U133">
        <f>IF($K133="Done",COUNTIF($K$6:$K133,"Done"),"")</f>
        <v/>
      </c>
    </row>
    <row r="134" ht="42" customHeight="1">
      <c r="B134" s="12" t="inlineStr">
        <is>
          <t>T-129</t>
        </is>
      </c>
      <c r="C134" s="12" t="inlineStr">
        <is>
          <t>HU-29</t>
        </is>
      </c>
      <c r="D134" s="13" t="inlineStr">
        <is>
          <t>Consultar proveedores</t>
        </is>
      </c>
      <c r="E134" s="12" t="inlineStr">
        <is>
          <t>Modelado UML</t>
        </is>
      </c>
      <c r="F134" s="13" t="inlineStr">
        <is>
          <t>Modelar la funcionalidad de HU-29 con el diagrama UML de secuencia de la búsqueda de proveedores</t>
        </is>
      </c>
      <c r="G134" s="12" t="inlineStr">
        <is>
          <t>Henry</t>
        </is>
      </c>
      <c r="H134" s="12" t="n">
        <v>1</v>
      </c>
      <c r="I134" s="12" t="inlineStr">
        <is>
          <t>24/10</t>
        </is>
      </c>
      <c r="J134" s="12" t="inlineStr">
        <is>
          <t>T-128</t>
        </is>
      </c>
      <c r="K134" s="12" t="inlineStr">
        <is>
          <t>To Do</t>
        </is>
      </c>
      <c r="L134" s="12" t="n"/>
      <c r="M134" s="12" t="n"/>
      <c r="N134" s="13" t="inlineStr">
        <is>
          <t>Diagrama publicado en el repo o el lienzo</t>
        </is>
      </c>
      <c r="O134" s="12" t="n"/>
      <c r="P134" s="12" t="n"/>
      <c r="Q134" s="13" t="n"/>
      <c r="R134" s="12">
        <f>IF(AND(K134&lt;&gt;"To Do",L134&lt;&gt;"Sí"),"⚠ pasó a Doing sin DoR",IF(AND(K134="Done",O134&lt;&gt;"Sí"),"⚠ Done sin criterio cumplido",IF(AND(K134="Doing",COUNTIFS($G$6:$G$266,G134,$K$6:$K$266,"Doing",$E$6:$E$266,"&lt;&gt;Scrum")&gt;2,E134&lt;&gt;"Scrum"),"⚠ más de 2 en Doing","ok")))</f>
        <v/>
      </c>
      <c r="S134">
        <f>IF($K134="To Do",COUNTIF($K$6:$K134,"To Do"),"")</f>
        <v/>
      </c>
      <c r="T134">
        <f>IF($K134="Doing",COUNTIF($K$6:$K134,"Doing"),"")</f>
        <v/>
      </c>
      <c r="U134">
        <f>IF($K134="Done",COUNTIF($K$6:$K134,"Done"),"")</f>
        <v/>
      </c>
    </row>
    <row r="135" ht="42" customHeight="1">
      <c r="B135" s="12" t="inlineStr">
        <is>
          <t>T-130</t>
        </is>
      </c>
      <c r="C135" s="12" t="inlineStr">
        <is>
          <t>HU-29</t>
        </is>
      </c>
      <c r="D135" s="13" t="inlineStr">
        <is>
          <t>Consultar proveedores</t>
        </is>
      </c>
      <c r="E135" s="12" t="inlineStr">
        <is>
          <t>Base de datos</t>
        </is>
      </c>
      <c r="F135" s="13" t="inlineStr">
        <is>
          <t>Implementar las tablas asociadas a HU-29: proveedor (RUC o DNI único)</t>
        </is>
      </c>
      <c r="G135" s="12" t="inlineStr">
        <is>
          <t>Adiel</t>
        </is>
      </c>
      <c r="H135" s="12" t="n">
        <v>1</v>
      </c>
      <c r="I135" s="12" t="inlineStr">
        <is>
          <t>24/10</t>
        </is>
      </c>
      <c r="J135" s="12" t="n"/>
      <c r="K135" s="12" t="inlineStr">
        <is>
          <t>Done</t>
        </is>
      </c>
      <c r="L135" s="12" t="inlineStr">
        <is>
          <t>Sí</t>
        </is>
      </c>
      <c r="M135" s="12" t="inlineStr">
        <is>
          <t>22/10/2026</t>
        </is>
      </c>
      <c r="N135" s="13" t="inlineStr">
        <is>
          <t>Migración fusionada, corre en base limpia y con datos, y se revierte</t>
        </is>
      </c>
      <c r="O135" s="12" t="inlineStr">
        <is>
          <t>Sí</t>
        </is>
      </c>
      <c r="P135" s="12" t="inlineStr">
        <is>
          <t>22/10/2026</t>
        </is>
      </c>
      <c r="Q135" s="13" t="inlineStr">
        <is>
          <t>PR #1 de Adiel (22/10)</t>
        </is>
      </c>
      <c r="R135" s="12">
        <f>IF(AND(K135&lt;&gt;"To Do",L135&lt;&gt;"Sí"),"⚠ pasó a Doing sin DoR",IF(AND(K135="Done",O135&lt;&gt;"Sí"),"⚠ Done sin criterio cumplido",IF(AND(K135="Doing",COUNTIFS($G$6:$G$266,G135,$K$6:$K$266,"Doing",$E$6:$E$266,"&lt;&gt;Scrum")&gt;2,E135&lt;&gt;"Scrum"),"⚠ más de 2 en Doing","ok")))</f>
        <v/>
      </c>
      <c r="S135">
        <f>IF($K135="To Do",COUNTIF($K$6:$K135,"To Do"),"")</f>
        <v/>
      </c>
      <c r="T135">
        <f>IF($K135="Doing",COUNTIF($K$6:$K135,"Doing"),"")</f>
        <v/>
      </c>
      <c r="U135">
        <f>IF($K135="Done",COUNTIF($K$6:$K135,"Done"),"")</f>
        <v/>
      </c>
    </row>
    <row r="136" ht="42" customHeight="1">
      <c r="B136" s="12" t="inlineStr">
        <is>
          <t>T-131</t>
        </is>
      </c>
      <c r="C136" s="12" t="inlineStr">
        <is>
          <t>HU-29</t>
        </is>
      </c>
      <c r="D136" s="13" t="inlineStr">
        <is>
          <t>Consultar proveedores</t>
        </is>
      </c>
      <c r="E136" s="12" t="inlineStr">
        <is>
          <t>Backend</t>
        </is>
      </c>
      <c r="F136" s="13" t="inlineStr">
        <is>
          <t>Programar el back-end de HU-29 (entidad, repositorio, servicio y controlador): la búsqueda de proveedores por razón social o RUC</t>
        </is>
      </c>
      <c r="G136" s="12" t="inlineStr">
        <is>
          <t>Adiel</t>
        </is>
      </c>
      <c r="H136" s="12" t="n">
        <v>2</v>
      </c>
      <c r="I136" s="12" t="inlineStr">
        <is>
          <t>25/10</t>
        </is>
      </c>
      <c r="J136" s="12" t="n"/>
      <c r="K136" s="12" t="inlineStr">
        <is>
          <t>Done</t>
        </is>
      </c>
      <c r="L136" s="12" t="inlineStr">
        <is>
          <t>Sí</t>
        </is>
      </c>
      <c r="M136" s="12" t="inlineStr">
        <is>
          <t>22/10/2026</t>
        </is>
      </c>
      <c r="N136" s="13" t="inlineStr">
        <is>
          <t>PR fusionado con sus pruebas automáticas en verde y el endpoint documentado</t>
        </is>
      </c>
      <c r="O136" s="12" t="inlineStr">
        <is>
          <t>Sí</t>
        </is>
      </c>
      <c r="P136" s="12" t="inlineStr">
        <is>
          <t>22/10/2026</t>
        </is>
      </c>
      <c r="Q136" s="13" t="inlineStr">
        <is>
          <t>PR #1 y #2 de Adiel (22/10)</t>
        </is>
      </c>
      <c r="R136" s="12">
        <f>IF(AND(K136&lt;&gt;"To Do",L136&lt;&gt;"Sí"),"⚠ pasó a Doing sin DoR",IF(AND(K136="Done",O136&lt;&gt;"Sí"),"⚠ Done sin criterio cumplido",IF(AND(K136="Doing",COUNTIFS($G$6:$G$266,G136,$K$6:$K$266,"Doing",$E$6:$E$266,"&lt;&gt;Scrum")&gt;2,E136&lt;&gt;"Scrum"),"⚠ más de 2 en Doing","ok")))</f>
        <v/>
      </c>
      <c r="S136">
        <f>IF($K136="To Do",COUNTIF($K$6:$K136,"To Do"),"")</f>
        <v/>
      </c>
      <c r="T136">
        <f>IF($K136="Doing",COUNTIF($K$6:$K136,"Doing"),"")</f>
        <v/>
      </c>
      <c r="U136">
        <f>IF($K136="Done",COUNTIF($K$6:$K136,"Done"),"")</f>
        <v/>
      </c>
    </row>
    <row r="137" ht="42" customHeight="1">
      <c r="B137" s="12" t="inlineStr">
        <is>
          <t>T-132</t>
        </is>
      </c>
      <c r="C137" s="12" t="inlineStr">
        <is>
          <t>HU-29</t>
        </is>
      </c>
      <c r="D137" s="13" t="inlineStr">
        <is>
          <t>Consultar proveedores</t>
        </is>
      </c>
      <c r="E137" s="12" t="inlineStr">
        <is>
          <t>Front-end web</t>
        </is>
      </c>
      <c r="F137" s="13" t="inlineStr">
        <is>
          <t>Programar la pantalla web de proveedores con los 626 reales</t>
        </is>
      </c>
      <c r="G137" s="12" t="inlineStr">
        <is>
          <t>Fernando</t>
        </is>
      </c>
      <c r="H137" s="12" t="n">
        <v>2</v>
      </c>
      <c r="I137" s="12" t="inlineStr">
        <is>
          <t>26/10</t>
        </is>
      </c>
      <c r="J137" s="12" t="n"/>
      <c r="K137" s="12" t="inlineStr">
        <is>
          <t>Done</t>
        </is>
      </c>
      <c r="L137" s="12" t="inlineStr">
        <is>
          <t>Sí</t>
        </is>
      </c>
      <c r="M137" s="12" t="inlineStr">
        <is>
          <t>22/10/2026</t>
        </is>
      </c>
      <c r="N137" s="13" t="inlineStr">
        <is>
          <t>PR fusionado, build sin errores, modo claro/oscuro y escala 125 %</t>
        </is>
      </c>
      <c r="O137" s="12" t="inlineStr">
        <is>
          <t>Sí</t>
        </is>
      </c>
      <c r="P137" s="12" t="inlineStr">
        <is>
          <t>22/10/2026</t>
        </is>
      </c>
      <c r="Q137" s="13" t="inlineStr">
        <is>
          <t>Commit del 22/10 09:30 (datos simulados)</t>
        </is>
      </c>
      <c r="R137" s="12">
        <f>IF(AND(K137&lt;&gt;"To Do",L137&lt;&gt;"Sí"),"⚠ pasó a Doing sin DoR",IF(AND(K137="Done",O137&lt;&gt;"Sí"),"⚠ Done sin criterio cumplido",IF(AND(K137="Doing",COUNTIFS($G$6:$G$266,G137,$K$6:$K$266,"Doing",$E$6:$E$266,"&lt;&gt;Scrum")&gt;2,E137&lt;&gt;"Scrum"),"⚠ más de 2 en Doing","ok")))</f>
        <v/>
      </c>
      <c r="S137">
        <f>IF($K137="To Do",COUNTIF($K$6:$K137,"To Do"),"")</f>
        <v/>
      </c>
      <c r="T137">
        <f>IF($K137="Doing",COUNTIF($K$6:$K137,"Doing"),"")</f>
        <v/>
      </c>
      <c r="U137">
        <f>IF($K137="Done",COUNTIF($K$6:$K137,"Done"),"")</f>
        <v/>
      </c>
    </row>
    <row r="138" ht="42" customHeight="1">
      <c r="B138" s="12" t="inlineStr">
        <is>
          <t>T-133</t>
        </is>
      </c>
      <c r="C138" s="12" t="inlineStr">
        <is>
          <t>HU-29</t>
        </is>
      </c>
      <c r="D138" s="13" t="inlineStr">
        <is>
          <t>Consultar proveedores</t>
        </is>
      </c>
      <c r="E138" s="12" t="inlineStr">
        <is>
          <t>Conexión API</t>
        </is>
      </c>
      <c r="F138" s="13" t="inlineStr">
        <is>
          <t>Conectar la pantalla de proveedores con la API real</t>
        </is>
      </c>
      <c r="G138" s="12" t="inlineStr">
        <is>
          <t>Henry</t>
        </is>
      </c>
      <c r="H138" s="12" t="n">
        <v>2</v>
      </c>
      <c r="I138" s="12" t="inlineStr">
        <is>
          <t>26/10</t>
        </is>
      </c>
      <c r="J138" s="12" t="inlineStr">
        <is>
          <t>T-131, T-132, T-240</t>
        </is>
      </c>
      <c r="K138" s="12" t="inlineStr">
        <is>
          <t>To Do</t>
        </is>
      </c>
      <c r="L138" s="12" t="n"/>
      <c r="M138" s="12" t="n"/>
      <c r="N138" s="13" t="inlineStr">
        <is>
          <t>La pantalla muestra los datos reales del servidor y sus errores</t>
        </is>
      </c>
      <c r="O138" s="12" t="n"/>
      <c r="P138" s="12" t="n"/>
      <c r="Q138" s="13" t="n"/>
      <c r="R138" s="12">
        <f>IF(AND(K138&lt;&gt;"To Do",L138&lt;&gt;"Sí"),"⚠ pasó a Doing sin DoR",IF(AND(K138="Done",O138&lt;&gt;"Sí"),"⚠ Done sin criterio cumplido",IF(AND(K138="Doing",COUNTIFS($G$6:$G$266,G138,$K$6:$K$266,"Doing",$E$6:$E$266,"&lt;&gt;Scrum")&gt;2,E138&lt;&gt;"Scrum"),"⚠ más de 2 en Doing","ok")))</f>
        <v/>
      </c>
      <c r="S138">
        <f>IF($K138="To Do",COUNTIF($K$6:$K138,"To Do"),"")</f>
        <v/>
      </c>
      <c r="T138">
        <f>IF($K138="Doing",COUNTIF($K$6:$K138,"Doing"),"")</f>
        <v/>
      </c>
      <c r="U138">
        <f>IF($K138="Done",COUNTIF($K$6:$K138,"Done"),"")</f>
        <v/>
      </c>
    </row>
    <row r="139" ht="42" customHeight="1">
      <c r="B139" s="12" t="inlineStr">
        <is>
          <t>T-134</t>
        </is>
      </c>
      <c r="C139" s="12" t="inlineStr">
        <is>
          <t>HU-29</t>
        </is>
      </c>
      <c r="D139" s="13" t="inlineStr">
        <is>
          <t>Consultar proveedores</t>
        </is>
      </c>
      <c r="E139" s="12" t="inlineStr">
        <is>
          <t>Pruebas</t>
        </is>
      </c>
      <c r="F139" s="13" t="inlineStr">
        <is>
          <t>Probar la funcionalidad de HU-29 (la API con Postman y la pantalla web) contra cada condición final y aprobar su PR</t>
        </is>
      </c>
      <c r="G139" s="12" t="inlineStr">
        <is>
          <t>Fernando</t>
        </is>
      </c>
      <c r="H139" s="12" t="n">
        <v>1</v>
      </c>
      <c r="I139" s="12" t="inlineStr">
        <is>
          <t>27/10</t>
        </is>
      </c>
      <c r="J139" s="12" t="inlineStr">
        <is>
          <t>T-130, T-131, T-132, T-133, T-233</t>
        </is>
      </c>
      <c r="K139" s="12" t="inlineStr">
        <is>
          <t>To Do</t>
        </is>
      </c>
      <c r="L139" s="12" t="n"/>
      <c r="M139" s="12" t="n"/>
      <c r="N139" s="13" t="inlineStr">
        <is>
          <t>Cada condición final verificada con Postman y en la interfaz; PR aprobado por alguien distinto del autor</t>
        </is>
      </c>
      <c r="O139" s="12" t="n"/>
      <c r="P139" s="12" t="n"/>
      <c r="Q139" s="13" t="n"/>
      <c r="R139" s="12">
        <f>IF(AND(K139&lt;&gt;"To Do",L139&lt;&gt;"Sí"),"⚠ pasó a Doing sin DoR",IF(AND(K139="Done",O139&lt;&gt;"Sí"),"⚠ Done sin criterio cumplido",IF(AND(K139="Doing",COUNTIFS($G$6:$G$266,G139,$K$6:$K$266,"Doing",$E$6:$E$266,"&lt;&gt;Scrum")&gt;2,E139&lt;&gt;"Scrum"),"⚠ más de 2 en Doing","ok")))</f>
        <v/>
      </c>
      <c r="S139">
        <f>IF($K139="To Do",COUNTIF($K$6:$K139,"To Do"),"")</f>
        <v/>
      </c>
      <c r="T139">
        <f>IF($K139="Doing",COUNTIF($K$6:$K139,"Doing"),"")</f>
        <v/>
      </c>
      <c r="U139">
        <f>IF($K139="Done",COUNTIF($K$6:$K139,"Done"),"")</f>
        <v/>
      </c>
    </row>
    <row r="140" ht="42" customHeight="1">
      <c r="B140" s="14" t="inlineStr">
        <is>
          <t>T-135</t>
        </is>
      </c>
      <c r="C140" s="14" t="inlineStr">
        <is>
          <t>HU-29</t>
        </is>
      </c>
      <c r="D140" s="15" t="inlineStr">
        <is>
          <t>Consultar proveedores</t>
        </is>
      </c>
      <c r="E140" s="14" t="inlineStr">
        <is>
          <t>Aceptación</t>
        </is>
      </c>
      <c r="F140" s="15" t="inlineStr">
        <is>
          <t>Aceptar HU-29 como Product Owner desde la interfaz y moverla a Done</t>
        </is>
      </c>
      <c r="G140" s="14" t="inlineStr">
        <is>
          <t>Adiel</t>
        </is>
      </c>
      <c r="H140" s="14" t="n">
        <v>0.5</v>
      </c>
      <c r="I140" s="14" t="inlineStr">
        <is>
          <t>27/10</t>
        </is>
      </c>
      <c r="J140" s="14" t="inlineStr">
        <is>
          <t>T-134</t>
        </is>
      </c>
      <c r="K140" s="14" t="inlineStr">
        <is>
          <t>To Do</t>
        </is>
      </c>
      <c r="L140" s="14" t="n"/>
      <c r="M140" s="14" t="n"/>
      <c r="N140" s="15" t="inlineStr">
        <is>
          <t>DoD T1–T10 + condiciones finales aceptadas por el PO → la HU pasa a Done</t>
        </is>
      </c>
      <c r="O140" s="14" t="n"/>
      <c r="P140" s="14" t="n"/>
      <c r="Q140" s="15" t="n"/>
      <c r="R140" s="14">
        <f>IF(AND(K140&lt;&gt;"To Do",L140&lt;&gt;"Sí"),"⚠ pasó a Doing sin DoR",IF(AND(K140="Done",O140&lt;&gt;"Sí"),"⚠ Done sin criterio cumplido",IF(AND(K140="Doing",COUNTIFS($G$6:$G$266,G140,$K$6:$K$266,"Doing",$E$6:$E$266,"&lt;&gt;Scrum")&gt;2,E140&lt;&gt;"Scrum"),"⚠ más de 2 en Doing","ok")))</f>
        <v/>
      </c>
      <c r="S140">
        <f>IF($K140="To Do",COUNTIF($K$6:$K140,"To Do"),"")</f>
        <v/>
      </c>
      <c r="T140">
        <f>IF($K140="Doing",COUNTIF($K$6:$K140,"Doing"),"")</f>
        <v/>
      </c>
      <c r="U140">
        <f>IF($K140="Done",COUNTIF($K$6:$K140,"Done"),"")</f>
        <v/>
      </c>
    </row>
    <row r="141" ht="42" customHeight="1">
      <c r="B141" s="12" t="inlineStr">
        <is>
          <t>T-136</t>
        </is>
      </c>
      <c r="C141" s="12" t="inlineStr">
        <is>
          <t>HU-30</t>
        </is>
      </c>
      <c r="D141" s="13" t="inlineStr">
        <is>
          <t>Registrar proveedores</t>
        </is>
      </c>
      <c r="E141" s="12" t="inlineStr">
        <is>
          <t>Diseño UI</t>
        </is>
      </c>
      <c r="F141" s="13" t="inlineStr">
        <is>
          <t>Diseñar la interfaz de usuario de HU-30: pantalla 12 · Registrar la compra</t>
        </is>
      </c>
      <c r="G141" s="12" t="inlineStr">
        <is>
          <t>Fernando</t>
        </is>
      </c>
      <c r="H141" s="12" t="n">
        <v>1</v>
      </c>
      <c r="I141" s="12" t="inlineStr">
        <is>
          <t>23/10</t>
        </is>
      </c>
      <c r="J141" s="12" t="n"/>
      <c r="K141" s="12" t="inlineStr">
        <is>
          <t>Done</t>
        </is>
      </c>
      <c r="L141" s="12" t="inlineStr">
        <is>
          <t>Sí</t>
        </is>
      </c>
      <c r="M141" s="12" t="inlineStr">
        <is>
          <t>22/10/2026</t>
        </is>
      </c>
      <c r="N141" s="13" t="inlineStr">
        <is>
          <t>Mockup en el lienzo, revisado por el equipo</t>
        </is>
      </c>
      <c r="O141" s="12" t="inlineStr">
        <is>
          <t>Sí</t>
        </is>
      </c>
      <c r="P141" s="12" t="inlineStr">
        <is>
          <t>22/10/2026</t>
        </is>
      </c>
      <c r="Q141" s="13" t="inlineStr">
        <is>
          <t>Lienzo «SIGRO · Pantallas y diagramas del Sprint 1»</t>
        </is>
      </c>
      <c r="R141" s="12">
        <f>IF(AND(K141&lt;&gt;"To Do",L141&lt;&gt;"Sí"),"⚠ pasó a Doing sin DoR",IF(AND(K141="Done",O141&lt;&gt;"Sí"),"⚠ Done sin criterio cumplido",IF(AND(K141="Doing",COUNTIFS($G$6:$G$266,G141,$K$6:$K$266,"Doing",$E$6:$E$266,"&lt;&gt;Scrum")&gt;2,E141&lt;&gt;"Scrum"),"⚠ más de 2 en Doing","ok")))</f>
        <v/>
      </c>
      <c r="S141">
        <f>IF($K141="To Do",COUNTIF($K$6:$K141,"To Do"),"")</f>
        <v/>
      </c>
      <c r="T141">
        <f>IF($K141="Doing",COUNTIF($K$6:$K141,"Doing"),"")</f>
        <v/>
      </c>
      <c r="U141">
        <f>IF($K141="Done",COUNTIF($K$6:$K141,"Done"),"")</f>
        <v/>
      </c>
    </row>
    <row r="142" ht="42" customHeight="1">
      <c r="B142" s="12" t="inlineStr">
        <is>
          <t>T-137</t>
        </is>
      </c>
      <c r="C142" s="12" t="inlineStr">
        <is>
          <t>HU-30</t>
        </is>
      </c>
      <c r="D142" s="13" t="inlineStr">
        <is>
          <t>Registrar proveedores</t>
        </is>
      </c>
      <c r="E142" s="12" t="inlineStr">
        <is>
          <t>Modelado UML</t>
        </is>
      </c>
      <c r="F142" s="13" t="inlineStr">
        <is>
          <t>Modelar la funcionalidad de HU-30 con el diagrama UML de secuencia del alta rápida de proveedor</t>
        </is>
      </c>
      <c r="G142" s="12" t="inlineStr">
        <is>
          <t>Henry</t>
        </is>
      </c>
      <c r="H142" s="12" t="n">
        <v>1</v>
      </c>
      <c r="I142" s="12" t="inlineStr">
        <is>
          <t>24/10</t>
        </is>
      </c>
      <c r="J142" s="12" t="inlineStr">
        <is>
          <t>T-136</t>
        </is>
      </c>
      <c r="K142" s="12" t="inlineStr">
        <is>
          <t>To Do</t>
        </is>
      </c>
      <c r="L142" s="12" t="n"/>
      <c r="M142" s="12" t="n"/>
      <c r="N142" s="13" t="inlineStr">
        <is>
          <t>Diagrama publicado en el repo o el lienzo</t>
        </is>
      </c>
      <c r="O142" s="12" t="n"/>
      <c r="P142" s="12" t="n"/>
      <c r="Q142" s="13" t="n"/>
      <c r="R142" s="12">
        <f>IF(AND(K142&lt;&gt;"To Do",L142&lt;&gt;"Sí"),"⚠ pasó a Doing sin DoR",IF(AND(K142="Done",O142&lt;&gt;"Sí"),"⚠ Done sin criterio cumplido",IF(AND(K142="Doing",COUNTIFS($G$6:$G$266,G142,$K$6:$K$266,"Doing",$E$6:$E$266,"&lt;&gt;Scrum")&gt;2,E142&lt;&gt;"Scrum"),"⚠ más de 2 en Doing","ok")))</f>
        <v/>
      </c>
      <c r="S142">
        <f>IF($K142="To Do",COUNTIF($K$6:$K142,"To Do"),"")</f>
        <v/>
      </c>
      <c r="T142">
        <f>IF($K142="Doing",COUNTIF($K$6:$K142,"Doing"),"")</f>
        <v/>
      </c>
      <c r="U142">
        <f>IF($K142="Done",COUNTIF($K$6:$K142,"Done"),"")</f>
        <v/>
      </c>
    </row>
    <row r="143" ht="42" customHeight="1">
      <c r="B143" s="12" t="inlineStr">
        <is>
          <t>T-138</t>
        </is>
      </c>
      <c r="C143" s="12" t="inlineStr">
        <is>
          <t>HU-30</t>
        </is>
      </c>
      <c r="D143" s="13" t="inlineStr">
        <is>
          <t>Registrar proveedores</t>
        </is>
      </c>
      <c r="E143" s="12" t="inlineStr">
        <is>
          <t>Base de datos</t>
        </is>
      </c>
      <c r="F143" s="13" t="inlineStr">
        <is>
          <t>Implementar las tablas asociadas a HU-30: proveedor</t>
        </is>
      </c>
      <c r="G143" s="12" t="inlineStr">
        <is>
          <t>Adiel</t>
        </is>
      </c>
      <c r="H143" s="12" t="n">
        <v>1</v>
      </c>
      <c r="I143" s="12" t="inlineStr">
        <is>
          <t>24/10</t>
        </is>
      </c>
      <c r="J143" s="12" t="n"/>
      <c r="K143" s="12" t="inlineStr">
        <is>
          <t>Done</t>
        </is>
      </c>
      <c r="L143" s="12" t="inlineStr">
        <is>
          <t>Sí</t>
        </is>
      </c>
      <c r="M143" s="12" t="inlineStr">
        <is>
          <t>22/10/2026</t>
        </is>
      </c>
      <c r="N143" s="13" t="inlineStr">
        <is>
          <t>Migración fusionada, corre en base limpia y con datos, y se revierte</t>
        </is>
      </c>
      <c r="O143" s="12" t="inlineStr">
        <is>
          <t>Sí</t>
        </is>
      </c>
      <c r="P143" s="12" t="inlineStr">
        <is>
          <t>22/10/2026</t>
        </is>
      </c>
      <c r="Q143" s="13" t="inlineStr">
        <is>
          <t>PR #1 de Adiel (22/10)</t>
        </is>
      </c>
      <c r="R143" s="12">
        <f>IF(AND(K143&lt;&gt;"To Do",L143&lt;&gt;"Sí"),"⚠ pasó a Doing sin DoR",IF(AND(K143="Done",O143&lt;&gt;"Sí"),"⚠ Done sin criterio cumplido",IF(AND(K143="Doing",COUNTIFS($G$6:$G$266,G143,$K$6:$K$266,"Doing",$E$6:$E$266,"&lt;&gt;Scrum")&gt;2,E143&lt;&gt;"Scrum"),"⚠ más de 2 en Doing","ok")))</f>
        <v/>
      </c>
      <c r="S143">
        <f>IF($K143="To Do",COUNTIF($K$6:$K143,"To Do"),"")</f>
        <v/>
      </c>
      <c r="T143">
        <f>IF($K143="Doing",COUNTIF($K$6:$K143,"Doing"),"")</f>
        <v/>
      </c>
      <c r="U143">
        <f>IF($K143="Done",COUNTIF($K$6:$K143,"Done"),"")</f>
        <v/>
      </c>
    </row>
    <row r="144" ht="42" customHeight="1">
      <c r="B144" s="12" t="inlineStr">
        <is>
          <t>T-139</t>
        </is>
      </c>
      <c r="C144" s="12" t="inlineStr">
        <is>
          <t>HU-30</t>
        </is>
      </c>
      <c r="D144" s="13" t="inlineStr">
        <is>
          <t>Registrar proveedores</t>
        </is>
      </c>
      <c r="E144" s="12" t="inlineStr">
        <is>
          <t>Backend</t>
        </is>
      </c>
      <c r="F144" s="13" t="inlineStr">
        <is>
          <t>Programar el back-end de HU-30 (entidad, repositorio, servicio y controlador): el alta de proveedor rechazando RUC o DNI repetidos</t>
        </is>
      </c>
      <c r="G144" s="12" t="inlineStr">
        <is>
          <t>Adiel</t>
        </is>
      </c>
      <c r="H144" s="12" t="n">
        <v>2</v>
      </c>
      <c r="I144" s="12" t="inlineStr">
        <is>
          <t>25/10</t>
        </is>
      </c>
      <c r="J144" s="12" t="n"/>
      <c r="K144" s="12" t="inlineStr">
        <is>
          <t>Done</t>
        </is>
      </c>
      <c r="L144" s="12" t="inlineStr">
        <is>
          <t>Sí</t>
        </is>
      </c>
      <c r="M144" s="12" t="inlineStr">
        <is>
          <t>22/10/2026</t>
        </is>
      </c>
      <c r="N144" s="13" t="inlineStr">
        <is>
          <t>PR fusionado con sus pruebas automáticas en verde y el endpoint documentado</t>
        </is>
      </c>
      <c r="O144" s="12" t="inlineStr">
        <is>
          <t>Sí</t>
        </is>
      </c>
      <c r="P144" s="12" t="inlineStr">
        <is>
          <t>22/10/2026</t>
        </is>
      </c>
      <c r="Q144" s="13" t="inlineStr">
        <is>
          <t>PR #1 y #2 de Adiel (22/10)</t>
        </is>
      </c>
      <c r="R144" s="12">
        <f>IF(AND(K144&lt;&gt;"To Do",L144&lt;&gt;"Sí"),"⚠ pasó a Doing sin DoR",IF(AND(K144="Done",O144&lt;&gt;"Sí"),"⚠ Done sin criterio cumplido",IF(AND(K144="Doing",COUNTIFS($G$6:$G$266,G144,$K$6:$K$266,"Doing",$E$6:$E$266,"&lt;&gt;Scrum")&gt;2,E144&lt;&gt;"Scrum"),"⚠ más de 2 en Doing","ok")))</f>
        <v/>
      </c>
      <c r="S144">
        <f>IF($K144="To Do",COUNTIF($K$6:$K144,"To Do"),"")</f>
        <v/>
      </c>
      <c r="T144">
        <f>IF($K144="Doing",COUNTIF($K$6:$K144,"Doing"),"")</f>
        <v/>
      </c>
      <c r="U144">
        <f>IF($K144="Done",COUNTIF($K$6:$K144,"Done"),"")</f>
        <v/>
      </c>
    </row>
    <row r="145" ht="42" customHeight="1">
      <c r="B145" s="12" t="inlineStr">
        <is>
          <t>T-140</t>
        </is>
      </c>
      <c r="C145" s="12" t="inlineStr">
        <is>
          <t>HU-30</t>
        </is>
      </c>
      <c r="D145" s="13" t="inlineStr">
        <is>
          <t>Registrar proveedores</t>
        </is>
      </c>
      <c r="E145" s="12" t="inlineStr">
        <is>
          <t>Front-end web</t>
        </is>
      </c>
      <c r="F145" s="13" t="inlineStr">
        <is>
          <t>Programar el alta rápida de proveedor desde la compra</t>
        </is>
      </c>
      <c r="G145" s="12" t="inlineStr">
        <is>
          <t>Fernando</t>
        </is>
      </c>
      <c r="H145" s="12" t="n">
        <v>2</v>
      </c>
      <c r="I145" s="12" t="inlineStr">
        <is>
          <t>26/10</t>
        </is>
      </c>
      <c r="J145" s="12" t="n"/>
      <c r="K145" s="12" t="inlineStr">
        <is>
          <t>Done</t>
        </is>
      </c>
      <c r="L145" s="12" t="inlineStr">
        <is>
          <t>Sí</t>
        </is>
      </c>
      <c r="M145" s="12" t="inlineStr">
        <is>
          <t>22/10/2026</t>
        </is>
      </c>
      <c r="N145" s="13" t="inlineStr">
        <is>
          <t>PR fusionado, build sin errores, modo claro/oscuro y escala 125 %</t>
        </is>
      </c>
      <c r="O145" s="12" t="inlineStr">
        <is>
          <t>Sí</t>
        </is>
      </c>
      <c r="P145" s="12" t="inlineStr">
        <is>
          <t>22/10/2026</t>
        </is>
      </c>
      <c r="Q145" s="13" t="inlineStr">
        <is>
          <t>Commit del 22/10 09:30 (datos simulados)</t>
        </is>
      </c>
      <c r="R145" s="12">
        <f>IF(AND(K145&lt;&gt;"To Do",L145&lt;&gt;"Sí"),"⚠ pasó a Doing sin DoR",IF(AND(K145="Done",O145&lt;&gt;"Sí"),"⚠ Done sin criterio cumplido",IF(AND(K145="Doing",COUNTIFS($G$6:$G$266,G145,$K$6:$K$266,"Doing",$E$6:$E$266,"&lt;&gt;Scrum")&gt;2,E145&lt;&gt;"Scrum"),"⚠ más de 2 en Doing","ok")))</f>
        <v/>
      </c>
      <c r="S145">
        <f>IF($K145="To Do",COUNTIF($K$6:$K145,"To Do"),"")</f>
        <v/>
      </c>
      <c r="T145">
        <f>IF($K145="Doing",COUNTIF($K$6:$K145,"Doing"),"")</f>
        <v/>
      </c>
      <c r="U145">
        <f>IF($K145="Done",COUNTIF($K$6:$K145,"Done"),"")</f>
        <v/>
      </c>
    </row>
    <row r="146" ht="42" customHeight="1">
      <c r="B146" s="12" t="inlineStr">
        <is>
          <t>T-141</t>
        </is>
      </c>
      <c r="C146" s="12" t="inlineStr">
        <is>
          <t>HU-30</t>
        </is>
      </c>
      <c r="D146" s="13" t="inlineStr">
        <is>
          <t>Registrar proveedores</t>
        </is>
      </c>
      <c r="E146" s="12" t="inlineStr">
        <is>
          <t>Conexión API</t>
        </is>
      </c>
      <c r="F146" s="13" t="inlineStr">
        <is>
          <t>Conectar el alta de proveedor con la API real</t>
        </is>
      </c>
      <c r="G146" s="12" t="inlineStr">
        <is>
          <t>Henry</t>
        </is>
      </c>
      <c r="H146" s="12" t="n">
        <v>2</v>
      </c>
      <c r="I146" s="12" t="inlineStr">
        <is>
          <t>26/10</t>
        </is>
      </c>
      <c r="J146" s="12" t="inlineStr">
        <is>
          <t>T-139, T-140, T-240</t>
        </is>
      </c>
      <c r="K146" s="12" t="inlineStr">
        <is>
          <t>To Do</t>
        </is>
      </c>
      <c r="L146" s="12" t="n"/>
      <c r="M146" s="12" t="n"/>
      <c r="N146" s="13" t="inlineStr">
        <is>
          <t>La pantalla muestra los datos reales del servidor y sus errores</t>
        </is>
      </c>
      <c r="O146" s="12" t="n"/>
      <c r="P146" s="12" t="n"/>
      <c r="Q146" s="13" t="n"/>
      <c r="R146" s="12">
        <f>IF(AND(K146&lt;&gt;"To Do",L146&lt;&gt;"Sí"),"⚠ pasó a Doing sin DoR",IF(AND(K146="Done",O146&lt;&gt;"Sí"),"⚠ Done sin criterio cumplido",IF(AND(K146="Doing",COUNTIFS($G$6:$G$266,G146,$K$6:$K$266,"Doing",$E$6:$E$266,"&lt;&gt;Scrum")&gt;2,E146&lt;&gt;"Scrum"),"⚠ más de 2 en Doing","ok")))</f>
        <v/>
      </c>
      <c r="S146">
        <f>IF($K146="To Do",COUNTIF($K$6:$K146,"To Do"),"")</f>
        <v/>
      </c>
      <c r="T146">
        <f>IF($K146="Doing",COUNTIF($K$6:$K146,"Doing"),"")</f>
        <v/>
      </c>
      <c r="U146">
        <f>IF($K146="Done",COUNTIF($K$6:$K146,"Done"),"")</f>
        <v/>
      </c>
    </row>
    <row r="147" ht="42" customHeight="1">
      <c r="B147" s="12" t="inlineStr">
        <is>
          <t>T-142</t>
        </is>
      </c>
      <c r="C147" s="12" t="inlineStr">
        <is>
          <t>HU-30</t>
        </is>
      </c>
      <c r="D147" s="13" t="inlineStr">
        <is>
          <t>Registrar proveedores</t>
        </is>
      </c>
      <c r="E147" s="12" t="inlineStr">
        <is>
          <t>Pruebas</t>
        </is>
      </c>
      <c r="F147" s="13" t="inlineStr">
        <is>
          <t>Probar la funcionalidad de HU-30 (la API con Postman y la pantalla web) contra cada condición final y aprobar su PR</t>
        </is>
      </c>
      <c r="G147" s="12" t="inlineStr">
        <is>
          <t>Fernando</t>
        </is>
      </c>
      <c r="H147" s="12" t="n">
        <v>1</v>
      </c>
      <c r="I147" s="12" t="inlineStr">
        <is>
          <t>27/10</t>
        </is>
      </c>
      <c r="J147" s="12" t="inlineStr">
        <is>
          <t>T-138, T-139, T-140, T-141, T-233</t>
        </is>
      </c>
      <c r="K147" s="12" t="inlineStr">
        <is>
          <t>To Do</t>
        </is>
      </c>
      <c r="L147" s="12" t="n"/>
      <c r="M147" s="12" t="n"/>
      <c r="N147" s="13" t="inlineStr">
        <is>
          <t>Cada condición final verificada con Postman y en la interfaz; PR aprobado por alguien distinto del autor</t>
        </is>
      </c>
      <c r="O147" s="12" t="n"/>
      <c r="P147" s="12" t="n"/>
      <c r="Q147" s="13" t="n"/>
      <c r="R147" s="12">
        <f>IF(AND(K147&lt;&gt;"To Do",L147&lt;&gt;"Sí"),"⚠ pasó a Doing sin DoR",IF(AND(K147="Done",O147&lt;&gt;"Sí"),"⚠ Done sin criterio cumplido",IF(AND(K147="Doing",COUNTIFS($G$6:$G$266,G147,$K$6:$K$266,"Doing",$E$6:$E$266,"&lt;&gt;Scrum")&gt;2,E147&lt;&gt;"Scrum"),"⚠ más de 2 en Doing","ok")))</f>
        <v/>
      </c>
      <c r="S147">
        <f>IF($K147="To Do",COUNTIF($K$6:$K147,"To Do"),"")</f>
        <v/>
      </c>
      <c r="T147">
        <f>IF($K147="Doing",COUNTIF($K$6:$K147,"Doing"),"")</f>
        <v/>
      </c>
      <c r="U147">
        <f>IF($K147="Done",COUNTIF($K$6:$K147,"Done"),"")</f>
        <v/>
      </c>
    </row>
    <row r="148" ht="42" customHeight="1">
      <c r="B148" s="14" t="inlineStr">
        <is>
          <t>T-143</t>
        </is>
      </c>
      <c r="C148" s="14" t="inlineStr">
        <is>
          <t>HU-30</t>
        </is>
      </c>
      <c r="D148" s="15" t="inlineStr">
        <is>
          <t>Registrar proveedores</t>
        </is>
      </c>
      <c r="E148" s="14" t="inlineStr">
        <is>
          <t>Aceptación</t>
        </is>
      </c>
      <c r="F148" s="15" t="inlineStr">
        <is>
          <t>Aceptar HU-30 como Product Owner desde la interfaz y moverla a Done</t>
        </is>
      </c>
      <c r="G148" s="14" t="inlineStr">
        <is>
          <t>Adiel</t>
        </is>
      </c>
      <c r="H148" s="14" t="n">
        <v>0.5</v>
      </c>
      <c r="I148" s="14" t="inlineStr">
        <is>
          <t>27/10</t>
        </is>
      </c>
      <c r="J148" s="14" t="inlineStr">
        <is>
          <t>T-142</t>
        </is>
      </c>
      <c r="K148" s="14" t="inlineStr">
        <is>
          <t>To Do</t>
        </is>
      </c>
      <c r="L148" s="14" t="n"/>
      <c r="M148" s="14" t="n"/>
      <c r="N148" s="15" t="inlineStr">
        <is>
          <t>DoD T1–T10 + condiciones finales aceptadas por el PO → la HU pasa a Done</t>
        </is>
      </c>
      <c r="O148" s="14" t="n"/>
      <c r="P148" s="14" t="n"/>
      <c r="Q148" s="15" t="n"/>
      <c r="R148" s="14">
        <f>IF(AND(K148&lt;&gt;"To Do",L148&lt;&gt;"Sí"),"⚠ pasó a Doing sin DoR",IF(AND(K148="Done",O148&lt;&gt;"Sí"),"⚠ Done sin criterio cumplido",IF(AND(K148="Doing",COUNTIFS($G$6:$G$266,G148,$K$6:$K$266,"Doing",$E$6:$E$266,"&lt;&gt;Scrum")&gt;2,E148&lt;&gt;"Scrum"),"⚠ más de 2 en Doing","ok")))</f>
        <v/>
      </c>
      <c r="S148">
        <f>IF($K148="To Do",COUNTIF($K$6:$K148,"To Do"),"")</f>
        <v/>
      </c>
      <c r="T148">
        <f>IF($K148="Doing",COUNTIF($K$6:$K148,"Doing"),"")</f>
        <v/>
      </c>
      <c r="U148">
        <f>IF($K148="Done",COUNTIF($K$6:$K148,"Done"),"")</f>
        <v/>
      </c>
    </row>
    <row r="149" ht="42" customHeight="1">
      <c r="B149" s="12" t="inlineStr">
        <is>
          <t>T-144</t>
        </is>
      </c>
      <c r="C149" s="12" t="inlineStr">
        <is>
          <t>HU-32</t>
        </is>
      </c>
      <c r="D149" s="13" t="inlineStr">
        <is>
          <t>Registrar compras</t>
        </is>
      </c>
      <c r="E149" s="12" t="inlineStr">
        <is>
          <t>Diseño UI</t>
        </is>
      </c>
      <c r="F149" s="13" t="inlineStr">
        <is>
          <t>Diseñar la interfaz de usuario de HU-32: pantalla 12 · Registrar la compra</t>
        </is>
      </c>
      <c r="G149" s="12" t="inlineStr">
        <is>
          <t>Fernando</t>
        </is>
      </c>
      <c r="H149" s="12" t="n">
        <v>1</v>
      </c>
      <c r="I149" s="12" t="inlineStr">
        <is>
          <t>23/10</t>
        </is>
      </c>
      <c r="J149" s="12" t="n"/>
      <c r="K149" s="12" t="inlineStr">
        <is>
          <t>Done</t>
        </is>
      </c>
      <c r="L149" s="12" t="inlineStr">
        <is>
          <t>Sí</t>
        </is>
      </c>
      <c r="M149" s="12" t="inlineStr">
        <is>
          <t>22/10/2026</t>
        </is>
      </c>
      <c r="N149" s="13" t="inlineStr">
        <is>
          <t>Mockup en el lienzo, revisado por el equipo</t>
        </is>
      </c>
      <c r="O149" s="12" t="inlineStr">
        <is>
          <t>Sí</t>
        </is>
      </c>
      <c r="P149" s="12" t="inlineStr">
        <is>
          <t>22/10/2026</t>
        </is>
      </c>
      <c r="Q149" s="13" t="inlineStr">
        <is>
          <t>Lienzo «SIGRO · Pantallas y diagramas del Sprint 1»</t>
        </is>
      </c>
      <c r="R149" s="12">
        <f>IF(AND(K149&lt;&gt;"To Do",L149&lt;&gt;"Sí"),"⚠ pasó a Doing sin DoR",IF(AND(K149="Done",O149&lt;&gt;"Sí"),"⚠ Done sin criterio cumplido",IF(AND(K149="Doing",COUNTIFS($G$6:$G$266,G149,$K$6:$K$266,"Doing",$E$6:$E$266,"&lt;&gt;Scrum")&gt;2,E149&lt;&gt;"Scrum"),"⚠ más de 2 en Doing","ok")))</f>
        <v/>
      </c>
      <c r="S149">
        <f>IF($K149="To Do",COUNTIF($K$6:$K149,"To Do"),"")</f>
        <v/>
      </c>
      <c r="T149">
        <f>IF($K149="Doing",COUNTIF($K$6:$K149,"Doing"),"")</f>
        <v/>
      </c>
      <c r="U149">
        <f>IF($K149="Done",COUNTIF($K$6:$K149,"Done"),"")</f>
        <v/>
      </c>
    </row>
    <row r="150" ht="42" customHeight="1">
      <c r="B150" s="12" t="inlineStr">
        <is>
          <t>T-145</t>
        </is>
      </c>
      <c r="C150" s="12" t="inlineStr">
        <is>
          <t>HU-32</t>
        </is>
      </c>
      <c r="D150" s="13" t="inlineStr">
        <is>
          <t>Registrar compras</t>
        </is>
      </c>
      <c r="E150" s="12" t="inlineStr">
        <is>
          <t>Modelado UML</t>
        </is>
      </c>
      <c r="F150" s="13" t="inlineStr">
        <is>
          <t>Modelar la funcionalidad de HU-32 con el diagrama UML de secuencia del registro de la compra</t>
        </is>
      </c>
      <c r="G150" s="12" t="inlineStr">
        <is>
          <t>Henry</t>
        </is>
      </c>
      <c r="H150" s="12" t="n">
        <v>1</v>
      </c>
      <c r="I150" s="12" t="inlineStr">
        <is>
          <t>24/10</t>
        </is>
      </c>
      <c r="J150" s="12" t="inlineStr">
        <is>
          <t>T-144</t>
        </is>
      </c>
      <c r="K150" s="12" t="inlineStr">
        <is>
          <t>To Do</t>
        </is>
      </c>
      <c r="L150" s="12" t="n"/>
      <c r="M150" s="12" t="n"/>
      <c r="N150" s="13" t="inlineStr">
        <is>
          <t>Diagrama publicado en el repo o el lienzo</t>
        </is>
      </c>
      <c r="O150" s="12" t="n"/>
      <c r="P150" s="12" t="n"/>
      <c r="Q150" s="13" t="n"/>
      <c r="R150" s="12">
        <f>IF(AND(K150&lt;&gt;"To Do",L150&lt;&gt;"Sí"),"⚠ pasó a Doing sin DoR",IF(AND(K150="Done",O150&lt;&gt;"Sí"),"⚠ Done sin criterio cumplido",IF(AND(K150="Doing",COUNTIFS($G$6:$G$266,G150,$K$6:$K$266,"Doing",$E$6:$E$266,"&lt;&gt;Scrum")&gt;2,E150&lt;&gt;"Scrum"),"⚠ más de 2 en Doing","ok")))</f>
        <v/>
      </c>
      <c r="S150">
        <f>IF($K150="To Do",COUNTIF($K$6:$K150,"To Do"),"")</f>
        <v/>
      </c>
      <c r="T150">
        <f>IF($K150="Doing",COUNTIF($K$6:$K150,"Doing"),"")</f>
        <v/>
      </c>
      <c r="U150">
        <f>IF($K150="Done",COUNTIF($K$6:$K150,"Done"),"")</f>
        <v/>
      </c>
    </row>
    <row r="151" ht="42" customHeight="1">
      <c r="B151" s="12" t="inlineStr">
        <is>
          <t>T-146</t>
        </is>
      </c>
      <c r="C151" s="12" t="inlineStr">
        <is>
          <t>HU-32</t>
        </is>
      </c>
      <c r="D151" s="13" t="inlineStr">
        <is>
          <t>Registrar compras</t>
        </is>
      </c>
      <c r="E151" s="12" t="inlineStr">
        <is>
          <t>Base de datos</t>
        </is>
      </c>
      <c r="F151" s="13" t="inlineStr">
        <is>
          <t>Implementar las tablas asociadas a HU-32: compra, compra_detalle</t>
        </is>
      </c>
      <c r="G151" s="12" t="inlineStr">
        <is>
          <t>Adiel</t>
        </is>
      </c>
      <c r="H151" s="12" t="n">
        <v>1</v>
      </c>
      <c r="I151" s="12" t="inlineStr">
        <is>
          <t>24/10</t>
        </is>
      </c>
      <c r="J151" s="12" t="n"/>
      <c r="K151" s="12" t="inlineStr">
        <is>
          <t>Done</t>
        </is>
      </c>
      <c r="L151" s="12" t="inlineStr">
        <is>
          <t>Sí</t>
        </is>
      </c>
      <c r="M151" s="12" t="inlineStr">
        <is>
          <t>22/10/2026</t>
        </is>
      </c>
      <c r="N151" s="13" t="inlineStr">
        <is>
          <t>Migración fusionada, corre en base limpia y con datos, y se revierte</t>
        </is>
      </c>
      <c r="O151" s="12" t="inlineStr">
        <is>
          <t>Sí</t>
        </is>
      </c>
      <c r="P151" s="12" t="inlineStr">
        <is>
          <t>22/10/2026</t>
        </is>
      </c>
      <c r="Q151" s="13" t="inlineStr">
        <is>
          <t>PR #1 de Adiel (22/10)</t>
        </is>
      </c>
      <c r="R151" s="12">
        <f>IF(AND(K151&lt;&gt;"To Do",L151&lt;&gt;"Sí"),"⚠ pasó a Doing sin DoR",IF(AND(K151="Done",O151&lt;&gt;"Sí"),"⚠ Done sin criterio cumplido",IF(AND(K151="Doing",COUNTIFS($G$6:$G$266,G151,$K$6:$K$266,"Doing",$E$6:$E$266,"&lt;&gt;Scrum")&gt;2,E151&lt;&gt;"Scrum"),"⚠ más de 2 en Doing","ok")))</f>
        <v/>
      </c>
      <c r="S151">
        <f>IF($K151="To Do",COUNTIF($K$6:$K151,"To Do"),"")</f>
        <v/>
      </c>
      <c r="T151">
        <f>IF($K151="Doing",COUNTIF($K$6:$K151,"Doing"),"")</f>
        <v/>
      </c>
      <c r="U151">
        <f>IF($K151="Done",COUNTIF($K$6:$K151,"Done"),"")</f>
        <v/>
      </c>
    </row>
    <row r="152" ht="42" customHeight="1">
      <c r="B152" s="12" t="inlineStr">
        <is>
          <t>T-147</t>
        </is>
      </c>
      <c r="C152" s="12" t="inlineStr">
        <is>
          <t>HU-32</t>
        </is>
      </c>
      <c r="D152" s="13" t="inlineStr">
        <is>
          <t>Registrar compras</t>
        </is>
      </c>
      <c r="E152" s="12" t="inlineStr">
        <is>
          <t>Backend</t>
        </is>
      </c>
      <c r="F152" s="13" t="inlineStr">
        <is>
          <t>Programar el back-end de HU-32 (entidad, repositorio, servicio y controlador): el registro de compra: comprobante único, base, IGV y total, sin mover stock</t>
        </is>
      </c>
      <c r="G152" s="12" t="inlineStr">
        <is>
          <t>Adiel</t>
        </is>
      </c>
      <c r="H152" s="12" t="n">
        <v>5</v>
      </c>
      <c r="I152" s="12" t="inlineStr">
        <is>
          <t>25/10</t>
        </is>
      </c>
      <c r="J152" s="12" t="n"/>
      <c r="K152" s="12" t="inlineStr">
        <is>
          <t>Done</t>
        </is>
      </c>
      <c r="L152" s="12" t="inlineStr">
        <is>
          <t>Sí</t>
        </is>
      </c>
      <c r="M152" s="12" t="inlineStr">
        <is>
          <t>22/10/2026</t>
        </is>
      </c>
      <c r="N152" s="13" t="inlineStr">
        <is>
          <t>PR fusionado con sus pruebas automáticas en verde y el endpoint documentado</t>
        </is>
      </c>
      <c r="O152" s="12" t="inlineStr">
        <is>
          <t>Sí</t>
        </is>
      </c>
      <c r="P152" s="12" t="inlineStr">
        <is>
          <t>22/10/2026</t>
        </is>
      </c>
      <c r="Q152" s="13" t="inlineStr">
        <is>
          <t>PR #1 y #2 de Adiel (22/10)</t>
        </is>
      </c>
      <c r="R152" s="12">
        <f>IF(AND(K152&lt;&gt;"To Do",L152&lt;&gt;"Sí"),"⚠ pasó a Doing sin DoR",IF(AND(K152="Done",O152&lt;&gt;"Sí"),"⚠ Done sin criterio cumplido",IF(AND(K152="Doing",COUNTIFS($G$6:$G$266,G152,$K$6:$K$266,"Doing",$E$6:$E$266,"&lt;&gt;Scrum")&gt;2,E152&lt;&gt;"Scrum"),"⚠ más de 2 en Doing","ok")))</f>
        <v/>
      </c>
      <c r="S152">
        <f>IF($K152="To Do",COUNTIF($K$6:$K152,"To Do"),"")</f>
        <v/>
      </c>
      <c r="T152">
        <f>IF($K152="Doing",COUNTIF($K$6:$K152,"Doing"),"")</f>
        <v/>
      </c>
      <c r="U152">
        <f>IF($K152="Done",COUNTIF($K$6:$K152,"Done"),"")</f>
        <v/>
      </c>
    </row>
    <row r="153" ht="42" customHeight="1">
      <c r="B153" s="12" t="inlineStr">
        <is>
          <t>T-148</t>
        </is>
      </c>
      <c r="C153" s="12" t="inlineStr">
        <is>
          <t>HU-32</t>
        </is>
      </c>
      <c r="D153" s="13" t="inlineStr">
        <is>
          <t>Registrar compras</t>
        </is>
      </c>
      <c r="E153" s="12" t="inlineStr">
        <is>
          <t>Front-end web</t>
        </is>
      </c>
      <c r="F153" s="13" t="inlineStr">
        <is>
          <t>Programar la pantalla web de compras</t>
        </is>
      </c>
      <c r="G153" s="12" t="inlineStr">
        <is>
          <t>Fernando</t>
        </is>
      </c>
      <c r="H153" s="12" t="n">
        <v>5</v>
      </c>
      <c r="I153" s="12" t="inlineStr">
        <is>
          <t>26/10</t>
        </is>
      </c>
      <c r="J153" s="12" t="n"/>
      <c r="K153" s="12" t="inlineStr">
        <is>
          <t>Done</t>
        </is>
      </c>
      <c r="L153" s="12" t="inlineStr">
        <is>
          <t>Sí</t>
        </is>
      </c>
      <c r="M153" s="12" t="inlineStr">
        <is>
          <t>22/10/2026</t>
        </is>
      </c>
      <c r="N153" s="13" t="inlineStr">
        <is>
          <t>PR fusionado, build sin errores, modo claro/oscuro y escala 125 %</t>
        </is>
      </c>
      <c r="O153" s="12" t="inlineStr">
        <is>
          <t>Sí</t>
        </is>
      </c>
      <c r="P153" s="12" t="inlineStr">
        <is>
          <t>22/10/2026</t>
        </is>
      </c>
      <c r="Q153" s="13" t="inlineStr">
        <is>
          <t>Commit del 22/10 09:30 (datos simulados)</t>
        </is>
      </c>
      <c r="R153" s="12">
        <f>IF(AND(K153&lt;&gt;"To Do",L153&lt;&gt;"Sí"),"⚠ pasó a Doing sin DoR",IF(AND(K153="Done",O153&lt;&gt;"Sí"),"⚠ Done sin criterio cumplido",IF(AND(K153="Doing",COUNTIFS($G$6:$G$266,G153,$K$6:$K$266,"Doing",$E$6:$E$266,"&lt;&gt;Scrum")&gt;2,E153&lt;&gt;"Scrum"),"⚠ más de 2 en Doing","ok")))</f>
        <v/>
      </c>
      <c r="S153">
        <f>IF($K153="To Do",COUNTIF($K$6:$K153,"To Do"),"")</f>
        <v/>
      </c>
      <c r="T153">
        <f>IF($K153="Doing",COUNTIF($K$6:$K153,"Doing"),"")</f>
        <v/>
      </c>
      <c r="U153">
        <f>IF($K153="Done",COUNTIF($K$6:$K153,"Done"),"")</f>
        <v/>
      </c>
    </row>
    <row r="154" ht="42" customHeight="1">
      <c r="B154" s="12" t="inlineStr">
        <is>
          <t>T-149</t>
        </is>
      </c>
      <c r="C154" s="12" t="inlineStr">
        <is>
          <t>HU-32</t>
        </is>
      </c>
      <c r="D154" s="13" t="inlineStr">
        <is>
          <t>Registrar compras</t>
        </is>
      </c>
      <c r="E154" s="12" t="inlineStr">
        <is>
          <t>Conexión API</t>
        </is>
      </c>
      <c r="F154" s="13" t="inlineStr">
        <is>
          <t>Conectar la pantalla de compras con la API real</t>
        </is>
      </c>
      <c r="G154" s="12" t="inlineStr">
        <is>
          <t>Henry</t>
        </is>
      </c>
      <c r="H154" s="12" t="n">
        <v>5</v>
      </c>
      <c r="I154" s="12" t="inlineStr">
        <is>
          <t>26/10</t>
        </is>
      </c>
      <c r="J154" s="12" t="inlineStr">
        <is>
          <t>T-147, T-148, T-240</t>
        </is>
      </c>
      <c r="K154" s="12" t="inlineStr">
        <is>
          <t>To Do</t>
        </is>
      </c>
      <c r="L154" s="12" t="n"/>
      <c r="M154" s="12" t="n"/>
      <c r="N154" s="13" t="inlineStr">
        <is>
          <t>La pantalla muestra los datos reales del servidor y sus errores</t>
        </is>
      </c>
      <c r="O154" s="12" t="n"/>
      <c r="P154" s="12" t="n"/>
      <c r="Q154" s="13" t="n"/>
      <c r="R154" s="12">
        <f>IF(AND(K154&lt;&gt;"To Do",L154&lt;&gt;"Sí"),"⚠ pasó a Doing sin DoR",IF(AND(K154="Done",O154&lt;&gt;"Sí"),"⚠ Done sin criterio cumplido",IF(AND(K154="Doing",COUNTIFS($G$6:$G$266,G154,$K$6:$K$266,"Doing",$E$6:$E$266,"&lt;&gt;Scrum")&gt;2,E154&lt;&gt;"Scrum"),"⚠ más de 2 en Doing","ok")))</f>
        <v/>
      </c>
      <c r="S154">
        <f>IF($K154="To Do",COUNTIF($K$6:$K154,"To Do"),"")</f>
        <v/>
      </c>
      <c r="T154">
        <f>IF($K154="Doing",COUNTIF($K$6:$K154,"Doing"),"")</f>
        <v/>
      </c>
      <c r="U154">
        <f>IF($K154="Done",COUNTIF($K$6:$K154,"Done"),"")</f>
        <v/>
      </c>
    </row>
    <row r="155" ht="42" customHeight="1">
      <c r="B155" s="12" t="inlineStr">
        <is>
          <t>T-150</t>
        </is>
      </c>
      <c r="C155" s="12" t="inlineStr">
        <is>
          <t>HU-32</t>
        </is>
      </c>
      <c r="D155" s="13" t="inlineStr">
        <is>
          <t>Registrar compras</t>
        </is>
      </c>
      <c r="E155" s="12" t="inlineStr">
        <is>
          <t>Pruebas</t>
        </is>
      </c>
      <c r="F155" s="13" t="inlineStr">
        <is>
          <t>Probar la funcionalidad de HU-32 (la API con Postman y la pantalla web) contra cada condición final y aprobar su PR</t>
        </is>
      </c>
      <c r="G155" s="12" t="inlineStr">
        <is>
          <t>Fernando</t>
        </is>
      </c>
      <c r="H155" s="12" t="n">
        <v>1</v>
      </c>
      <c r="I155" s="12" t="inlineStr">
        <is>
          <t>27/10</t>
        </is>
      </c>
      <c r="J155" s="12" t="inlineStr">
        <is>
          <t>T-146, T-147, T-148, T-149, T-233</t>
        </is>
      </c>
      <c r="K155" s="12" t="inlineStr">
        <is>
          <t>To Do</t>
        </is>
      </c>
      <c r="L155" s="12" t="n"/>
      <c r="M155" s="12" t="n"/>
      <c r="N155" s="13" t="inlineStr">
        <is>
          <t>Cada condición final verificada con Postman y en la interfaz; PR aprobado por alguien distinto del autor</t>
        </is>
      </c>
      <c r="O155" s="12" t="n"/>
      <c r="P155" s="12" t="n"/>
      <c r="Q155" s="13" t="n"/>
      <c r="R155" s="12">
        <f>IF(AND(K155&lt;&gt;"To Do",L155&lt;&gt;"Sí"),"⚠ pasó a Doing sin DoR",IF(AND(K155="Done",O155&lt;&gt;"Sí"),"⚠ Done sin criterio cumplido",IF(AND(K155="Doing",COUNTIFS($G$6:$G$266,G155,$K$6:$K$266,"Doing",$E$6:$E$266,"&lt;&gt;Scrum")&gt;2,E155&lt;&gt;"Scrum"),"⚠ más de 2 en Doing","ok")))</f>
        <v/>
      </c>
      <c r="S155">
        <f>IF($K155="To Do",COUNTIF($K$6:$K155,"To Do"),"")</f>
        <v/>
      </c>
      <c r="T155">
        <f>IF($K155="Doing",COUNTIF($K$6:$K155,"Doing"),"")</f>
        <v/>
      </c>
      <c r="U155">
        <f>IF($K155="Done",COUNTIF($K$6:$K155,"Done"),"")</f>
        <v/>
      </c>
    </row>
    <row r="156" ht="42" customHeight="1">
      <c r="B156" s="14" t="inlineStr">
        <is>
          <t>T-151</t>
        </is>
      </c>
      <c r="C156" s="14" t="inlineStr">
        <is>
          <t>HU-32</t>
        </is>
      </c>
      <c r="D156" s="15" t="inlineStr">
        <is>
          <t>Registrar compras</t>
        </is>
      </c>
      <c r="E156" s="14" t="inlineStr">
        <is>
          <t>Aceptación</t>
        </is>
      </c>
      <c r="F156" s="15" t="inlineStr">
        <is>
          <t>Aceptar HU-32 como Product Owner desde la interfaz y moverla a Done</t>
        </is>
      </c>
      <c r="G156" s="14" t="inlineStr">
        <is>
          <t>Adiel</t>
        </is>
      </c>
      <c r="H156" s="14" t="n">
        <v>0.5</v>
      </c>
      <c r="I156" s="14" t="inlineStr">
        <is>
          <t>27/10</t>
        </is>
      </c>
      <c r="J156" s="14" t="inlineStr">
        <is>
          <t>T-150</t>
        </is>
      </c>
      <c r="K156" s="14" t="inlineStr">
        <is>
          <t>To Do</t>
        </is>
      </c>
      <c r="L156" s="14" t="n"/>
      <c r="M156" s="14" t="n"/>
      <c r="N156" s="15" t="inlineStr">
        <is>
          <t>DoD T1–T10 + condiciones finales aceptadas por el PO → la HU pasa a Done</t>
        </is>
      </c>
      <c r="O156" s="14" t="n"/>
      <c r="P156" s="14" t="n"/>
      <c r="Q156" s="15" t="n"/>
      <c r="R156" s="14">
        <f>IF(AND(K156&lt;&gt;"To Do",L156&lt;&gt;"Sí"),"⚠ pasó a Doing sin DoR",IF(AND(K156="Done",O156&lt;&gt;"Sí"),"⚠ Done sin criterio cumplido",IF(AND(K156="Doing",COUNTIFS($G$6:$G$266,G156,$K$6:$K$266,"Doing",$E$6:$E$266,"&lt;&gt;Scrum")&gt;2,E156&lt;&gt;"Scrum"),"⚠ más de 2 en Doing","ok")))</f>
        <v/>
      </c>
      <c r="S156">
        <f>IF($K156="To Do",COUNTIF($K$6:$K156,"To Do"),"")</f>
        <v/>
      </c>
      <c r="T156">
        <f>IF($K156="Doing",COUNTIF($K$6:$K156,"Doing"),"")</f>
        <v/>
      </c>
      <c r="U156">
        <f>IF($K156="Done",COUNTIF($K$6:$K156,"Done"),"")</f>
        <v/>
      </c>
    </row>
    <row r="157" ht="42" customHeight="1">
      <c r="B157" s="12" t="inlineStr">
        <is>
          <t>T-152</t>
        </is>
      </c>
      <c r="C157" s="12" t="inlineStr">
        <is>
          <t>HU-35</t>
        </is>
      </c>
      <c r="D157" s="13" t="inlineStr">
        <is>
          <t>Recibir compras</t>
        </is>
      </c>
      <c r="E157" s="12" t="inlineStr">
        <is>
          <t>Diseño UI</t>
        </is>
      </c>
      <c r="F157" s="13" t="inlineStr">
        <is>
          <t>Diseñar la interfaz de usuario de HU-35: pantalla 14 · Recepción de compra</t>
        </is>
      </c>
      <c r="G157" s="12" t="inlineStr">
        <is>
          <t>Fernando</t>
        </is>
      </c>
      <c r="H157" s="12" t="n">
        <v>1</v>
      </c>
      <c r="I157" s="12" t="inlineStr">
        <is>
          <t>23/10</t>
        </is>
      </c>
      <c r="J157" s="12" t="n"/>
      <c r="K157" s="12" t="inlineStr">
        <is>
          <t>Done</t>
        </is>
      </c>
      <c r="L157" s="12" t="inlineStr">
        <is>
          <t>Sí</t>
        </is>
      </c>
      <c r="M157" s="12" t="inlineStr">
        <is>
          <t>22/10/2026</t>
        </is>
      </c>
      <c r="N157" s="13" t="inlineStr">
        <is>
          <t>Mockup en el lienzo, revisado por el equipo</t>
        </is>
      </c>
      <c r="O157" s="12" t="inlineStr">
        <is>
          <t>Sí</t>
        </is>
      </c>
      <c r="P157" s="12" t="inlineStr">
        <is>
          <t>22/10/2026</t>
        </is>
      </c>
      <c r="Q157" s="13" t="inlineStr">
        <is>
          <t>Lienzo «SIGRO · Pantallas y diagramas del Sprint 1»</t>
        </is>
      </c>
      <c r="R157" s="12">
        <f>IF(AND(K157&lt;&gt;"To Do",L157&lt;&gt;"Sí"),"⚠ pasó a Doing sin DoR",IF(AND(K157="Done",O157&lt;&gt;"Sí"),"⚠ Done sin criterio cumplido",IF(AND(K157="Doing",COUNTIFS($G$6:$G$266,G157,$K$6:$K$266,"Doing",$E$6:$E$266,"&lt;&gt;Scrum")&gt;2,E157&lt;&gt;"Scrum"),"⚠ más de 2 en Doing","ok")))</f>
        <v/>
      </c>
      <c r="S157">
        <f>IF($K157="To Do",COUNTIF($K$6:$K157,"To Do"),"")</f>
        <v/>
      </c>
      <c r="T157">
        <f>IF($K157="Doing",COUNTIF($K$6:$K157,"Doing"),"")</f>
        <v/>
      </c>
      <c r="U157">
        <f>IF($K157="Done",COUNTIF($K$6:$K157,"Done"),"")</f>
        <v/>
      </c>
    </row>
    <row r="158" ht="42" customHeight="1">
      <c r="B158" s="12" t="inlineStr">
        <is>
          <t>T-153</t>
        </is>
      </c>
      <c r="C158" s="12" t="inlineStr">
        <is>
          <t>HU-35</t>
        </is>
      </c>
      <c r="D158" s="13" t="inlineStr">
        <is>
          <t>Recibir compras</t>
        </is>
      </c>
      <c r="E158" s="12" t="inlineStr">
        <is>
          <t>Modelado UML</t>
        </is>
      </c>
      <c r="F158" s="13" t="inlineStr">
        <is>
          <t>Modelar la funcionalidad de HU-35 con el diagrama UML de secuencia de la recepción y el costo promedio ponderado</t>
        </is>
      </c>
      <c r="G158" s="12" t="inlineStr">
        <is>
          <t>Fernando</t>
        </is>
      </c>
      <c r="H158" s="12" t="n">
        <v>1</v>
      </c>
      <c r="I158" s="12" t="inlineStr">
        <is>
          <t>24/10</t>
        </is>
      </c>
      <c r="J158" s="12" t="n"/>
      <c r="K158" s="12" t="inlineStr">
        <is>
          <t>Done</t>
        </is>
      </c>
      <c r="L158" s="12" t="inlineStr">
        <is>
          <t>Sí</t>
        </is>
      </c>
      <c r="M158" s="12" t="inlineStr">
        <is>
          <t>22/10/2026</t>
        </is>
      </c>
      <c r="N158" s="13" t="inlineStr">
        <is>
          <t>Diagrama publicado en el repo o el lienzo</t>
        </is>
      </c>
      <c r="O158" s="12" t="inlineStr">
        <is>
          <t>Sí</t>
        </is>
      </c>
      <c r="P158" s="12" t="inlineStr">
        <is>
          <t>22/10/2026</t>
        </is>
      </c>
      <c r="Q158" s="13" t="inlineStr">
        <is>
          <t>Lienzo del Sprint 1</t>
        </is>
      </c>
      <c r="R158" s="12">
        <f>IF(AND(K158&lt;&gt;"To Do",L158&lt;&gt;"Sí"),"⚠ pasó a Doing sin DoR",IF(AND(K158="Done",O158&lt;&gt;"Sí"),"⚠ Done sin criterio cumplido",IF(AND(K158="Doing",COUNTIFS($G$6:$G$266,G158,$K$6:$K$266,"Doing",$E$6:$E$266,"&lt;&gt;Scrum")&gt;2,E158&lt;&gt;"Scrum"),"⚠ más de 2 en Doing","ok")))</f>
        <v/>
      </c>
      <c r="S158">
        <f>IF($K158="To Do",COUNTIF($K$6:$K158,"To Do"),"")</f>
        <v/>
      </c>
      <c r="T158">
        <f>IF($K158="Doing",COUNTIF($K$6:$K158,"Doing"),"")</f>
        <v/>
      </c>
      <c r="U158">
        <f>IF($K158="Done",COUNTIF($K$6:$K158,"Done"),"")</f>
        <v/>
      </c>
    </row>
    <row r="159" ht="42" customHeight="1">
      <c r="B159" s="12" t="inlineStr">
        <is>
          <t>T-154</t>
        </is>
      </c>
      <c r="C159" s="12" t="inlineStr">
        <is>
          <t>HU-35</t>
        </is>
      </c>
      <c r="D159" s="13" t="inlineStr">
        <is>
          <t>Recibir compras</t>
        </is>
      </c>
      <c r="E159" s="12" t="inlineStr">
        <is>
          <t>Base de datos</t>
        </is>
      </c>
      <c r="F159" s="13" t="inlineStr">
        <is>
          <t>Implementar las tablas asociadas a HU-35: recepcion, recepcion_detalle y su movimiento de ingreso</t>
        </is>
      </c>
      <c r="G159" s="12" t="inlineStr">
        <is>
          <t>Adiel</t>
        </is>
      </c>
      <c r="H159" s="12" t="n">
        <v>1</v>
      </c>
      <c r="I159" s="12" t="inlineStr">
        <is>
          <t>24/10</t>
        </is>
      </c>
      <c r="J159" s="12" t="inlineStr">
        <is>
          <t>T-153</t>
        </is>
      </c>
      <c r="K159" s="12" t="inlineStr">
        <is>
          <t>To Do</t>
        </is>
      </c>
      <c r="L159" s="12" t="n"/>
      <c r="M159" s="12" t="n"/>
      <c r="N159" s="13" t="inlineStr">
        <is>
          <t>Migración fusionada, corre en base limpia y con datos, y se revierte</t>
        </is>
      </c>
      <c r="O159" s="12" t="n"/>
      <c r="P159" s="12" t="n"/>
      <c r="Q159" s="13" t="n"/>
      <c r="R159" s="12">
        <f>IF(AND(K159&lt;&gt;"To Do",L159&lt;&gt;"Sí"),"⚠ pasó a Doing sin DoR",IF(AND(K159="Done",O159&lt;&gt;"Sí"),"⚠ Done sin criterio cumplido",IF(AND(K159="Doing",COUNTIFS($G$6:$G$266,G159,$K$6:$K$266,"Doing",$E$6:$E$266,"&lt;&gt;Scrum")&gt;2,E159&lt;&gt;"Scrum"),"⚠ más de 2 en Doing","ok")))</f>
        <v/>
      </c>
      <c r="S159">
        <f>IF($K159="To Do",COUNTIF($K$6:$K159,"To Do"),"")</f>
        <v/>
      </c>
      <c r="T159">
        <f>IF($K159="Doing",COUNTIF($K$6:$K159,"Doing"),"")</f>
        <v/>
      </c>
      <c r="U159">
        <f>IF($K159="Done",COUNTIF($K$6:$K159,"Done"),"")</f>
        <v/>
      </c>
    </row>
    <row r="160" ht="42" customHeight="1">
      <c r="B160" s="12" t="inlineStr">
        <is>
          <t>T-155</t>
        </is>
      </c>
      <c r="C160" s="12" t="inlineStr">
        <is>
          <t>HU-35</t>
        </is>
      </c>
      <c r="D160" s="13" t="inlineStr">
        <is>
          <t>Recibir compras</t>
        </is>
      </c>
      <c r="E160" s="12" t="inlineStr">
        <is>
          <t>Backend</t>
        </is>
      </c>
      <c r="F160" s="13" t="inlineStr">
        <is>
          <t>Programar el back-end de HU-35 (entidad, repositorio, servicio y controlador): la recepción total o parcial que genera el ingreso al kárdex</t>
        </is>
      </c>
      <c r="G160" s="12" t="inlineStr">
        <is>
          <t>Adiel</t>
        </is>
      </c>
      <c r="H160" s="12" t="n">
        <v>4</v>
      </c>
      <c r="I160" s="12" t="inlineStr">
        <is>
          <t>25/10</t>
        </is>
      </c>
      <c r="J160" s="12" t="inlineStr">
        <is>
          <t>T-154</t>
        </is>
      </c>
      <c r="K160" s="12" t="inlineStr">
        <is>
          <t>To Do</t>
        </is>
      </c>
      <c r="L160" s="12" t="n"/>
      <c r="M160" s="12" t="n"/>
      <c r="N160" s="13" t="inlineStr">
        <is>
          <t>PR fusionado con sus pruebas automáticas en verde y el endpoint documentado</t>
        </is>
      </c>
      <c r="O160" s="12" t="n"/>
      <c r="P160" s="12" t="n"/>
      <c r="Q160" s="13" t="n"/>
      <c r="R160" s="12">
        <f>IF(AND(K160&lt;&gt;"To Do",L160&lt;&gt;"Sí"),"⚠ pasó a Doing sin DoR",IF(AND(K160="Done",O160&lt;&gt;"Sí"),"⚠ Done sin criterio cumplido",IF(AND(K160="Doing",COUNTIFS($G$6:$G$266,G160,$K$6:$K$266,"Doing",$E$6:$E$266,"&lt;&gt;Scrum")&gt;2,E160&lt;&gt;"Scrum"),"⚠ más de 2 en Doing","ok")))</f>
        <v/>
      </c>
      <c r="S160">
        <f>IF($K160="To Do",COUNTIF($K$6:$K160,"To Do"),"")</f>
        <v/>
      </c>
      <c r="T160">
        <f>IF($K160="Doing",COUNTIF($K$6:$K160,"Doing"),"")</f>
        <v/>
      </c>
      <c r="U160">
        <f>IF($K160="Done",COUNTIF($K$6:$K160,"Done"),"")</f>
        <v/>
      </c>
    </row>
    <row r="161" ht="42" customHeight="1">
      <c r="B161" s="12" t="inlineStr">
        <is>
          <t>T-156</t>
        </is>
      </c>
      <c r="C161" s="12" t="inlineStr">
        <is>
          <t>HU-35</t>
        </is>
      </c>
      <c r="D161" s="13" t="inlineStr">
        <is>
          <t>Recibir compras</t>
        </is>
      </c>
      <c r="E161" s="12" t="inlineStr">
        <is>
          <t>Front-end web</t>
        </is>
      </c>
      <c r="F161" s="13" t="inlineStr">
        <is>
          <t>Programar el registro de recepción en la web (pedido, recibido, pendiente)</t>
        </is>
      </c>
      <c r="G161" s="12" t="inlineStr">
        <is>
          <t>Fernando</t>
        </is>
      </c>
      <c r="H161" s="12" t="n">
        <v>4</v>
      </c>
      <c r="I161" s="12" t="inlineStr">
        <is>
          <t>26/10</t>
        </is>
      </c>
      <c r="J161" s="12" t="n"/>
      <c r="K161" s="12" t="inlineStr">
        <is>
          <t>Done</t>
        </is>
      </c>
      <c r="L161" s="12" t="inlineStr">
        <is>
          <t>Sí</t>
        </is>
      </c>
      <c r="M161" s="12" t="inlineStr">
        <is>
          <t>22/10/2026</t>
        </is>
      </c>
      <c r="N161" s="13" t="inlineStr">
        <is>
          <t>PR fusionado, build sin errores, modo claro/oscuro y escala 125 %</t>
        </is>
      </c>
      <c r="O161" s="12" t="inlineStr">
        <is>
          <t>Sí</t>
        </is>
      </c>
      <c r="P161" s="12" t="inlineStr">
        <is>
          <t>22/10/2026</t>
        </is>
      </c>
      <c r="Q161" s="13" t="inlineStr">
        <is>
          <t>Commit del 22/10 09:30 (datos simulados)</t>
        </is>
      </c>
      <c r="R161" s="12">
        <f>IF(AND(K161&lt;&gt;"To Do",L161&lt;&gt;"Sí"),"⚠ pasó a Doing sin DoR",IF(AND(K161="Done",O161&lt;&gt;"Sí"),"⚠ Done sin criterio cumplido",IF(AND(K161="Doing",COUNTIFS($G$6:$G$266,G161,$K$6:$K$266,"Doing",$E$6:$E$266,"&lt;&gt;Scrum")&gt;2,E161&lt;&gt;"Scrum"),"⚠ más de 2 en Doing","ok")))</f>
        <v/>
      </c>
      <c r="S161">
        <f>IF($K161="To Do",COUNTIF($K$6:$K161,"To Do"),"")</f>
        <v/>
      </c>
      <c r="T161">
        <f>IF($K161="Doing",COUNTIF($K$6:$K161,"Doing"),"")</f>
        <v/>
      </c>
      <c r="U161">
        <f>IF($K161="Done",COUNTIF($K$6:$K161,"Done"),"")</f>
        <v/>
      </c>
    </row>
    <row r="162" ht="42" customHeight="1">
      <c r="B162" s="12" t="inlineStr">
        <is>
          <t>T-157</t>
        </is>
      </c>
      <c r="C162" s="12" t="inlineStr">
        <is>
          <t>HU-35</t>
        </is>
      </c>
      <c r="D162" s="13" t="inlineStr">
        <is>
          <t>Recibir compras</t>
        </is>
      </c>
      <c r="E162" s="12" t="inlineStr">
        <is>
          <t>Front-end app</t>
        </is>
      </c>
      <c r="F162" s="13" t="inlineStr">
        <is>
          <t>Programar la recepción de compras en la app del almacenero</t>
        </is>
      </c>
      <c r="G162" s="12" t="inlineStr">
        <is>
          <t>Nicolás</t>
        </is>
      </c>
      <c r="H162" s="12" t="n">
        <v>4</v>
      </c>
      <c r="I162" s="12" t="inlineStr">
        <is>
          <t>26/10</t>
        </is>
      </c>
      <c r="J162" s="12" t="inlineStr">
        <is>
          <t>T-152, T-242</t>
        </is>
      </c>
      <c r="K162" s="12" t="inlineStr">
        <is>
          <t>To Do</t>
        </is>
      </c>
      <c r="L162" s="12" t="n"/>
      <c r="M162" s="12" t="n"/>
      <c r="N162" s="13" t="inlineStr">
        <is>
          <t>PR fusionado; lo que registra movimientos probado en modo avión</t>
        </is>
      </c>
      <c r="O162" s="12" t="n"/>
      <c r="P162" s="12" t="n"/>
      <c r="Q162" s="13" t="n"/>
      <c r="R162" s="12">
        <f>IF(AND(K162&lt;&gt;"To Do",L162&lt;&gt;"Sí"),"⚠ pasó a Doing sin DoR",IF(AND(K162="Done",O162&lt;&gt;"Sí"),"⚠ Done sin criterio cumplido",IF(AND(K162="Doing",COUNTIFS($G$6:$G$266,G162,$K$6:$K$266,"Doing",$E$6:$E$266,"&lt;&gt;Scrum")&gt;2,E162&lt;&gt;"Scrum"),"⚠ más de 2 en Doing","ok")))</f>
        <v/>
      </c>
      <c r="S162">
        <f>IF($K162="To Do",COUNTIF($K$6:$K162,"To Do"),"")</f>
        <v/>
      </c>
      <c r="T162">
        <f>IF($K162="Doing",COUNTIF($K$6:$K162,"Doing"),"")</f>
        <v/>
      </c>
      <c r="U162">
        <f>IF($K162="Done",COUNTIF($K$6:$K162,"Done"),"")</f>
        <v/>
      </c>
    </row>
    <row r="163" ht="42" customHeight="1">
      <c r="B163" s="12" t="inlineStr">
        <is>
          <t>T-158</t>
        </is>
      </c>
      <c r="C163" s="12" t="inlineStr">
        <is>
          <t>HU-35</t>
        </is>
      </c>
      <c r="D163" s="13" t="inlineStr">
        <is>
          <t>Recibir compras</t>
        </is>
      </c>
      <c r="E163" s="12" t="inlineStr">
        <is>
          <t>Conexión API</t>
        </is>
      </c>
      <c r="F163" s="13" t="inlineStr">
        <is>
          <t>Conectar la recepción con la API real</t>
        </is>
      </c>
      <c r="G163" s="12" t="inlineStr">
        <is>
          <t>Henry</t>
        </is>
      </c>
      <c r="H163" s="12" t="n">
        <v>4</v>
      </c>
      <c r="I163" s="12" t="inlineStr">
        <is>
          <t>26/10</t>
        </is>
      </c>
      <c r="J163" s="12" t="inlineStr">
        <is>
          <t>T-155, T-156, T-240</t>
        </is>
      </c>
      <c r="K163" s="12" t="inlineStr">
        <is>
          <t>To Do</t>
        </is>
      </c>
      <c r="L163" s="12" t="n"/>
      <c r="M163" s="12" t="n"/>
      <c r="N163" s="13" t="inlineStr">
        <is>
          <t>La pantalla muestra los datos reales del servidor y sus errores</t>
        </is>
      </c>
      <c r="O163" s="12" t="n"/>
      <c r="P163" s="12" t="n"/>
      <c r="Q163" s="13" t="n"/>
      <c r="R163" s="12">
        <f>IF(AND(K163&lt;&gt;"To Do",L163&lt;&gt;"Sí"),"⚠ pasó a Doing sin DoR",IF(AND(K163="Done",O163&lt;&gt;"Sí"),"⚠ Done sin criterio cumplido",IF(AND(K163="Doing",COUNTIFS($G$6:$G$266,G163,$K$6:$K$266,"Doing",$E$6:$E$266,"&lt;&gt;Scrum")&gt;2,E163&lt;&gt;"Scrum"),"⚠ más de 2 en Doing","ok")))</f>
        <v/>
      </c>
      <c r="S163">
        <f>IF($K163="To Do",COUNTIF($K$6:$K163,"To Do"),"")</f>
        <v/>
      </c>
      <c r="T163">
        <f>IF($K163="Doing",COUNTIF($K$6:$K163,"Doing"),"")</f>
        <v/>
      </c>
      <c r="U163">
        <f>IF($K163="Done",COUNTIF($K$6:$K163,"Done"),"")</f>
        <v/>
      </c>
    </row>
    <row r="164" ht="42" customHeight="1">
      <c r="B164" s="12" t="inlineStr">
        <is>
          <t>T-159</t>
        </is>
      </c>
      <c r="C164" s="12" t="inlineStr">
        <is>
          <t>HU-35</t>
        </is>
      </c>
      <c r="D164" s="13" t="inlineStr">
        <is>
          <t>Recibir compras</t>
        </is>
      </c>
      <c r="E164" s="12" t="inlineStr">
        <is>
          <t>Pruebas</t>
        </is>
      </c>
      <c r="F164" s="13" t="inlineStr">
        <is>
          <t>Probar la funcionalidad de HU-35 (la API con Postman, la pantalla web y la app en modo avión y al volver la señal) contra cada condición final y aprobar su PR</t>
        </is>
      </c>
      <c r="G164" s="12" t="inlineStr">
        <is>
          <t>Fernando</t>
        </is>
      </c>
      <c r="H164" s="12" t="n">
        <v>1</v>
      </c>
      <c r="I164" s="12" t="inlineStr">
        <is>
          <t>27/10</t>
        </is>
      </c>
      <c r="J164" s="12" t="inlineStr">
        <is>
          <t>T-154, T-155, T-156, T-157, T-158, T-233</t>
        </is>
      </c>
      <c r="K164" s="12" t="inlineStr">
        <is>
          <t>To Do</t>
        </is>
      </c>
      <c r="L164" s="12" t="n"/>
      <c r="M164" s="12" t="n"/>
      <c r="N164" s="13" t="inlineStr">
        <is>
          <t>Cada condición final verificada con Postman y en la interfaz; PR aprobado por alguien distinto del autor</t>
        </is>
      </c>
      <c r="O164" s="12" t="n"/>
      <c r="P164" s="12" t="n"/>
      <c r="Q164" s="13" t="n"/>
      <c r="R164" s="12">
        <f>IF(AND(K164&lt;&gt;"To Do",L164&lt;&gt;"Sí"),"⚠ pasó a Doing sin DoR",IF(AND(K164="Done",O164&lt;&gt;"Sí"),"⚠ Done sin criterio cumplido",IF(AND(K164="Doing",COUNTIFS($G$6:$G$266,G164,$K$6:$K$266,"Doing",$E$6:$E$266,"&lt;&gt;Scrum")&gt;2,E164&lt;&gt;"Scrum"),"⚠ más de 2 en Doing","ok")))</f>
        <v/>
      </c>
      <c r="S164">
        <f>IF($K164="To Do",COUNTIF($K$6:$K164,"To Do"),"")</f>
        <v/>
      </c>
      <c r="T164">
        <f>IF($K164="Doing",COUNTIF($K$6:$K164,"Doing"),"")</f>
        <v/>
      </c>
      <c r="U164">
        <f>IF($K164="Done",COUNTIF($K$6:$K164,"Done"),"")</f>
        <v/>
      </c>
    </row>
    <row r="165" ht="42" customHeight="1">
      <c r="B165" s="14" t="inlineStr">
        <is>
          <t>T-160</t>
        </is>
      </c>
      <c r="C165" s="14" t="inlineStr">
        <is>
          <t>HU-35</t>
        </is>
      </c>
      <c r="D165" s="15" t="inlineStr">
        <is>
          <t>Recibir compras</t>
        </is>
      </c>
      <c r="E165" s="14" t="inlineStr">
        <is>
          <t>Aceptación</t>
        </is>
      </c>
      <c r="F165" s="15" t="inlineStr">
        <is>
          <t>Aceptar HU-35 como Product Owner desde la interfaz y moverla a Done</t>
        </is>
      </c>
      <c r="G165" s="14" t="inlineStr">
        <is>
          <t>Adiel</t>
        </is>
      </c>
      <c r="H165" s="14" t="n">
        <v>0.5</v>
      </c>
      <c r="I165" s="14" t="inlineStr">
        <is>
          <t>27/10</t>
        </is>
      </c>
      <c r="J165" s="14" t="inlineStr">
        <is>
          <t>T-159</t>
        </is>
      </c>
      <c r="K165" s="14" t="inlineStr">
        <is>
          <t>To Do</t>
        </is>
      </c>
      <c r="L165" s="14" t="n"/>
      <c r="M165" s="14" t="n"/>
      <c r="N165" s="15" t="inlineStr">
        <is>
          <t>DoD T1–T10 + condiciones finales aceptadas por el PO → la HU pasa a Done</t>
        </is>
      </c>
      <c r="O165" s="14" t="n"/>
      <c r="P165" s="14" t="n"/>
      <c r="Q165" s="15" t="n"/>
      <c r="R165" s="14">
        <f>IF(AND(K165&lt;&gt;"To Do",L165&lt;&gt;"Sí"),"⚠ pasó a Doing sin DoR",IF(AND(K165="Done",O165&lt;&gt;"Sí"),"⚠ Done sin criterio cumplido",IF(AND(K165="Doing",COUNTIFS($G$6:$G$266,G165,$K$6:$K$266,"Doing",$E$6:$E$266,"&lt;&gt;Scrum")&gt;2,E165&lt;&gt;"Scrum"),"⚠ más de 2 en Doing","ok")))</f>
        <v/>
      </c>
      <c r="S165">
        <f>IF($K165="To Do",COUNTIF($K$6:$K165,"To Do"),"")</f>
        <v/>
      </c>
      <c r="T165">
        <f>IF($K165="Doing",COUNTIF($K$6:$K165,"Doing"),"")</f>
        <v/>
      </c>
      <c r="U165">
        <f>IF($K165="Done",COUNTIF($K$6:$K165,"Done"),"")</f>
        <v/>
      </c>
    </row>
    <row r="166" ht="42" customHeight="1">
      <c r="B166" s="12" t="inlineStr">
        <is>
          <t>T-161</t>
        </is>
      </c>
      <c r="C166" s="12" t="inlineStr">
        <is>
          <t>HU-37</t>
        </is>
      </c>
      <c r="D166" s="13" t="inlineStr">
        <is>
          <t>Registrar sin señal</t>
        </is>
      </c>
      <c r="E166" s="12" t="inlineStr">
        <is>
          <t>Diseño UI</t>
        </is>
      </c>
      <c r="F166" s="13" t="inlineStr">
        <is>
          <t>Diseñar la interfaz de usuario de HU-37: pantalla 3 · Salida y 4 · Ingreso (banda sin señal)</t>
        </is>
      </c>
      <c r="G166" s="12" t="inlineStr">
        <is>
          <t>Fernando</t>
        </is>
      </c>
      <c r="H166" s="12" t="n">
        <v>1</v>
      </c>
      <c r="I166" s="12" t="inlineStr">
        <is>
          <t>23/10</t>
        </is>
      </c>
      <c r="J166" s="12" t="n"/>
      <c r="K166" s="12" t="inlineStr">
        <is>
          <t>Done</t>
        </is>
      </c>
      <c r="L166" s="12" t="inlineStr">
        <is>
          <t>Sí</t>
        </is>
      </c>
      <c r="M166" s="12" t="inlineStr">
        <is>
          <t>22/10/2026</t>
        </is>
      </c>
      <c r="N166" s="13" t="inlineStr">
        <is>
          <t>Mockup en el lienzo, revisado por el equipo</t>
        </is>
      </c>
      <c r="O166" s="12" t="inlineStr">
        <is>
          <t>Sí</t>
        </is>
      </c>
      <c r="P166" s="12" t="inlineStr">
        <is>
          <t>22/10/2026</t>
        </is>
      </c>
      <c r="Q166" s="13" t="inlineStr">
        <is>
          <t>Lienzo «SIGRO · Pantallas y diagramas del Sprint 1»</t>
        </is>
      </c>
      <c r="R166" s="12">
        <f>IF(AND(K166&lt;&gt;"To Do",L166&lt;&gt;"Sí"),"⚠ pasó a Doing sin DoR",IF(AND(K166="Done",O166&lt;&gt;"Sí"),"⚠ Done sin criterio cumplido",IF(AND(K166="Doing",COUNTIFS($G$6:$G$266,G166,$K$6:$K$266,"Doing",$E$6:$E$266,"&lt;&gt;Scrum")&gt;2,E166&lt;&gt;"Scrum"),"⚠ más de 2 en Doing","ok")))</f>
        <v/>
      </c>
      <c r="S166">
        <f>IF($K166="To Do",COUNTIF($K$6:$K166,"To Do"),"")</f>
        <v/>
      </c>
      <c r="T166">
        <f>IF($K166="Doing",COUNTIF($K$6:$K166,"Doing"),"")</f>
        <v/>
      </c>
      <c r="U166">
        <f>IF($K166="Done",COUNTIF($K$6:$K166,"Done"),"")</f>
        <v/>
      </c>
    </row>
    <row r="167" ht="42" customHeight="1">
      <c r="B167" s="12" t="inlineStr">
        <is>
          <t>T-162</t>
        </is>
      </c>
      <c r="C167" s="12" t="inlineStr">
        <is>
          <t>HU-37</t>
        </is>
      </c>
      <c r="D167" s="13" t="inlineStr">
        <is>
          <t>Registrar sin señal</t>
        </is>
      </c>
      <c r="E167" s="12" t="inlineStr">
        <is>
          <t>Modelado UML</t>
        </is>
      </c>
      <c r="F167" s="13" t="inlineStr">
        <is>
          <t>Modelar la funcionalidad de HU-37 con el diagrama UML de secuencia de la salida sin señal y su sincronización</t>
        </is>
      </c>
      <c r="G167" s="12" t="inlineStr">
        <is>
          <t>Fernando</t>
        </is>
      </c>
      <c r="H167" s="12" t="n">
        <v>1</v>
      </c>
      <c r="I167" s="12" t="inlineStr">
        <is>
          <t>24/10</t>
        </is>
      </c>
      <c r="J167" s="12" t="n"/>
      <c r="K167" s="12" t="inlineStr">
        <is>
          <t>Done</t>
        </is>
      </c>
      <c r="L167" s="12" t="inlineStr">
        <is>
          <t>Sí</t>
        </is>
      </c>
      <c r="M167" s="12" t="inlineStr">
        <is>
          <t>22/10/2026</t>
        </is>
      </c>
      <c r="N167" s="13" t="inlineStr">
        <is>
          <t>Diagrama publicado en el repo o el lienzo</t>
        </is>
      </c>
      <c r="O167" s="12" t="inlineStr">
        <is>
          <t>Sí</t>
        </is>
      </c>
      <c r="P167" s="12" t="inlineStr">
        <is>
          <t>22/10/2026</t>
        </is>
      </c>
      <c r="Q167" s="13" t="inlineStr">
        <is>
          <t>Lienzo del Sprint 1</t>
        </is>
      </c>
      <c r="R167" s="12">
        <f>IF(AND(K167&lt;&gt;"To Do",L167&lt;&gt;"Sí"),"⚠ pasó a Doing sin DoR",IF(AND(K167="Done",O167&lt;&gt;"Sí"),"⚠ Done sin criterio cumplido",IF(AND(K167="Doing",COUNTIFS($G$6:$G$266,G167,$K$6:$K$266,"Doing",$E$6:$E$266,"&lt;&gt;Scrum")&gt;2,E167&lt;&gt;"Scrum"),"⚠ más de 2 en Doing","ok")))</f>
        <v/>
      </c>
      <c r="S167">
        <f>IF($K167="To Do",COUNTIF($K$6:$K167,"To Do"),"")</f>
        <v/>
      </c>
      <c r="T167">
        <f>IF($K167="Doing",COUNTIF($K$6:$K167,"Doing"),"")</f>
        <v/>
      </c>
      <c r="U167">
        <f>IF($K167="Done",COUNTIF($K$6:$K167,"Done"),"")</f>
        <v/>
      </c>
    </row>
    <row r="168" ht="42" customHeight="1">
      <c r="B168" s="12" t="inlineStr">
        <is>
          <t>T-163</t>
        </is>
      </c>
      <c r="C168" s="12" t="inlineStr">
        <is>
          <t>HU-37</t>
        </is>
      </c>
      <c r="D168" s="13" t="inlineStr">
        <is>
          <t>Registrar sin señal</t>
        </is>
      </c>
      <c r="E168" s="12" t="inlineStr">
        <is>
          <t>Base de datos</t>
        </is>
      </c>
      <c r="F168" s="13" t="inlineStr">
        <is>
          <t>Implementar las tablas asociadas a HU-37: cola local en Room (movimiento_pendiente) en el celular</t>
        </is>
      </c>
      <c r="G168" s="12" t="inlineStr">
        <is>
          <t>Nicolás</t>
        </is>
      </c>
      <c r="H168" s="12" t="n">
        <v>1</v>
      </c>
      <c r="I168" s="12" t="inlineStr">
        <is>
          <t>24/10</t>
        </is>
      </c>
      <c r="J168" s="12" t="inlineStr">
        <is>
          <t>T-162</t>
        </is>
      </c>
      <c r="K168" s="12" t="inlineStr">
        <is>
          <t>To Do</t>
        </is>
      </c>
      <c r="L168" s="12" t="n"/>
      <c r="M168" s="12" t="n"/>
      <c r="N168" s="13" t="inlineStr">
        <is>
          <t>Migración fusionada, corre en base limpia y con datos, y se revierte</t>
        </is>
      </c>
      <c r="O168" s="12" t="n"/>
      <c r="P168" s="12" t="n"/>
      <c r="Q168" s="13" t="n"/>
      <c r="R168" s="12">
        <f>IF(AND(K168&lt;&gt;"To Do",L168&lt;&gt;"Sí"),"⚠ pasó a Doing sin DoR",IF(AND(K168="Done",O168&lt;&gt;"Sí"),"⚠ Done sin criterio cumplido",IF(AND(K168="Doing",COUNTIFS($G$6:$G$266,G168,$K$6:$K$266,"Doing",$E$6:$E$266,"&lt;&gt;Scrum")&gt;2,E168&lt;&gt;"Scrum"),"⚠ más de 2 en Doing","ok")))</f>
        <v/>
      </c>
      <c r="S168">
        <f>IF($K168="To Do",COUNTIF($K$6:$K168,"To Do"),"")</f>
        <v/>
      </c>
      <c r="T168">
        <f>IF($K168="Doing",COUNTIF($K$6:$K168,"Doing"),"")</f>
        <v/>
      </c>
      <c r="U168">
        <f>IF($K168="Done",COUNTIF($K$6:$K168,"Done"),"")</f>
        <v/>
      </c>
    </row>
    <row r="169" ht="42" customHeight="1">
      <c r="B169" s="12" t="inlineStr">
        <is>
          <t>T-164</t>
        </is>
      </c>
      <c r="C169" s="12" t="inlineStr">
        <is>
          <t>HU-37</t>
        </is>
      </c>
      <c r="D169" s="13" t="inlineStr">
        <is>
          <t>Registrar sin señal</t>
        </is>
      </c>
      <c r="E169" s="12" t="inlineStr">
        <is>
          <t>Front-end app</t>
        </is>
      </c>
      <c r="F169" s="13" t="inlineStr">
        <is>
          <t>Programar la cola local (Room) con uuid_cliente y hora del celular, y mostrar «pendiente de enviar» en cada movimiento</t>
        </is>
      </c>
      <c r="G169" s="12" t="inlineStr">
        <is>
          <t>Nicolás</t>
        </is>
      </c>
      <c r="H169" s="12" t="n">
        <v>14</v>
      </c>
      <c r="I169" s="12" t="inlineStr">
        <is>
          <t>26/10</t>
        </is>
      </c>
      <c r="J169" s="12" t="inlineStr">
        <is>
          <t>T-161, T-242</t>
        </is>
      </c>
      <c r="K169" s="12" t="inlineStr">
        <is>
          <t>To Do</t>
        </is>
      </c>
      <c r="L169" s="12" t="n"/>
      <c r="M169" s="12" t="n"/>
      <c r="N169" s="13" t="inlineStr">
        <is>
          <t>PR fusionado; lo que registra movimientos probado en modo avión</t>
        </is>
      </c>
      <c r="O169" s="12" t="n"/>
      <c r="P169" s="12" t="n"/>
      <c r="Q169" s="13" t="n"/>
      <c r="R169" s="12">
        <f>IF(AND(K169&lt;&gt;"To Do",L169&lt;&gt;"Sí"),"⚠ pasó a Doing sin DoR",IF(AND(K169="Done",O169&lt;&gt;"Sí"),"⚠ Done sin criterio cumplido",IF(AND(K169="Doing",COUNTIFS($G$6:$G$266,G169,$K$6:$K$266,"Doing",$E$6:$E$266,"&lt;&gt;Scrum")&gt;2,E169&lt;&gt;"Scrum"),"⚠ más de 2 en Doing","ok")))</f>
        <v/>
      </c>
      <c r="S169">
        <f>IF($K169="To Do",COUNTIF($K$6:$K169,"To Do"),"")</f>
        <v/>
      </c>
      <c r="T169">
        <f>IF($K169="Doing",COUNTIF($K$6:$K169,"Doing"),"")</f>
        <v/>
      </c>
      <c r="U169">
        <f>IF($K169="Done",COUNTIF($K$6:$K169,"Done"),"")</f>
        <v/>
      </c>
    </row>
    <row r="170" ht="42" customHeight="1">
      <c r="B170" s="12" t="inlineStr">
        <is>
          <t>T-165</t>
        </is>
      </c>
      <c r="C170" s="12" t="inlineStr">
        <is>
          <t>HU-37</t>
        </is>
      </c>
      <c r="D170" s="13" t="inlineStr">
        <is>
          <t>Registrar sin señal</t>
        </is>
      </c>
      <c r="E170" s="12" t="inlineStr">
        <is>
          <t>Pruebas</t>
        </is>
      </c>
      <c r="F170" s="13" t="inlineStr">
        <is>
          <t>Probar la funcionalidad de HU-37 (la app en modo avión y al volver la señal) contra cada condición final y aprobar su PR</t>
        </is>
      </c>
      <c r="G170" s="12" t="inlineStr">
        <is>
          <t>Henry</t>
        </is>
      </c>
      <c r="H170" s="12" t="n">
        <v>1</v>
      </c>
      <c r="I170" s="12" t="inlineStr">
        <is>
          <t>27/10</t>
        </is>
      </c>
      <c r="J170" s="12" t="inlineStr">
        <is>
          <t>T-163, T-164, T-233</t>
        </is>
      </c>
      <c r="K170" s="12" t="inlineStr">
        <is>
          <t>To Do</t>
        </is>
      </c>
      <c r="L170" s="12" t="n"/>
      <c r="M170" s="12" t="n"/>
      <c r="N170" s="13" t="inlineStr">
        <is>
          <t>Cada condición final verificada con Postman y en la interfaz; PR aprobado por alguien distinto del autor</t>
        </is>
      </c>
      <c r="O170" s="12" t="n"/>
      <c r="P170" s="12" t="n"/>
      <c r="Q170" s="13" t="n"/>
      <c r="R170" s="12">
        <f>IF(AND(K170&lt;&gt;"To Do",L170&lt;&gt;"Sí"),"⚠ pasó a Doing sin DoR",IF(AND(K170="Done",O170&lt;&gt;"Sí"),"⚠ Done sin criterio cumplido",IF(AND(K170="Doing",COUNTIFS($G$6:$G$266,G170,$K$6:$K$266,"Doing",$E$6:$E$266,"&lt;&gt;Scrum")&gt;2,E170&lt;&gt;"Scrum"),"⚠ más de 2 en Doing","ok")))</f>
        <v/>
      </c>
      <c r="S170">
        <f>IF($K170="To Do",COUNTIF($K$6:$K170,"To Do"),"")</f>
        <v/>
      </c>
      <c r="T170">
        <f>IF($K170="Doing",COUNTIF($K$6:$K170,"Doing"),"")</f>
        <v/>
      </c>
      <c r="U170">
        <f>IF($K170="Done",COUNTIF($K$6:$K170,"Done"),"")</f>
        <v/>
      </c>
    </row>
    <row r="171" ht="42" customHeight="1">
      <c r="B171" s="14" t="inlineStr">
        <is>
          <t>T-166</t>
        </is>
      </c>
      <c r="C171" s="14" t="inlineStr">
        <is>
          <t>HU-37</t>
        </is>
      </c>
      <c r="D171" s="15" t="inlineStr">
        <is>
          <t>Registrar sin señal</t>
        </is>
      </c>
      <c r="E171" s="14" t="inlineStr">
        <is>
          <t>Aceptación</t>
        </is>
      </c>
      <c r="F171" s="15" t="inlineStr">
        <is>
          <t>Aceptar HU-37 como Product Owner desde la interfaz y moverla a Done</t>
        </is>
      </c>
      <c r="G171" s="14" t="inlineStr">
        <is>
          <t>Adiel</t>
        </is>
      </c>
      <c r="H171" s="14" t="n">
        <v>0.5</v>
      </c>
      <c r="I171" s="14" t="inlineStr">
        <is>
          <t>27/10</t>
        </is>
      </c>
      <c r="J171" s="14" t="inlineStr">
        <is>
          <t>T-165</t>
        </is>
      </c>
      <c r="K171" s="14" t="inlineStr">
        <is>
          <t>To Do</t>
        </is>
      </c>
      <c r="L171" s="14" t="n"/>
      <c r="M171" s="14" t="n"/>
      <c r="N171" s="15" t="inlineStr">
        <is>
          <t>DoD T1–T10 + condiciones finales aceptadas por el PO → la HU pasa a Done</t>
        </is>
      </c>
      <c r="O171" s="14" t="n"/>
      <c r="P171" s="14" t="n"/>
      <c r="Q171" s="15" t="n"/>
      <c r="R171" s="14">
        <f>IF(AND(K171&lt;&gt;"To Do",L171&lt;&gt;"Sí"),"⚠ pasó a Doing sin DoR",IF(AND(K171="Done",O171&lt;&gt;"Sí"),"⚠ Done sin criterio cumplido",IF(AND(K171="Doing",COUNTIFS($G$6:$G$266,G171,$K$6:$K$266,"Doing",$E$6:$E$266,"&lt;&gt;Scrum")&gt;2,E171&lt;&gt;"Scrum"),"⚠ más de 2 en Doing","ok")))</f>
        <v/>
      </c>
      <c r="S171">
        <f>IF($K171="To Do",COUNTIF($K$6:$K171,"To Do"),"")</f>
        <v/>
      </c>
      <c r="T171">
        <f>IF($K171="Doing",COUNTIF($K$6:$K171,"Doing"),"")</f>
        <v/>
      </c>
      <c r="U171">
        <f>IF($K171="Done",COUNTIF($K$6:$K171,"Done"),"")</f>
        <v/>
      </c>
    </row>
    <row r="172" ht="42" customHeight="1">
      <c r="B172" s="12" t="inlineStr">
        <is>
          <t>T-167</t>
        </is>
      </c>
      <c r="C172" s="12" t="inlineStr">
        <is>
          <t>HU-38</t>
        </is>
      </c>
      <c r="D172" s="13" t="inlineStr">
        <is>
          <t>Sincronizar pendientes</t>
        </is>
      </c>
      <c r="E172" s="12" t="inlineStr">
        <is>
          <t>Diseño UI</t>
        </is>
      </c>
      <c r="F172" s="13" t="inlineStr">
        <is>
          <t>Diseñar la interfaz de usuario de HU-38: pantalla 8b · Envíos pendientes y 2 · Mis obras</t>
        </is>
      </c>
      <c r="G172" s="12" t="inlineStr">
        <is>
          <t>Fernando</t>
        </is>
      </c>
      <c r="H172" s="12" t="n">
        <v>1</v>
      </c>
      <c r="I172" s="12" t="inlineStr">
        <is>
          <t>23/10</t>
        </is>
      </c>
      <c r="J172" s="12" t="n"/>
      <c r="K172" s="12" t="inlineStr">
        <is>
          <t>Done</t>
        </is>
      </c>
      <c r="L172" s="12" t="inlineStr">
        <is>
          <t>Sí</t>
        </is>
      </c>
      <c r="M172" s="12" t="inlineStr">
        <is>
          <t>22/10/2026</t>
        </is>
      </c>
      <c r="N172" s="13" t="inlineStr">
        <is>
          <t>Mockup en el lienzo, revisado por el equipo</t>
        </is>
      </c>
      <c r="O172" s="12" t="inlineStr">
        <is>
          <t>Sí</t>
        </is>
      </c>
      <c r="P172" s="12" t="inlineStr">
        <is>
          <t>22/10/2026</t>
        </is>
      </c>
      <c r="Q172" s="13" t="inlineStr">
        <is>
          <t>Lienzo «SIGRO · Pantallas y diagramas del Sprint 1»</t>
        </is>
      </c>
      <c r="R172" s="12">
        <f>IF(AND(K172&lt;&gt;"To Do",L172&lt;&gt;"Sí"),"⚠ pasó a Doing sin DoR",IF(AND(K172="Done",O172&lt;&gt;"Sí"),"⚠ Done sin criterio cumplido",IF(AND(K172="Doing",COUNTIFS($G$6:$G$266,G172,$K$6:$K$266,"Doing",$E$6:$E$266,"&lt;&gt;Scrum")&gt;2,E172&lt;&gt;"Scrum"),"⚠ más de 2 en Doing","ok")))</f>
        <v/>
      </c>
      <c r="S172">
        <f>IF($K172="To Do",COUNTIF($K$6:$K172,"To Do"),"")</f>
        <v/>
      </c>
      <c r="T172">
        <f>IF($K172="Doing",COUNTIF($K$6:$K172,"Doing"),"")</f>
        <v/>
      </c>
      <c r="U172">
        <f>IF($K172="Done",COUNTIF($K$6:$K172,"Done"),"")</f>
        <v/>
      </c>
    </row>
    <row r="173" ht="42" customHeight="1">
      <c r="B173" s="12" t="inlineStr">
        <is>
          <t>T-168</t>
        </is>
      </c>
      <c r="C173" s="12" t="inlineStr">
        <is>
          <t>HU-38</t>
        </is>
      </c>
      <c r="D173" s="13" t="inlineStr">
        <is>
          <t>Sincronizar pendientes</t>
        </is>
      </c>
      <c r="E173" s="12" t="inlineStr">
        <is>
          <t>Modelado UML</t>
        </is>
      </c>
      <c r="F173" s="13" t="inlineStr">
        <is>
          <t>Modelar la funcionalidad de HU-38 con el diagrama UML de secuencia de la salida sin señal y su sincronización</t>
        </is>
      </c>
      <c r="G173" s="12" t="inlineStr">
        <is>
          <t>Fernando</t>
        </is>
      </c>
      <c r="H173" s="12" t="n">
        <v>1</v>
      </c>
      <c r="I173" s="12" t="inlineStr">
        <is>
          <t>24/10</t>
        </is>
      </c>
      <c r="J173" s="12" t="n"/>
      <c r="K173" s="12" t="inlineStr">
        <is>
          <t>Done</t>
        </is>
      </c>
      <c r="L173" s="12" t="inlineStr">
        <is>
          <t>Sí</t>
        </is>
      </c>
      <c r="M173" s="12" t="inlineStr">
        <is>
          <t>22/10/2026</t>
        </is>
      </c>
      <c r="N173" s="13" t="inlineStr">
        <is>
          <t>Diagrama publicado en el repo o el lienzo</t>
        </is>
      </c>
      <c r="O173" s="12" t="inlineStr">
        <is>
          <t>Sí</t>
        </is>
      </c>
      <c r="P173" s="12" t="inlineStr">
        <is>
          <t>22/10/2026</t>
        </is>
      </c>
      <c r="Q173" s="13" t="inlineStr">
        <is>
          <t>Lienzo del Sprint 1</t>
        </is>
      </c>
      <c r="R173" s="12">
        <f>IF(AND(K173&lt;&gt;"To Do",L173&lt;&gt;"Sí"),"⚠ pasó a Doing sin DoR",IF(AND(K173="Done",O173&lt;&gt;"Sí"),"⚠ Done sin criterio cumplido",IF(AND(K173="Doing",COUNTIFS($G$6:$G$266,G173,$K$6:$K$266,"Doing",$E$6:$E$266,"&lt;&gt;Scrum")&gt;2,E173&lt;&gt;"Scrum"),"⚠ más de 2 en Doing","ok")))</f>
        <v/>
      </c>
      <c r="S173">
        <f>IF($K173="To Do",COUNTIF($K$6:$K173,"To Do"),"")</f>
        <v/>
      </c>
      <c r="T173">
        <f>IF($K173="Doing",COUNTIF($K$6:$K173,"Doing"),"")</f>
        <v/>
      </c>
      <c r="U173">
        <f>IF($K173="Done",COUNTIF($K$6:$K173,"Done"),"")</f>
        <v/>
      </c>
    </row>
    <row r="174" ht="42" customHeight="1">
      <c r="B174" s="12" t="inlineStr">
        <is>
          <t>T-169</t>
        </is>
      </c>
      <c r="C174" s="12" t="inlineStr">
        <is>
          <t>HU-38</t>
        </is>
      </c>
      <c r="D174" s="13" t="inlineStr">
        <is>
          <t>Sincronizar pendientes</t>
        </is>
      </c>
      <c r="E174" s="12" t="inlineStr">
        <is>
          <t>Base de datos</t>
        </is>
      </c>
      <c r="F174" s="13" t="inlineStr">
        <is>
          <t>Implementar las tablas asociadas a HU-38: movimiento.uuid_cliente UNIQUE</t>
        </is>
      </c>
      <c r="G174" s="12" t="inlineStr">
        <is>
          <t>Adiel</t>
        </is>
      </c>
      <c r="H174" s="12" t="n">
        <v>1</v>
      </c>
      <c r="I174" s="12" t="inlineStr">
        <is>
          <t>24/10</t>
        </is>
      </c>
      <c r="J174" s="12" t="inlineStr">
        <is>
          <t>T-168</t>
        </is>
      </c>
      <c r="K174" s="12" t="inlineStr">
        <is>
          <t>To Do</t>
        </is>
      </c>
      <c r="L174" s="12" t="n"/>
      <c r="M174" s="12" t="n"/>
      <c r="N174" s="13" t="inlineStr">
        <is>
          <t>Migración fusionada, corre en base limpia y con datos, y se revierte</t>
        </is>
      </c>
      <c r="O174" s="12" t="n"/>
      <c r="P174" s="12" t="n"/>
      <c r="Q174" s="13" t="n"/>
      <c r="R174" s="12">
        <f>IF(AND(K174&lt;&gt;"To Do",L174&lt;&gt;"Sí"),"⚠ pasó a Doing sin DoR",IF(AND(K174="Done",O174&lt;&gt;"Sí"),"⚠ Done sin criterio cumplido",IF(AND(K174="Doing",COUNTIFS($G$6:$G$266,G174,$K$6:$K$266,"Doing",$E$6:$E$266,"&lt;&gt;Scrum")&gt;2,E174&lt;&gt;"Scrum"),"⚠ más de 2 en Doing","ok")))</f>
        <v/>
      </c>
      <c r="S174">
        <f>IF($K174="To Do",COUNTIF($K$6:$K174,"To Do"),"")</f>
        <v/>
      </c>
      <c r="T174">
        <f>IF($K174="Doing",COUNTIF($K$6:$K174,"Doing"),"")</f>
        <v/>
      </c>
      <c r="U174">
        <f>IF($K174="Done",COUNTIF($K$6:$K174,"Done"),"")</f>
        <v/>
      </c>
    </row>
    <row r="175" ht="42" customHeight="1">
      <c r="B175" s="12" t="inlineStr">
        <is>
          <t>T-170</t>
        </is>
      </c>
      <c r="C175" s="12" t="inlineStr">
        <is>
          <t>HU-38</t>
        </is>
      </c>
      <c r="D175" s="13" t="inlineStr">
        <is>
          <t>Sincronizar pendientes</t>
        </is>
      </c>
      <c r="E175" s="12" t="inlineStr">
        <is>
          <t>Backend</t>
        </is>
      </c>
      <c r="F175" s="13" t="inlineStr">
        <is>
          <t>Programar el back-end de HU-38 (entidad, repositorio, servicio y controlador): la idempotencia por uuid_cliente y devolver el motivo del rechazo</t>
        </is>
      </c>
      <c r="G175" s="12" t="inlineStr">
        <is>
          <t>Adiel</t>
        </is>
      </c>
      <c r="H175" s="12" t="n">
        <v>4</v>
      </c>
      <c r="I175" s="12" t="inlineStr">
        <is>
          <t>25/10</t>
        </is>
      </c>
      <c r="J175" s="12" t="inlineStr">
        <is>
          <t>T-169</t>
        </is>
      </c>
      <c r="K175" s="12" t="inlineStr">
        <is>
          <t>To Do</t>
        </is>
      </c>
      <c r="L175" s="12" t="n"/>
      <c r="M175" s="12" t="n"/>
      <c r="N175" s="13" t="inlineStr">
        <is>
          <t>PR fusionado con sus pruebas automáticas en verde y el endpoint documentado</t>
        </is>
      </c>
      <c r="O175" s="12" t="n"/>
      <c r="P175" s="12" t="n"/>
      <c r="Q175" s="13" t="n"/>
      <c r="R175" s="12">
        <f>IF(AND(K175&lt;&gt;"To Do",L175&lt;&gt;"Sí"),"⚠ pasó a Doing sin DoR",IF(AND(K175="Done",O175&lt;&gt;"Sí"),"⚠ Done sin criterio cumplido",IF(AND(K175="Doing",COUNTIFS($G$6:$G$266,G175,$K$6:$K$266,"Doing",$E$6:$E$266,"&lt;&gt;Scrum")&gt;2,E175&lt;&gt;"Scrum"),"⚠ más de 2 en Doing","ok")))</f>
        <v/>
      </c>
      <c r="S175">
        <f>IF($K175="To Do",COUNTIF($K$6:$K175,"To Do"),"")</f>
        <v/>
      </c>
      <c r="T175">
        <f>IF($K175="Doing",COUNTIF($K$6:$K175,"Doing"),"")</f>
        <v/>
      </c>
      <c r="U175">
        <f>IF($K175="Done",COUNTIF($K$6:$K175,"Done"),"")</f>
        <v/>
      </c>
    </row>
    <row r="176" ht="42" customHeight="1">
      <c r="B176" s="12" t="inlineStr">
        <is>
          <t>T-171</t>
        </is>
      </c>
      <c r="C176" s="12" t="inlineStr">
        <is>
          <t>HU-38</t>
        </is>
      </c>
      <c r="D176" s="13" t="inlineStr">
        <is>
          <t>Sincronizar pendientes</t>
        </is>
      </c>
      <c r="E176" s="12" t="inlineStr">
        <is>
          <t>Triggers y funciones</t>
        </is>
      </c>
      <c r="F176" s="13" t="inlineStr">
        <is>
          <t>Implementar el índice único de uuid_cliente que vuelve idempotente el reenvío (HU-38)</t>
        </is>
      </c>
      <c r="G176" s="12" t="inlineStr">
        <is>
          <t>Adiel</t>
        </is>
      </c>
      <c r="H176" s="12" t="n">
        <v>1</v>
      </c>
      <c r="I176" s="12" t="inlineStr">
        <is>
          <t>25/10</t>
        </is>
      </c>
      <c r="J176" s="12" t="inlineStr">
        <is>
          <t>T-169</t>
        </is>
      </c>
      <c r="K176" s="12" t="inlineStr">
        <is>
          <t>To Do</t>
        </is>
      </c>
      <c r="L176" s="12" t="n"/>
      <c r="M176" s="12" t="n"/>
      <c r="N176" s="13" t="inlineStr">
        <is>
          <t>Regla en la base con su prueba, en un PR fusionado</t>
        </is>
      </c>
      <c r="O176" s="12" t="n"/>
      <c r="P176" s="12" t="n"/>
      <c r="Q176" s="13" t="n"/>
      <c r="R176" s="12">
        <f>IF(AND(K176&lt;&gt;"To Do",L176&lt;&gt;"Sí"),"⚠ pasó a Doing sin DoR",IF(AND(K176="Done",O176&lt;&gt;"Sí"),"⚠ Done sin criterio cumplido",IF(AND(K176="Doing",COUNTIFS($G$6:$G$266,G176,$K$6:$K$266,"Doing",$E$6:$E$266,"&lt;&gt;Scrum")&gt;2,E176&lt;&gt;"Scrum"),"⚠ más de 2 en Doing","ok")))</f>
        <v/>
      </c>
      <c r="S176">
        <f>IF($K176="To Do",COUNTIF($K$6:$K176,"To Do"),"")</f>
        <v/>
      </c>
      <c r="T176">
        <f>IF($K176="Doing",COUNTIF($K$6:$K176,"Doing"),"")</f>
        <v/>
      </c>
      <c r="U176">
        <f>IF($K176="Done",COUNTIF($K$6:$K176,"Done"),"")</f>
        <v/>
      </c>
    </row>
    <row r="177" ht="42" customHeight="1">
      <c r="B177" s="12" t="inlineStr">
        <is>
          <t>T-172</t>
        </is>
      </c>
      <c r="C177" s="12" t="inlineStr">
        <is>
          <t>HU-38</t>
        </is>
      </c>
      <c r="D177" s="13" t="inlineStr">
        <is>
          <t>Sincronizar pendientes</t>
        </is>
      </c>
      <c r="E177" s="12" t="inlineStr">
        <is>
          <t>Front-end app</t>
        </is>
      </c>
      <c r="F177" s="13" t="inlineStr">
        <is>
          <t>Programar el envío automático de pendientes al volver la señal (WorkManager)</t>
        </is>
      </c>
      <c r="G177" s="12" t="inlineStr">
        <is>
          <t>Nicolás</t>
        </is>
      </c>
      <c r="H177" s="12" t="n">
        <v>4</v>
      </c>
      <c r="I177" s="12" t="inlineStr">
        <is>
          <t>26/10</t>
        </is>
      </c>
      <c r="J177" s="12" t="inlineStr">
        <is>
          <t>T-167, T-242</t>
        </is>
      </c>
      <c r="K177" s="12" t="inlineStr">
        <is>
          <t>To Do</t>
        </is>
      </c>
      <c r="L177" s="12" t="n"/>
      <c r="M177" s="12" t="n"/>
      <c r="N177" s="13" t="inlineStr">
        <is>
          <t>PR fusionado; lo que registra movimientos probado en modo avión</t>
        </is>
      </c>
      <c r="O177" s="12" t="n"/>
      <c r="P177" s="12" t="n"/>
      <c r="Q177" s="13" t="n"/>
      <c r="R177" s="12">
        <f>IF(AND(K177&lt;&gt;"To Do",L177&lt;&gt;"Sí"),"⚠ pasó a Doing sin DoR",IF(AND(K177="Done",O177&lt;&gt;"Sí"),"⚠ Done sin criterio cumplido",IF(AND(K177="Doing",COUNTIFS($G$6:$G$266,G177,$K$6:$K$266,"Doing",$E$6:$E$266,"&lt;&gt;Scrum")&gt;2,E177&lt;&gt;"Scrum"),"⚠ más de 2 en Doing","ok")))</f>
        <v/>
      </c>
      <c r="S177">
        <f>IF($K177="To Do",COUNTIF($K$6:$K177,"To Do"),"")</f>
        <v/>
      </c>
      <c r="T177">
        <f>IF($K177="Doing",COUNTIF($K$6:$K177,"Doing"),"")</f>
        <v/>
      </c>
      <c r="U177">
        <f>IF($K177="Done",COUNTIF($K$6:$K177,"Done"),"")</f>
        <v/>
      </c>
    </row>
    <row r="178" ht="42" customHeight="1">
      <c r="B178" s="12" t="inlineStr">
        <is>
          <t>T-173</t>
        </is>
      </c>
      <c r="C178" s="12" t="inlineStr">
        <is>
          <t>HU-38</t>
        </is>
      </c>
      <c r="D178" s="13" t="inlineStr">
        <is>
          <t>Sincronizar pendientes</t>
        </is>
      </c>
      <c r="E178" s="12" t="inlineStr">
        <is>
          <t>Pruebas</t>
        </is>
      </c>
      <c r="F178" s="13" t="inlineStr">
        <is>
          <t>Probar la funcionalidad de HU-38 (la API con Postman y la app en modo avión y al volver la señal) contra cada condición final y aprobar su PR</t>
        </is>
      </c>
      <c r="G178" s="12" t="inlineStr">
        <is>
          <t>Henry</t>
        </is>
      </c>
      <c r="H178" s="12" t="n">
        <v>1</v>
      </c>
      <c r="I178" s="12" t="inlineStr">
        <is>
          <t>27/10</t>
        </is>
      </c>
      <c r="J178" s="12" t="inlineStr">
        <is>
          <t>T-169, T-170, T-171, T-172, T-233</t>
        </is>
      </c>
      <c r="K178" s="12" t="inlineStr">
        <is>
          <t>To Do</t>
        </is>
      </c>
      <c r="L178" s="12" t="n"/>
      <c r="M178" s="12" t="n"/>
      <c r="N178" s="13" t="inlineStr">
        <is>
          <t>Cada condición final verificada con Postman y en la interfaz; PR aprobado por alguien distinto del autor</t>
        </is>
      </c>
      <c r="O178" s="12" t="n"/>
      <c r="P178" s="12" t="n"/>
      <c r="Q178" s="13" t="n"/>
      <c r="R178" s="12">
        <f>IF(AND(K178&lt;&gt;"To Do",L178&lt;&gt;"Sí"),"⚠ pasó a Doing sin DoR",IF(AND(K178="Done",O178&lt;&gt;"Sí"),"⚠ Done sin criterio cumplido",IF(AND(K178="Doing",COUNTIFS($G$6:$G$266,G178,$K$6:$K$266,"Doing",$E$6:$E$266,"&lt;&gt;Scrum")&gt;2,E178&lt;&gt;"Scrum"),"⚠ más de 2 en Doing","ok")))</f>
        <v/>
      </c>
      <c r="S178">
        <f>IF($K178="To Do",COUNTIF($K$6:$K178,"To Do"),"")</f>
        <v/>
      </c>
      <c r="T178">
        <f>IF($K178="Doing",COUNTIF($K$6:$K178,"Doing"),"")</f>
        <v/>
      </c>
      <c r="U178">
        <f>IF($K178="Done",COUNTIF($K$6:$K178,"Done"),"")</f>
        <v/>
      </c>
    </row>
    <row r="179" ht="42" customHeight="1">
      <c r="B179" s="14" t="inlineStr">
        <is>
          <t>T-174</t>
        </is>
      </c>
      <c r="C179" s="14" t="inlineStr">
        <is>
          <t>HU-38</t>
        </is>
      </c>
      <c r="D179" s="15" t="inlineStr">
        <is>
          <t>Sincronizar pendientes</t>
        </is>
      </c>
      <c r="E179" s="14" t="inlineStr">
        <is>
          <t>Aceptación</t>
        </is>
      </c>
      <c r="F179" s="15" t="inlineStr">
        <is>
          <t>Aceptar HU-38 como Product Owner desde la interfaz y moverla a Done</t>
        </is>
      </c>
      <c r="G179" s="14" t="inlineStr">
        <is>
          <t>Adiel</t>
        </is>
      </c>
      <c r="H179" s="14" t="n">
        <v>0.5</v>
      </c>
      <c r="I179" s="14" t="inlineStr">
        <is>
          <t>27/10</t>
        </is>
      </c>
      <c r="J179" s="14" t="inlineStr">
        <is>
          <t>T-173</t>
        </is>
      </c>
      <c r="K179" s="14" t="inlineStr">
        <is>
          <t>To Do</t>
        </is>
      </c>
      <c r="L179" s="14" t="n"/>
      <c r="M179" s="14" t="n"/>
      <c r="N179" s="15" t="inlineStr">
        <is>
          <t>DoD T1–T10 + condiciones finales aceptadas por el PO → la HU pasa a Done</t>
        </is>
      </c>
      <c r="O179" s="14" t="n"/>
      <c r="P179" s="14" t="n"/>
      <c r="Q179" s="15" t="n"/>
      <c r="R179" s="14">
        <f>IF(AND(K179&lt;&gt;"To Do",L179&lt;&gt;"Sí"),"⚠ pasó a Doing sin DoR",IF(AND(K179="Done",O179&lt;&gt;"Sí"),"⚠ Done sin criterio cumplido",IF(AND(K179="Doing",COUNTIFS($G$6:$G$266,G179,$K$6:$K$266,"Doing",$E$6:$E$266,"&lt;&gt;Scrum")&gt;2,E179&lt;&gt;"Scrum"),"⚠ más de 2 en Doing","ok")))</f>
        <v/>
      </c>
      <c r="S179">
        <f>IF($K179="To Do",COUNTIF($K$6:$K179,"To Do"),"")</f>
        <v/>
      </c>
      <c r="T179">
        <f>IF($K179="Doing",COUNTIF($K$6:$K179,"Doing"),"")</f>
        <v/>
      </c>
      <c r="U179">
        <f>IF($K179="Done",COUNTIF($K$6:$K179,"Done"),"")</f>
        <v/>
      </c>
    </row>
    <row r="180" ht="42" customHeight="1">
      <c r="B180" s="12" t="inlineStr">
        <is>
          <t>T-175</t>
        </is>
      </c>
      <c r="C180" s="12" t="inlineStr">
        <is>
          <t>HU-40</t>
        </is>
      </c>
      <c r="D180" s="13" t="inlineStr">
        <is>
          <t>Registrar salidas de material</t>
        </is>
      </c>
      <c r="E180" s="12" t="inlineStr">
        <is>
          <t>Diseño UI</t>
        </is>
      </c>
      <c r="F180" s="13" t="inlineStr">
        <is>
          <t>Diseñar la interfaz de usuario de HU-40: pantalla 3 · Registrar salida</t>
        </is>
      </c>
      <c r="G180" s="12" t="inlineStr">
        <is>
          <t>Fernando</t>
        </is>
      </c>
      <c r="H180" s="12" t="n">
        <v>1</v>
      </c>
      <c r="I180" s="12" t="inlineStr">
        <is>
          <t>23/10</t>
        </is>
      </c>
      <c r="J180" s="12" t="n"/>
      <c r="K180" s="12" t="inlineStr">
        <is>
          <t>Done</t>
        </is>
      </c>
      <c r="L180" s="12" t="inlineStr">
        <is>
          <t>Sí</t>
        </is>
      </c>
      <c r="M180" s="12" t="inlineStr">
        <is>
          <t>22/10/2026</t>
        </is>
      </c>
      <c r="N180" s="13" t="inlineStr">
        <is>
          <t>Mockup en el lienzo, revisado por el equipo</t>
        </is>
      </c>
      <c r="O180" s="12" t="inlineStr">
        <is>
          <t>Sí</t>
        </is>
      </c>
      <c r="P180" s="12" t="inlineStr">
        <is>
          <t>22/10/2026</t>
        </is>
      </c>
      <c r="Q180" s="13" t="inlineStr">
        <is>
          <t>Lienzo «SIGRO · Pantallas y diagramas del Sprint 1»</t>
        </is>
      </c>
      <c r="R180" s="12">
        <f>IF(AND(K180&lt;&gt;"To Do",L180&lt;&gt;"Sí"),"⚠ pasó a Doing sin DoR",IF(AND(K180="Done",O180&lt;&gt;"Sí"),"⚠ Done sin criterio cumplido",IF(AND(K180="Doing",COUNTIFS($G$6:$G$266,G180,$K$6:$K$266,"Doing",$E$6:$E$266,"&lt;&gt;Scrum")&gt;2,E180&lt;&gt;"Scrum"),"⚠ más de 2 en Doing","ok")))</f>
        <v/>
      </c>
      <c r="S180">
        <f>IF($K180="To Do",COUNTIF($K$6:$K180,"To Do"),"")</f>
        <v/>
      </c>
      <c r="T180">
        <f>IF($K180="Doing",COUNTIF($K$6:$K180,"Doing"),"")</f>
        <v/>
      </c>
      <c r="U180">
        <f>IF($K180="Done",COUNTIF($K$6:$K180,"Done"),"")</f>
        <v/>
      </c>
    </row>
    <row r="181" ht="42" customHeight="1">
      <c r="B181" s="12" t="inlineStr">
        <is>
          <t>T-176</t>
        </is>
      </c>
      <c r="C181" s="12" t="inlineStr">
        <is>
          <t>HU-40</t>
        </is>
      </c>
      <c r="D181" s="13" t="inlineStr">
        <is>
          <t>Registrar salidas de material</t>
        </is>
      </c>
      <c r="E181" s="12" t="inlineStr">
        <is>
          <t>Modelado UML</t>
        </is>
      </c>
      <c r="F181" s="13" t="inlineStr">
        <is>
          <t>Modelar la funcionalidad de HU-40 con el diagrama UML de secuencia de la salida sin señal y su sincronización</t>
        </is>
      </c>
      <c r="G181" s="12" t="inlineStr">
        <is>
          <t>Fernando</t>
        </is>
      </c>
      <c r="H181" s="12" t="n">
        <v>1</v>
      </c>
      <c r="I181" s="12" t="inlineStr">
        <is>
          <t>24/10</t>
        </is>
      </c>
      <c r="J181" s="12" t="n"/>
      <c r="K181" s="12" t="inlineStr">
        <is>
          <t>Done</t>
        </is>
      </c>
      <c r="L181" s="12" t="inlineStr">
        <is>
          <t>Sí</t>
        </is>
      </c>
      <c r="M181" s="12" t="inlineStr">
        <is>
          <t>22/10/2026</t>
        </is>
      </c>
      <c r="N181" s="13" t="inlineStr">
        <is>
          <t>Diagrama publicado en el repo o el lienzo</t>
        </is>
      </c>
      <c r="O181" s="12" t="inlineStr">
        <is>
          <t>Sí</t>
        </is>
      </c>
      <c r="P181" s="12" t="inlineStr">
        <is>
          <t>22/10/2026</t>
        </is>
      </c>
      <c r="Q181" s="13" t="inlineStr">
        <is>
          <t>Lienzo del Sprint 1</t>
        </is>
      </c>
      <c r="R181" s="12">
        <f>IF(AND(K181&lt;&gt;"To Do",L181&lt;&gt;"Sí"),"⚠ pasó a Doing sin DoR",IF(AND(K181="Done",O181&lt;&gt;"Sí"),"⚠ Done sin criterio cumplido",IF(AND(K181="Doing",COUNTIFS($G$6:$G$266,G181,$K$6:$K$266,"Doing",$E$6:$E$266,"&lt;&gt;Scrum")&gt;2,E181&lt;&gt;"Scrum"),"⚠ más de 2 en Doing","ok")))</f>
        <v/>
      </c>
      <c r="S181">
        <f>IF($K181="To Do",COUNTIF($K$6:$K181,"To Do"),"")</f>
        <v/>
      </c>
      <c r="T181">
        <f>IF($K181="Doing",COUNTIF($K$6:$K181,"Doing"),"")</f>
        <v/>
      </c>
      <c r="U181">
        <f>IF($K181="Done",COUNTIF($K$6:$K181,"Done"),"")</f>
        <v/>
      </c>
    </row>
    <row r="182" ht="42" customHeight="1">
      <c r="B182" s="12" t="inlineStr">
        <is>
          <t>T-177</t>
        </is>
      </c>
      <c r="C182" s="12" t="inlineStr">
        <is>
          <t>HU-40</t>
        </is>
      </c>
      <c r="D182" s="13" t="inlineStr">
        <is>
          <t>Registrar salidas de material</t>
        </is>
      </c>
      <c r="E182" s="12" t="inlineStr">
        <is>
          <t>Base de datos</t>
        </is>
      </c>
      <c r="F182" s="13" t="inlineStr">
        <is>
          <t>Implementar las tablas asociadas a HU-40: movimiento (append-only, costo_unitario congelado)</t>
        </is>
      </c>
      <c r="G182" s="12" t="inlineStr">
        <is>
          <t>Adiel</t>
        </is>
      </c>
      <c r="H182" s="12" t="n">
        <v>1</v>
      </c>
      <c r="I182" s="12" t="inlineStr">
        <is>
          <t>24/10</t>
        </is>
      </c>
      <c r="J182" s="12" t="inlineStr">
        <is>
          <t>T-176</t>
        </is>
      </c>
      <c r="K182" s="12" t="inlineStr">
        <is>
          <t>To Do</t>
        </is>
      </c>
      <c r="L182" s="12" t="n"/>
      <c r="M182" s="12" t="n"/>
      <c r="N182" s="13" t="inlineStr">
        <is>
          <t>Migración fusionada, corre en base limpia y con datos, y se revierte</t>
        </is>
      </c>
      <c r="O182" s="12" t="n"/>
      <c r="P182" s="12" t="n"/>
      <c r="Q182" s="13" t="n"/>
      <c r="R182" s="12">
        <f>IF(AND(K182&lt;&gt;"To Do",L182&lt;&gt;"Sí"),"⚠ pasó a Doing sin DoR",IF(AND(K182="Done",O182&lt;&gt;"Sí"),"⚠ Done sin criterio cumplido",IF(AND(K182="Doing",COUNTIFS($G$6:$G$266,G182,$K$6:$K$266,"Doing",$E$6:$E$266,"&lt;&gt;Scrum")&gt;2,E182&lt;&gt;"Scrum"),"⚠ más de 2 en Doing","ok")))</f>
        <v/>
      </c>
      <c r="S182">
        <f>IF($K182="To Do",COUNTIF($K$6:$K182,"To Do"),"")</f>
        <v/>
      </c>
      <c r="T182">
        <f>IF($K182="Doing",COUNTIF($K$6:$K182,"Doing"),"")</f>
        <v/>
      </c>
      <c r="U182">
        <f>IF($K182="Done",COUNTIF($K$6:$K182,"Done"),"")</f>
        <v/>
      </c>
    </row>
    <row r="183" ht="42" customHeight="1">
      <c r="B183" s="12" t="inlineStr">
        <is>
          <t>T-178</t>
        </is>
      </c>
      <c r="C183" s="12" t="inlineStr">
        <is>
          <t>HU-40</t>
        </is>
      </c>
      <c r="D183" s="13" t="inlineStr">
        <is>
          <t>Registrar salidas de material</t>
        </is>
      </c>
      <c r="E183" s="12" t="inlineStr">
        <is>
          <t>Backend</t>
        </is>
      </c>
      <c r="F183" s="13" t="inlineStr">
        <is>
          <t>Programar el back-end de HU-40 (entidad, repositorio, servicio y controlador): la salida: rechazar si supera el saldo y congelar el costo promedio</t>
        </is>
      </c>
      <c r="G183" s="12" t="inlineStr">
        <is>
          <t>Adiel</t>
        </is>
      </c>
      <c r="H183" s="12" t="n">
        <v>7</v>
      </c>
      <c r="I183" s="12" t="inlineStr">
        <is>
          <t>25/10</t>
        </is>
      </c>
      <c r="J183" s="12" t="inlineStr">
        <is>
          <t>T-177</t>
        </is>
      </c>
      <c r="K183" s="12" t="inlineStr">
        <is>
          <t>To Do</t>
        </is>
      </c>
      <c r="L183" s="12" t="n"/>
      <c r="M183" s="12" t="n"/>
      <c r="N183" s="13" t="inlineStr">
        <is>
          <t>PR fusionado con sus pruebas automáticas en verde y el endpoint documentado</t>
        </is>
      </c>
      <c r="O183" s="12" t="n"/>
      <c r="P183" s="12" t="n"/>
      <c r="Q183" s="13" t="n"/>
      <c r="R183" s="12">
        <f>IF(AND(K183&lt;&gt;"To Do",L183&lt;&gt;"Sí"),"⚠ pasó a Doing sin DoR",IF(AND(K183="Done",O183&lt;&gt;"Sí"),"⚠ Done sin criterio cumplido",IF(AND(K183="Doing",COUNTIFS($G$6:$G$266,G183,$K$6:$K$266,"Doing",$E$6:$E$266,"&lt;&gt;Scrum")&gt;2,E183&lt;&gt;"Scrum"),"⚠ más de 2 en Doing","ok")))</f>
        <v/>
      </c>
      <c r="S183">
        <f>IF($K183="To Do",COUNTIF($K$6:$K183,"To Do"),"")</f>
        <v/>
      </c>
      <c r="T183">
        <f>IF($K183="Doing",COUNTIF($K$6:$K183,"Doing"),"")</f>
        <v/>
      </c>
      <c r="U183">
        <f>IF($K183="Done",COUNTIF($K$6:$K183,"Done"),"")</f>
        <v/>
      </c>
    </row>
    <row r="184" ht="42" customHeight="1">
      <c r="B184" s="12" t="inlineStr">
        <is>
          <t>T-179</t>
        </is>
      </c>
      <c r="C184" s="12" t="inlineStr">
        <is>
          <t>HU-40</t>
        </is>
      </c>
      <c r="D184" s="13" t="inlineStr">
        <is>
          <t>Registrar salidas de material</t>
        </is>
      </c>
      <c r="E184" s="12" t="inlineStr">
        <is>
          <t>Triggers y funciones</t>
        </is>
      </c>
      <c r="F184" s="13" t="inlineStr">
        <is>
          <t>Implementar el trigger que impide UPDATE y DELETE en movimiento y el que rechaza fechas fuera del plazo (HU-40)</t>
        </is>
      </c>
      <c r="G184" s="12" t="inlineStr">
        <is>
          <t>Adiel</t>
        </is>
      </c>
      <c r="H184" s="12" t="n">
        <v>1</v>
      </c>
      <c r="I184" s="12" t="inlineStr">
        <is>
          <t>25/10</t>
        </is>
      </c>
      <c r="J184" s="12" t="inlineStr">
        <is>
          <t>T-177</t>
        </is>
      </c>
      <c r="K184" s="12" t="inlineStr">
        <is>
          <t>To Do</t>
        </is>
      </c>
      <c r="L184" s="12" t="n"/>
      <c r="M184" s="12" t="n"/>
      <c r="N184" s="13" t="inlineStr">
        <is>
          <t>Regla en la base con su prueba, en un PR fusionado</t>
        </is>
      </c>
      <c r="O184" s="12" t="n"/>
      <c r="P184" s="12" t="n"/>
      <c r="Q184" s="13" t="n"/>
      <c r="R184" s="12">
        <f>IF(AND(K184&lt;&gt;"To Do",L184&lt;&gt;"Sí"),"⚠ pasó a Doing sin DoR",IF(AND(K184="Done",O184&lt;&gt;"Sí"),"⚠ Done sin criterio cumplido",IF(AND(K184="Doing",COUNTIFS($G$6:$G$266,G184,$K$6:$K$266,"Doing",$E$6:$E$266,"&lt;&gt;Scrum")&gt;2,E184&lt;&gt;"Scrum"),"⚠ más de 2 en Doing","ok")))</f>
        <v/>
      </c>
      <c r="S184">
        <f>IF($K184="To Do",COUNTIF($K$6:$K184,"To Do"),"")</f>
        <v/>
      </c>
      <c r="T184">
        <f>IF($K184="Doing",COUNTIF($K$6:$K184,"Doing"),"")</f>
        <v/>
      </c>
      <c r="U184">
        <f>IF($K184="Done",COUNTIF($K$6:$K184,"Done"),"")</f>
        <v/>
      </c>
    </row>
    <row r="185" ht="42" customHeight="1">
      <c r="B185" s="12" t="inlineStr">
        <is>
          <t>T-180</t>
        </is>
      </c>
      <c r="C185" s="12" t="inlineStr">
        <is>
          <t>HU-40</t>
        </is>
      </c>
      <c r="D185" s="13" t="inlineStr">
        <is>
          <t>Registrar salidas de material</t>
        </is>
      </c>
      <c r="E185" s="12" t="inlineStr">
        <is>
          <t>Front-end app</t>
        </is>
      </c>
      <c r="F185" s="13" t="inlineStr">
        <is>
          <t>Programar la pantalla de salida en la app (insumo, cantidad, motivo, quién retira)</t>
        </is>
      </c>
      <c r="G185" s="12" t="inlineStr">
        <is>
          <t>Nicolás</t>
        </is>
      </c>
      <c r="H185" s="12" t="n">
        <v>7</v>
      </c>
      <c r="I185" s="12" t="inlineStr">
        <is>
          <t>26/10</t>
        </is>
      </c>
      <c r="J185" s="12" t="inlineStr">
        <is>
          <t>T-175, T-242</t>
        </is>
      </c>
      <c r="K185" s="12" t="inlineStr">
        <is>
          <t>To Do</t>
        </is>
      </c>
      <c r="L185" s="12" t="n"/>
      <c r="M185" s="12" t="n"/>
      <c r="N185" s="13" t="inlineStr">
        <is>
          <t>PR fusionado; lo que registra movimientos probado en modo avión</t>
        </is>
      </c>
      <c r="O185" s="12" t="n"/>
      <c r="P185" s="12" t="n"/>
      <c r="Q185" s="13" t="n"/>
      <c r="R185" s="12">
        <f>IF(AND(K185&lt;&gt;"To Do",L185&lt;&gt;"Sí"),"⚠ pasó a Doing sin DoR",IF(AND(K185="Done",O185&lt;&gt;"Sí"),"⚠ Done sin criterio cumplido",IF(AND(K185="Doing",COUNTIFS($G$6:$G$266,G185,$K$6:$K$266,"Doing",$E$6:$E$266,"&lt;&gt;Scrum")&gt;2,E185&lt;&gt;"Scrum"),"⚠ más de 2 en Doing","ok")))</f>
        <v/>
      </c>
      <c r="S185">
        <f>IF($K185="To Do",COUNTIF($K$6:$K185,"To Do"),"")</f>
        <v/>
      </c>
      <c r="T185">
        <f>IF($K185="Doing",COUNTIF($K$6:$K185,"Doing"),"")</f>
        <v/>
      </c>
      <c r="U185">
        <f>IF($K185="Done",COUNTIF($K$6:$K185,"Done"),"")</f>
        <v/>
      </c>
    </row>
    <row r="186" ht="42" customHeight="1">
      <c r="B186" s="12" t="inlineStr">
        <is>
          <t>T-181</t>
        </is>
      </c>
      <c r="C186" s="12" t="inlineStr">
        <is>
          <t>HU-40</t>
        </is>
      </c>
      <c r="D186" s="13" t="inlineStr">
        <is>
          <t>Registrar salidas de material</t>
        </is>
      </c>
      <c r="E186" s="12" t="inlineStr">
        <is>
          <t>Pruebas</t>
        </is>
      </c>
      <c r="F186" s="13" t="inlineStr">
        <is>
          <t>Probar la funcionalidad de HU-40 (la API con Postman y la app en modo avión y al volver la señal) contra cada condición final y aprobar su PR</t>
        </is>
      </c>
      <c r="G186" s="12" t="inlineStr">
        <is>
          <t>Henry</t>
        </is>
      </c>
      <c r="H186" s="12" t="n">
        <v>1</v>
      </c>
      <c r="I186" s="12" t="inlineStr">
        <is>
          <t>27/10</t>
        </is>
      </c>
      <c r="J186" s="12" t="inlineStr">
        <is>
          <t>T-177, T-178, T-179, T-180, T-233</t>
        </is>
      </c>
      <c r="K186" s="12" t="inlineStr">
        <is>
          <t>To Do</t>
        </is>
      </c>
      <c r="L186" s="12" t="n"/>
      <c r="M186" s="12" t="n"/>
      <c r="N186" s="13" t="inlineStr">
        <is>
          <t>Cada condición final verificada con Postman y en la interfaz; PR aprobado por alguien distinto del autor</t>
        </is>
      </c>
      <c r="O186" s="12" t="n"/>
      <c r="P186" s="12" t="n"/>
      <c r="Q186" s="13" t="n"/>
      <c r="R186" s="12">
        <f>IF(AND(K186&lt;&gt;"To Do",L186&lt;&gt;"Sí"),"⚠ pasó a Doing sin DoR",IF(AND(K186="Done",O186&lt;&gt;"Sí"),"⚠ Done sin criterio cumplido",IF(AND(K186="Doing",COUNTIFS($G$6:$G$266,G186,$K$6:$K$266,"Doing",$E$6:$E$266,"&lt;&gt;Scrum")&gt;2,E186&lt;&gt;"Scrum"),"⚠ más de 2 en Doing","ok")))</f>
        <v/>
      </c>
      <c r="S186">
        <f>IF($K186="To Do",COUNTIF($K$6:$K186,"To Do"),"")</f>
        <v/>
      </c>
      <c r="T186">
        <f>IF($K186="Doing",COUNTIF($K$6:$K186,"Doing"),"")</f>
        <v/>
      </c>
      <c r="U186">
        <f>IF($K186="Done",COUNTIF($K$6:$K186,"Done"),"")</f>
        <v/>
      </c>
    </row>
    <row r="187" ht="42" customHeight="1">
      <c r="B187" s="14" t="inlineStr">
        <is>
          <t>T-182</t>
        </is>
      </c>
      <c r="C187" s="14" t="inlineStr">
        <is>
          <t>HU-40</t>
        </is>
      </c>
      <c r="D187" s="15" t="inlineStr">
        <is>
          <t>Registrar salidas de material</t>
        </is>
      </c>
      <c r="E187" s="14" t="inlineStr">
        <is>
          <t>Aceptación</t>
        </is>
      </c>
      <c r="F187" s="15" t="inlineStr">
        <is>
          <t>Aceptar HU-40 como Product Owner desde la interfaz y moverla a Done</t>
        </is>
      </c>
      <c r="G187" s="14" t="inlineStr">
        <is>
          <t>Adiel</t>
        </is>
      </c>
      <c r="H187" s="14" t="n">
        <v>0.5</v>
      </c>
      <c r="I187" s="14" t="inlineStr">
        <is>
          <t>27/10</t>
        </is>
      </c>
      <c r="J187" s="14" t="inlineStr">
        <is>
          <t>T-181</t>
        </is>
      </c>
      <c r="K187" s="14" t="inlineStr">
        <is>
          <t>To Do</t>
        </is>
      </c>
      <c r="L187" s="14" t="n"/>
      <c r="M187" s="14" t="n"/>
      <c r="N187" s="15" t="inlineStr">
        <is>
          <t>DoD T1–T10 + condiciones finales aceptadas por el PO → la HU pasa a Done</t>
        </is>
      </c>
      <c r="O187" s="14" t="n"/>
      <c r="P187" s="14" t="n"/>
      <c r="Q187" s="15" t="n"/>
      <c r="R187" s="14">
        <f>IF(AND(K187&lt;&gt;"To Do",L187&lt;&gt;"Sí"),"⚠ pasó a Doing sin DoR",IF(AND(K187="Done",O187&lt;&gt;"Sí"),"⚠ Done sin criterio cumplido",IF(AND(K187="Doing",COUNTIFS($G$6:$G$266,G187,$K$6:$K$266,"Doing",$E$6:$E$266,"&lt;&gt;Scrum")&gt;2,E187&lt;&gt;"Scrum"),"⚠ más de 2 en Doing","ok")))</f>
        <v/>
      </c>
      <c r="S187">
        <f>IF($K187="To Do",COUNTIF($K$6:$K187,"To Do"),"")</f>
        <v/>
      </c>
      <c r="T187">
        <f>IF($K187="Doing",COUNTIF($K$6:$K187,"Doing"),"")</f>
        <v/>
      </c>
      <c r="U187">
        <f>IF($K187="Done",COUNTIF($K$6:$K187,"Done"),"")</f>
        <v/>
      </c>
    </row>
    <row r="188" ht="42" customHeight="1">
      <c r="B188" s="12" t="inlineStr">
        <is>
          <t>T-183</t>
        </is>
      </c>
      <c r="C188" s="12" t="inlineStr">
        <is>
          <t>HU-43</t>
        </is>
      </c>
      <c r="D188" s="13" t="inlineStr">
        <is>
          <t>Consultar stock</t>
        </is>
      </c>
      <c r="E188" s="12" t="inlineStr">
        <is>
          <t>Diseño UI</t>
        </is>
      </c>
      <c r="F188" s="13" t="inlineStr">
        <is>
          <t>Diseñar la interfaz de usuario de HU-43: pantalla 5 · Consultar stock y 15 · Kárdex</t>
        </is>
      </c>
      <c r="G188" s="12" t="inlineStr">
        <is>
          <t>Fernando</t>
        </is>
      </c>
      <c r="H188" s="12" t="n">
        <v>1</v>
      </c>
      <c r="I188" s="12" t="inlineStr">
        <is>
          <t>23/10</t>
        </is>
      </c>
      <c r="J188" s="12" t="n"/>
      <c r="K188" s="12" t="inlineStr">
        <is>
          <t>Done</t>
        </is>
      </c>
      <c r="L188" s="12" t="inlineStr">
        <is>
          <t>Sí</t>
        </is>
      </c>
      <c r="M188" s="12" t="inlineStr">
        <is>
          <t>22/10/2026</t>
        </is>
      </c>
      <c r="N188" s="13" t="inlineStr">
        <is>
          <t>Mockup en el lienzo, revisado por el equipo</t>
        </is>
      </c>
      <c r="O188" s="12" t="inlineStr">
        <is>
          <t>Sí</t>
        </is>
      </c>
      <c r="P188" s="12" t="inlineStr">
        <is>
          <t>22/10/2026</t>
        </is>
      </c>
      <c r="Q188" s="13" t="inlineStr">
        <is>
          <t>Lienzo «SIGRO · Pantallas y diagramas del Sprint 1»</t>
        </is>
      </c>
      <c r="R188" s="12">
        <f>IF(AND(K188&lt;&gt;"To Do",L188&lt;&gt;"Sí"),"⚠ pasó a Doing sin DoR",IF(AND(K188="Done",O188&lt;&gt;"Sí"),"⚠ Done sin criterio cumplido",IF(AND(K188="Doing",COUNTIFS($G$6:$G$266,G188,$K$6:$K$266,"Doing",$E$6:$E$266,"&lt;&gt;Scrum")&gt;2,E188&lt;&gt;"Scrum"),"⚠ más de 2 en Doing","ok")))</f>
        <v/>
      </c>
      <c r="S188">
        <f>IF($K188="To Do",COUNTIF($K$6:$K188,"To Do"),"")</f>
        <v/>
      </c>
      <c r="T188">
        <f>IF($K188="Doing",COUNTIF($K$6:$K188,"Doing"),"")</f>
        <v/>
      </c>
      <c r="U188">
        <f>IF($K188="Done",COUNTIF($K$6:$K188,"Done"),"")</f>
        <v/>
      </c>
    </row>
    <row r="189" ht="42" customHeight="1">
      <c r="B189" s="12" t="inlineStr">
        <is>
          <t>T-184</t>
        </is>
      </c>
      <c r="C189" s="12" t="inlineStr">
        <is>
          <t>HU-43</t>
        </is>
      </c>
      <c r="D189" s="13" t="inlineStr">
        <is>
          <t>Consultar stock</t>
        </is>
      </c>
      <c r="E189" s="12" t="inlineStr">
        <is>
          <t>Modelado UML</t>
        </is>
      </c>
      <c r="F189" s="13" t="inlineStr">
        <is>
          <t>Modelar la funcionalidad de HU-43 con el diagrama UML de secuencia del cálculo del stock desde el libro</t>
        </is>
      </c>
      <c r="G189" s="12" t="inlineStr">
        <is>
          <t>Nicolás</t>
        </is>
      </c>
      <c r="H189" s="12" t="n">
        <v>1</v>
      </c>
      <c r="I189" s="12" t="inlineStr">
        <is>
          <t>24/10</t>
        </is>
      </c>
      <c r="J189" s="12" t="inlineStr">
        <is>
          <t>T-183</t>
        </is>
      </c>
      <c r="K189" s="12" t="inlineStr">
        <is>
          <t>To Do</t>
        </is>
      </c>
      <c r="L189" s="12" t="n"/>
      <c r="M189" s="12" t="n"/>
      <c r="N189" s="13" t="inlineStr">
        <is>
          <t>Diagrama publicado en el repo o el lienzo</t>
        </is>
      </c>
      <c r="O189" s="12" t="n"/>
      <c r="P189" s="12" t="n"/>
      <c r="Q189" s="13" t="n"/>
      <c r="R189" s="12">
        <f>IF(AND(K189&lt;&gt;"To Do",L189&lt;&gt;"Sí"),"⚠ pasó a Doing sin DoR",IF(AND(K189="Done",O189&lt;&gt;"Sí"),"⚠ Done sin criterio cumplido",IF(AND(K189="Doing",COUNTIFS($G$6:$G$266,G189,$K$6:$K$266,"Doing",$E$6:$E$266,"&lt;&gt;Scrum")&gt;2,E189&lt;&gt;"Scrum"),"⚠ más de 2 en Doing","ok")))</f>
        <v/>
      </c>
      <c r="S189">
        <f>IF($K189="To Do",COUNTIF($K$6:$K189,"To Do"),"")</f>
        <v/>
      </c>
      <c r="T189">
        <f>IF($K189="Doing",COUNTIF($K$6:$K189,"Doing"),"")</f>
        <v/>
      </c>
      <c r="U189">
        <f>IF($K189="Done",COUNTIF($K$6:$K189,"Done"),"")</f>
        <v/>
      </c>
    </row>
    <row r="190" ht="42" customHeight="1">
      <c r="B190" s="12" t="inlineStr">
        <is>
          <t>T-185</t>
        </is>
      </c>
      <c r="C190" s="12" t="inlineStr">
        <is>
          <t>HU-43</t>
        </is>
      </c>
      <c r="D190" s="13" t="inlineStr">
        <is>
          <t>Consultar stock</t>
        </is>
      </c>
      <c r="E190" s="12" t="inlineStr">
        <is>
          <t>Base de datos</t>
        </is>
      </c>
      <c r="F190" s="13" t="inlineStr">
        <is>
          <t>Implementar las tablas asociadas a HU-43: vista de saldo derivada de movimiento</t>
        </is>
      </c>
      <c r="G190" s="12" t="inlineStr">
        <is>
          <t>Adiel</t>
        </is>
      </c>
      <c r="H190" s="12" t="n">
        <v>1</v>
      </c>
      <c r="I190" s="12" t="inlineStr">
        <is>
          <t>24/10</t>
        </is>
      </c>
      <c r="J190" s="12" t="inlineStr">
        <is>
          <t>T-184</t>
        </is>
      </c>
      <c r="K190" s="12" t="inlineStr">
        <is>
          <t>To Do</t>
        </is>
      </c>
      <c r="L190" s="12" t="n"/>
      <c r="M190" s="12" t="n"/>
      <c r="N190" s="13" t="inlineStr">
        <is>
          <t>Migración fusionada, corre en base limpia y con datos, y se revierte</t>
        </is>
      </c>
      <c r="O190" s="12" t="n"/>
      <c r="P190" s="12" t="n"/>
      <c r="Q190" s="13" t="n"/>
      <c r="R190" s="12">
        <f>IF(AND(K190&lt;&gt;"To Do",L190&lt;&gt;"Sí"),"⚠ pasó a Doing sin DoR",IF(AND(K190="Done",O190&lt;&gt;"Sí"),"⚠ Done sin criterio cumplido",IF(AND(K190="Doing",COUNTIFS($G$6:$G$266,G190,$K$6:$K$266,"Doing",$E$6:$E$266,"&lt;&gt;Scrum")&gt;2,E190&lt;&gt;"Scrum"),"⚠ más de 2 en Doing","ok")))</f>
        <v/>
      </c>
      <c r="S190">
        <f>IF($K190="To Do",COUNTIF($K$6:$K190,"To Do"),"")</f>
        <v/>
      </c>
      <c r="T190">
        <f>IF($K190="Doing",COUNTIF($K$6:$K190,"Doing"),"")</f>
        <v/>
      </c>
      <c r="U190">
        <f>IF($K190="Done",COUNTIF($K$6:$K190,"Done"),"")</f>
        <v/>
      </c>
    </row>
    <row r="191" ht="42" customHeight="1">
      <c r="B191" s="12" t="inlineStr">
        <is>
          <t>T-186</t>
        </is>
      </c>
      <c r="C191" s="12" t="inlineStr">
        <is>
          <t>HU-43</t>
        </is>
      </c>
      <c r="D191" s="13" t="inlineStr">
        <is>
          <t>Consultar stock</t>
        </is>
      </c>
      <c r="E191" s="12" t="inlineStr">
        <is>
          <t>Backend</t>
        </is>
      </c>
      <c r="F191" s="13" t="inlineStr">
        <is>
          <t>Programar el back-end de HU-43 (entidad, repositorio, servicio y controlador): el cálculo del stock desde el libro de movimientos, por almacén y consolidado</t>
        </is>
      </c>
      <c r="G191" s="12" t="inlineStr">
        <is>
          <t>Adiel</t>
        </is>
      </c>
      <c r="H191" s="12" t="n">
        <v>2</v>
      </c>
      <c r="I191" s="12" t="inlineStr">
        <is>
          <t>25/10</t>
        </is>
      </c>
      <c r="J191" s="12" t="inlineStr">
        <is>
          <t>T-185</t>
        </is>
      </c>
      <c r="K191" s="12" t="inlineStr">
        <is>
          <t>To Do</t>
        </is>
      </c>
      <c r="L191" s="12" t="n"/>
      <c r="M191" s="12" t="n"/>
      <c r="N191" s="13" t="inlineStr">
        <is>
          <t>PR fusionado con sus pruebas automáticas en verde y el endpoint documentado</t>
        </is>
      </c>
      <c r="O191" s="12" t="n"/>
      <c r="P191" s="12" t="n"/>
      <c r="Q191" s="13" t="n"/>
      <c r="R191" s="12">
        <f>IF(AND(K191&lt;&gt;"To Do",L191&lt;&gt;"Sí"),"⚠ pasó a Doing sin DoR",IF(AND(K191="Done",O191&lt;&gt;"Sí"),"⚠ Done sin criterio cumplido",IF(AND(K191="Doing",COUNTIFS($G$6:$G$266,G191,$K$6:$K$266,"Doing",$E$6:$E$266,"&lt;&gt;Scrum")&gt;2,E191&lt;&gt;"Scrum"),"⚠ más de 2 en Doing","ok")))</f>
        <v/>
      </c>
      <c r="S191">
        <f>IF($K191="To Do",COUNTIF($K$6:$K191,"To Do"),"")</f>
        <v/>
      </c>
      <c r="T191">
        <f>IF($K191="Doing",COUNTIF($K$6:$K191,"Doing"),"")</f>
        <v/>
      </c>
      <c r="U191">
        <f>IF($K191="Done",COUNTIF($K$6:$K191,"Done"),"")</f>
        <v/>
      </c>
    </row>
    <row r="192" ht="42" customHeight="1">
      <c r="B192" s="12" t="inlineStr">
        <is>
          <t>T-187</t>
        </is>
      </c>
      <c r="C192" s="12" t="inlineStr">
        <is>
          <t>HU-43</t>
        </is>
      </c>
      <c r="D192" s="13" t="inlineStr">
        <is>
          <t>Consultar stock</t>
        </is>
      </c>
      <c r="E192" s="12" t="inlineStr">
        <is>
          <t>Triggers y funciones</t>
        </is>
      </c>
      <c r="F192" s="13" t="inlineStr">
        <is>
          <t>Implementar la función que calcula el saldo SUM(cantidad × signo) por almacén e insumo (HU-43)</t>
        </is>
      </c>
      <c r="G192" s="12" t="inlineStr">
        <is>
          <t>Adiel</t>
        </is>
      </c>
      <c r="H192" s="12" t="n">
        <v>1</v>
      </c>
      <c r="I192" s="12" t="inlineStr">
        <is>
          <t>25/10</t>
        </is>
      </c>
      <c r="J192" s="12" t="inlineStr">
        <is>
          <t>T-185</t>
        </is>
      </c>
      <c r="K192" s="12" t="inlineStr">
        <is>
          <t>To Do</t>
        </is>
      </c>
      <c r="L192" s="12" t="n"/>
      <c r="M192" s="12" t="n"/>
      <c r="N192" s="13" t="inlineStr">
        <is>
          <t>Regla en la base con su prueba, en un PR fusionado</t>
        </is>
      </c>
      <c r="O192" s="12" t="n"/>
      <c r="P192" s="12" t="n"/>
      <c r="Q192" s="13" t="n"/>
      <c r="R192" s="12">
        <f>IF(AND(K192&lt;&gt;"To Do",L192&lt;&gt;"Sí"),"⚠ pasó a Doing sin DoR",IF(AND(K192="Done",O192&lt;&gt;"Sí"),"⚠ Done sin criterio cumplido",IF(AND(K192="Doing",COUNTIFS($G$6:$G$266,G192,$K$6:$K$266,"Doing",$E$6:$E$266,"&lt;&gt;Scrum")&gt;2,E192&lt;&gt;"Scrum"),"⚠ más de 2 en Doing","ok")))</f>
        <v/>
      </c>
      <c r="S192">
        <f>IF($K192="To Do",COUNTIF($K$6:$K192,"To Do"),"")</f>
        <v/>
      </c>
      <c r="T192">
        <f>IF($K192="Doing",COUNTIF($K$6:$K192,"Doing"),"")</f>
        <v/>
      </c>
      <c r="U192">
        <f>IF($K192="Done",COUNTIF($K$6:$K192,"Done"),"")</f>
        <v/>
      </c>
    </row>
    <row r="193" ht="42" customHeight="1">
      <c r="B193" s="12" t="inlineStr">
        <is>
          <t>T-188</t>
        </is>
      </c>
      <c r="C193" s="12" t="inlineStr">
        <is>
          <t>HU-43</t>
        </is>
      </c>
      <c r="D193" s="13" t="inlineStr">
        <is>
          <t>Consultar stock</t>
        </is>
      </c>
      <c r="E193" s="12" t="inlineStr">
        <is>
          <t>Front-end web</t>
        </is>
      </c>
      <c r="F193" s="13" t="inlineStr">
        <is>
          <t>Programar la pantalla web de stock y kárdex</t>
        </is>
      </c>
      <c r="G193" s="12" t="inlineStr">
        <is>
          <t>Fernando</t>
        </is>
      </c>
      <c r="H193" s="12" t="n">
        <v>2</v>
      </c>
      <c r="I193" s="12" t="inlineStr">
        <is>
          <t>26/10</t>
        </is>
      </c>
      <c r="J193" s="12" t="n"/>
      <c r="K193" s="12" t="inlineStr">
        <is>
          <t>Done</t>
        </is>
      </c>
      <c r="L193" s="12" t="inlineStr">
        <is>
          <t>Sí</t>
        </is>
      </c>
      <c r="M193" s="12" t="inlineStr">
        <is>
          <t>22/10/2026</t>
        </is>
      </c>
      <c r="N193" s="13" t="inlineStr">
        <is>
          <t>PR fusionado, build sin errores, modo claro/oscuro y escala 125 %</t>
        </is>
      </c>
      <c r="O193" s="12" t="inlineStr">
        <is>
          <t>Sí</t>
        </is>
      </c>
      <c r="P193" s="12" t="inlineStr">
        <is>
          <t>22/10/2026</t>
        </is>
      </c>
      <c r="Q193" s="13" t="inlineStr">
        <is>
          <t>Commit del 22/10 09:30 (datos simulados)</t>
        </is>
      </c>
      <c r="R193" s="12">
        <f>IF(AND(K193&lt;&gt;"To Do",L193&lt;&gt;"Sí"),"⚠ pasó a Doing sin DoR",IF(AND(K193="Done",O193&lt;&gt;"Sí"),"⚠ Done sin criterio cumplido",IF(AND(K193="Doing",COUNTIFS($G$6:$G$266,G193,$K$6:$K$266,"Doing",$E$6:$E$266,"&lt;&gt;Scrum")&gt;2,E193&lt;&gt;"Scrum"),"⚠ más de 2 en Doing","ok")))</f>
        <v/>
      </c>
      <c r="S193">
        <f>IF($K193="To Do",COUNTIF($K$6:$K193,"To Do"),"")</f>
        <v/>
      </c>
      <c r="T193">
        <f>IF($K193="Doing",COUNTIF($K$6:$K193,"Doing"),"")</f>
        <v/>
      </c>
      <c r="U193">
        <f>IF($K193="Done",COUNTIF($K$6:$K193,"Done"),"")</f>
        <v/>
      </c>
    </row>
    <row r="194" ht="42" customHeight="1">
      <c r="B194" s="12" t="inlineStr">
        <is>
          <t>T-189</t>
        </is>
      </c>
      <c r="C194" s="12" t="inlineStr">
        <is>
          <t>HU-43</t>
        </is>
      </c>
      <c r="D194" s="13" t="inlineStr">
        <is>
          <t>Consultar stock</t>
        </is>
      </c>
      <c r="E194" s="12" t="inlineStr">
        <is>
          <t>Front-end app</t>
        </is>
      </c>
      <c r="F194" s="13" t="inlineStr">
        <is>
          <t>Programar la consulta de stock en la app</t>
        </is>
      </c>
      <c r="G194" s="12" t="inlineStr">
        <is>
          <t>Nicolás</t>
        </is>
      </c>
      <c r="H194" s="12" t="n">
        <v>2</v>
      </c>
      <c r="I194" s="12" t="inlineStr">
        <is>
          <t>26/10</t>
        </is>
      </c>
      <c r="J194" s="12" t="inlineStr">
        <is>
          <t>T-183, T-242</t>
        </is>
      </c>
      <c r="K194" s="12" t="inlineStr">
        <is>
          <t>To Do</t>
        </is>
      </c>
      <c r="L194" s="12" t="n"/>
      <c r="M194" s="12" t="n"/>
      <c r="N194" s="13" t="inlineStr">
        <is>
          <t>PR fusionado; lo que registra movimientos probado en modo avión</t>
        </is>
      </c>
      <c r="O194" s="12" t="n"/>
      <c r="P194" s="12" t="n"/>
      <c r="Q194" s="13" t="n"/>
      <c r="R194" s="12">
        <f>IF(AND(K194&lt;&gt;"To Do",L194&lt;&gt;"Sí"),"⚠ pasó a Doing sin DoR",IF(AND(K194="Done",O194&lt;&gt;"Sí"),"⚠ Done sin criterio cumplido",IF(AND(K194="Doing",COUNTIFS($G$6:$G$266,G194,$K$6:$K$266,"Doing",$E$6:$E$266,"&lt;&gt;Scrum")&gt;2,E194&lt;&gt;"Scrum"),"⚠ más de 2 en Doing","ok")))</f>
        <v/>
      </c>
      <c r="S194">
        <f>IF($K194="To Do",COUNTIF($K$6:$K194,"To Do"),"")</f>
        <v/>
      </c>
      <c r="T194">
        <f>IF($K194="Doing",COUNTIF($K$6:$K194,"Doing"),"")</f>
        <v/>
      </c>
      <c r="U194">
        <f>IF($K194="Done",COUNTIF($K$6:$K194,"Done"),"")</f>
        <v/>
      </c>
    </row>
    <row r="195" ht="42" customHeight="1">
      <c r="B195" s="12" t="inlineStr">
        <is>
          <t>T-190</t>
        </is>
      </c>
      <c r="C195" s="12" t="inlineStr">
        <is>
          <t>HU-43</t>
        </is>
      </c>
      <c r="D195" s="13" t="inlineStr">
        <is>
          <t>Consultar stock</t>
        </is>
      </c>
      <c r="E195" s="12" t="inlineStr">
        <is>
          <t>Conexión API</t>
        </is>
      </c>
      <c r="F195" s="13" t="inlineStr">
        <is>
          <t>Conectar la pantalla de stock y kárdex con la API real</t>
        </is>
      </c>
      <c r="G195" s="12" t="inlineStr">
        <is>
          <t>Henry</t>
        </is>
      </c>
      <c r="H195" s="12" t="n">
        <v>2</v>
      </c>
      <c r="I195" s="12" t="inlineStr">
        <is>
          <t>26/10</t>
        </is>
      </c>
      <c r="J195" s="12" t="inlineStr">
        <is>
          <t>T-186, T-188, T-240</t>
        </is>
      </c>
      <c r="K195" s="12" t="inlineStr">
        <is>
          <t>To Do</t>
        </is>
      </c>
      <c r="L195" s="12" t="n"/>
      <c r="M195" s="12" t="n"/>
      <c r="N195" s="13" t="inlineStr">
        <is>
          <t>La pantalla muestra los datos reales del servidor y sus errores</t>
        </is>
      </c>
      <c r="O195" s="12" t="n"/>
      <c r="P195" s="12" t="n"/>
      <c r="Q195" s="13" t="n"/>
      <c r="R195" s="12">
        <f>IF(AND(K195&lt;&gt;"To Do",L195&lt;&gt;"Sí"),"⚠ pasó a Doing sin DoR",IF(AND(K195="Done",O195&lt;&gt;"Sí"),"⚠ Done sin criterio cumplido",IF(AND(K195="Doing",COUNTIFS($G$6:$G$266,G195,$K$6:$K$266,"Doing",$E$6:$E$266,"&lt;&gt;Scrum")&gt;2,E195&lt;&gt;"Scrum"),"⚠ más de 2 en Doing","ok")))</f>
        <v/>
      </c>
      <c r="S195">
        <f>IF($K195="To Do",COUNTIF($K$6:$K195,"To Do"),"")</f>
        <v/>
      </c>
      <c r="T195">
        <f>IF($K195="Doing",COUNTIF($K$6:$K195,"Doing"),"")</f>
        <v/>
      </c>
      <c r="U195">
        <f>IF($K195="Done",COUNTIF($K$6:$K195,"Done"),"")</f>
        <v/>
      </c>
    </row>
    <row r="196" ht="42" customHeight="1">
      <c r="B196" s="12" t="inlineStr">
        <is>
          <t>T-191</t>
        </is>
      </c>
      <c r="C196" s="12" t="inlineStr">
        <is>
          <t>HU-43</t>
        </is>
      </c>
      <c r="D196" s="13" t="inlineStr">
        <is>
          <t>Consultar stock</t>
        </is>
      </c>
      <c r="E196" s="12" t="inlineStr">
        <is>
          <t>Pruebas</t>
        </is>
      </c>
      <c r="F196" s="13" t="inlineStr">
        <is>
          <t>Probar la funcionalidad de HU-43 (la API con Postman, la pantalla web y la app) contra cada condición final y aprobar su PR</t>
        </is>
      </c>
      <c r="G196" s="12" t="inlineStr">
        <is>
          <t>Fernando</t>
        </is>
      </c>
      <c r="H196" s="12" t="n">
        <v>1</v>
      </c>
      <c r="I196" s="12" t="inlineStr">
        <is>
          <t>27/10</t>
        </is>
      </c>
      <c r="J196" s="12" t="inlineStr">
        <is>
          <t>T-185, T-186, T-187, T-188, T-189, T-190, T-233</t>
        </is>
      </c>
      <c r="K196" s="12" t="inlineStr">
        <is>
          <t>To Do</t>
        </is>
      </c>
      <c r="L196" s="12" t="n"/>
      <c r="M196" s="12" t="n"/>
      <c r="N196" s="13" t="inlineStr">
        <is>
          <t>Cada condición final verificada con Postman y en la interfaz; PR aprobado por alguien distinto del autor</t>
        </is>
      </c>
      <c r="O196" s="12" t="n"/>
      <c r="P196" s="12" t="n"/>
      <c r="Q196" s="13" t="n"/>
      <c r="R196" s="12">
        <f>IF(AND(K196&lt;&gt;"To Do",L196&lt;&gt;"Sí"),"⚠ pasó a Doing sin DoR",IF(AND(K196="Done",O196&lt;&gt;"Sí"),"⚠ Done sin criterio cumplido",IF(AND(K196="Doing",COUNTIFS($G$6:$G$266,G196,$K$6:$K$266,"Doing",$E$6:$E$266,"&lt;&gt;Scrum")&gt;2,E196&lt;&gt;"Scrum"),"⚠ más de 2 en Doing","ok")))</f>
        <v/>
      </c>
      <c r="S196">
        <f>IF($K196="To Do",COUNTIF($K$6:$K196,"To Do"),"")</f>
        <v/>
      </c>
      <c r="T196">
        <f>IF($K196="Doing",COUNTIF($K$6:$K196,"Doing"),"")</f>
        <v/>
      </c>
      <c r="U196">
        <f>IF($K196="Done",COUNTIF($K$6:$K196,"Done"),"")</f>
        <v/>
      </c>
    </row>
    <row r="197" ht="42" customHeight="1">
      <c r="B197" s="14" t="inlineStr">
        <is>
          <t>T-192</t>
        </is>
      </c>
      <c r="C197" s="14" t="inlineStr">
        <is>
          <t>HU-43</t>
        </is>
      </c>
      <c r="D197" s="15" t="inlineStr">
        <is>
          <t>Consultar stock</t>
        </is>
      </c>
      <c r="E197" s="14" t="inlineStr">
        <is>
          <t>Aceptación</t>
        </is>
      </c>
      <c r="F197" s="15" t="inlineStr">
        <is>
          <t>Aceptar HU-43 como Product Owner desde la interfaz y moverla a Done</t>
        </is>
      </c>
      <c r="G197" s="14" t="inlineStr">
        <is>
          <t>Adiel</t>
        </is>
      </c>
      <c r="H197" s="14" t="n">
        <v>0.5</v>
      </c>
      <c r="I197" s="14" t="inlineStr">
        <is>
          <t>27/10</t>
        </is>
      </c>
      <c r="J197" s="14" t="inlineStr">
        <is>
          <t>T-191</t>
        </is>
      </c>
      <c r="K197" s="14" t="inlineStr">
        <is>
          <t>To Do</t>
        </is>
      </c>
      <c r="L197" s="14" t="n"/>
      <c r="M197" s="14" t="n"/>
      <c r="N197" s="15" t="inlineStr">
        <is>
          <t>DoD T1–T10 + condiciones finales aceptadas por el PO → la HU pasa a Done</t>
        </is>
      </c>
      <c r="O197" s="14" t="n"/>
      <c r="P197" s="14" t="n"/>
      <c r="Q197" s="15" t="n"/>
      <c r="R197" s="14">
        <f>IF(AND(K197&lt;&gt;"To Do",L197&lt;&gt;"Sí"),"⚠ pasó a Doing sin DoR",IF(AND(K197="Done",O197&lt;&gt;"Sí"),"⚠ Done sin criterio cumplido",IF(AND(K197="Doing",COUNTIFS($G$6:$G$266,G197,$K$6:$K$266,"Doing",$E$6:$E$266,"&lt;&gt;Scrum")&gt;2,E197&lt;&gt;"Scrum"),"⚠ más de 2 en Doing","ok")))</f>
        <v/>
      </c>
      <c r="S197">
        <f>IF($K197="To Do",COUNTIF($K$6:$K197,"To Do"),"")</f>
        <v/>
      </c>
      <c r="T197">
        <f>IF($K197="Doing",COUNTIF($K$6:$K197,"Doing"),"")</f>
        <v/>
      </c>
      <c r="U197">
        <f>IF($K197="Done",COUNTIF($K$6:$K197,"Done"),"")</f>
        <v/>
      </c>
    </row>
    <row r="198" ht="42" customHeight="1">
      <c r="B198" s="12" t="inlineStr">
        <is>
          <t>T-193</t>
        </is>
      </c>
      <c r="C198" s="12" t="inlineStr">
        <is>
          <t>HU-45</t>
        </is>
      </c>
      <c r="D198" s="13" t="inlineStr">
        <is>
          <t>Corregir movimientos</t>
        </is>
      </c>
      <c r="E198" s="12" t="inlineStr">
        <is>
          <t>Diseño UI</t>
        </is>
      </c>
      <c r="F198" s="13" t="inlineStr">
        <is>
          <t>Diseñar la interfaz de usuario de HU-45: pantalla 15 · Kárdex y 21 · Movimientos del día</t>
        </is>
      </c>
      <c r="G198" s="12" t="inlineStr">
        <is>
          <t>Fernando</t>
        </is>
      </c>
      <c r="H198" s="12" t="n">
        <v>1</v>
      </c>
      <c r="I198" s="12" t="inlineStr">
        <is>
          <t>23/10</t>
        </is>
      </c>
      <c r="J198" s="12" t="n"/>
      <c r="K198" s="12" t="inlineStr">
        <is>
          <t>Done</t>
        </is>
      </c>
      <c r="L198" s="12" t="inlineStr">
        <is>
          <t>Sí</t>
        </is>
      </c>
      <c r="M198" s="12" t="inlineStr">
        <is>
          <t>22/10/2026</t>
        </is>
      </c>
      <c r="N198" s="13" t="inlineStr">
        <is>
          <t>Mockup en el lienzo, revisado por el equipo</t>
        </is>
      </c>
      <c r="O198" s="12" t="inlineStr">
        <is>
          <t>Sí</t>
        </is>
      </c>
      <c r="P198" s="12" t="inlineStr">
        <is>
          <t>22/10/2026</t>
        </is>
      </c>
      <c r="Q198" s="13" t="inlineStr">
        <is>
          <t>Lienzo «SIGRO · Pantallas y diagramas del Sprint 1»</t>
        </is>
      </c>
      <c r="R198" s="12">
        <f>IF(AND(K198&lt;&gt;"To Do",L198&lt;&gt;"Sí"),"⚠ pasó a Doing sin DoR",IF(AND(K198="Done",O198&lt;&gt;"Sí"),"⚠ Done sin criterio cumplido",IF(AND(K198="Doing",COUNTIFS($G$6:$G$266,G198,$K$6:$K$266,"Doing",$E$6:$E$266,"&lt;&gt;Scrum")&gt;2,E198&lt;&gt;"Scrum"),"⚠ más de 2 en Doing","ok")))</f>
        <v/>
      </c>
      <c r="S198">
        <f>IF($K198="To Do",COUNTIF($K$6:$K198,"To Do"),"")</f>
        <v/>
      </c>
      <c r="T198">
        <f>IF($K198="Doing",COUNTIF($K$6:$K198,"Doing"),"")</f>
        <v/>
      </c>
      <c r="U198">
        <f>IF($K198="Done",COUNTIF($K$6:$K198,"Done"),"")</f>
        <v/>
      </c>
    </row>
    <row r="199" ht="42" customHeight="1">
      <c r="B199" s="12" t="inlineStr">
        <is>
          <t>T-194</t>
        </is>
      </c>
      <c r="C199" s="12" t="inlineStr">
        <is>
          <t>HU-45</t>
        </is>
      </c>
      <c r="D199" s="13" t="inlineStr">
        <is>
          <t>Corregir movimientos</t>
        </is>
      </c>
      <c r="E199" s="12" t="inlineStr">
        <is>
          <t>Modelado UML</t>
        </is>
      </c>
      <c r="F199" s="13" t="inlineStr">
        <is>
          <t>Modelar la funcionalidad de HU-45 con el diagrama UML de estados del movimiento (vigente → revertido)</t>
        </is>
      </c>
      <c r="G199" s="12" t="inlineStr">
        <is>
          <t>Henry</t>
        </is>
      </c>
      <c r="H199" s="12" t="n">
        <v>1</v>
      </c>
      <c r="I199" s="12" t="inlineStr">
        <is>
          <t>24/10</t>
        </is>
      </c>
      <c r="J199" s="12" t="inlineStr">
        <is>
          <t>T-193</t>
        </is>
      </c>
      <c r="K199" s="12" t="inlineStr">
        <is>
          <t>To Do</t>
        </is>
      </c>
      <c r="L199" s="12" t="n"/>
      <c r="M199" s="12" t="n"/>
      <c r="N199" s="13" t="inlineStr">
        <is>
          <t>Diagrama publicado en el repo o el lienzo</t>
        </is>
      </c>
      <c r="O199" s="12" t="n"/>
      <c r="P199" s="12" t="n"/>
      <c r="Q199" s="13" t="n"/>
      <c r="R199" s="12">
        <f>IF(AND(K199&lt;&gt;"To Do",L199&lt;&gt;"Sí"),"⚠ pasó a Doing sin DoR",IF(AND(K199="Done",O199&lt;&gt;"Sí"),"⚠ Done sin criterio cumplido",IF(AND(K199="Doing",COUNTIFS($G$6:$G$266,G199,$K$6:$K$266,"Doing",$E$6:$E$266,"&lt;&gt;Scrum")&gt;2,E199&lt;&gt;"Scrum"),"⚠ más de 2 en Doing","ok")))</f>
        <v/>
      </c>
      <c r="S199">
        <f>IF($K199="To Do",COUNTIF($K$6:$K199,"To Do"),"")</f>
        <v/>
      </c>
      <c r="T199">
        <f>IF($K199="Doing",COUNTIF($K$6:$K199,"Doing"),"")</f>
        <v/>
      </c>
      <c r="U199">
        <f>IF($K199="Done",COUNTIF($K$6:$K199,"Done"),"")</f>
        <v/>
      </c>
    </row>
    <row r="200" ht="42" customHeight="1">
      <c r="B200" s="12" t="inlineStr">
        <is>
          <t>T-195</t>
        </is>
      </c>
      <c r="C200" s="12" t="inlineStr">
        <is>
          <t>HU-45</t>
        </is>
      </c>
      <c r="D200" s="13" t="inlineStr">
        <is>
          <t>Corregir movimientos</t>
        </is>
      </c>
      <c r="E200" s="12" t="inlineStr">
        <is>
          <t>Base de datos</t>
        </is>
      </c>
      <c r="F200" s="13" t="inlineStr">
        <is>
          <t>Implementar las tablas asociadas a HU-45: movimiento.movimiento_origen_id (reverso)</t>
        </is>
      </c>
      <c r="G200" s="12" t="inlineStr">
        <is>
          <t>Adiel</t>
        </is>
      </c>
      <c r="H200" s="12" t="n">
        <v>1</v>
      </c>
      <c r="I200" s="12" t="inlineStr">
        <is>
          <t>24/10</t>
        </is>
      </c>
      <c r="J200" s="12" t="inlineStr">
        <is>
          <t>T-194</t>
        </is>
      </c>
      <c r="K200" s="12" t="inlineStr">
        <is>
          <t>To Do</t>
        </is>
      </c>
      <c r="L200" s="12" t="n"/>
      <c r="M200" s="12" t="n"/>
      <c r="N200" s="13" t="inlineStr">
        <is>
          <t>Migración fusionada, corre en base limpia y con datos, y se revierte</t>
        </is>
      </c>
      <c r="O200" s="12" t="n"/>
      <c r="P200" s="12" t="n"/>
      <c r="Q200" s="13" t="n"/>
      <c r="R200" s="12">
        <f>IF(AND(K200&lt;&gt;"To Do",L200&lt;&gt;"Sí"),"⚠ pasó a Doing sin DoR",IF(AND(K200="Done",O200&lt;&gt;"Sí"),"⚠ Done sin criterio cumplido",IF(AND(K200="Doing",COUNTIFS($G$6:$G$266,G200,$K$6:$K$266,"Doing",$E$6:$E$266,"&lt;&gt;Scrum")&gt;2,E200&lt;&gt;"Scrum"),"⚠ más de 2 en Doing","ok")))</f>
        <v/>
      </c>
      <c r="S200">
        <f>IF($K200="To Do",COUNTIF($K$6:$K200,"To Do"),"")</f>
        <v/>
      </c>
      <c r="T200">
        <f>IF($K200="Doing",COUNTIF($K$6:$K200,"Doing"),"")</f>
        <v/>
      </c>
      <c r="U200">
        <f>IF($K200="Done",COUNTIF($K$6:$K200,"Done"),"")</f>
        <v/>
      </c>
    </row>
    <row r="201" ht="42" customHeight="1">
      <c r="B201" s="12" t="inlineStr">
        <is>
          <t>T-196</t>
        </is>
      </c>
      <c r="C201" s="12" t="inlineStr">
        <is>
          <t>HU-45</t>
        </is>
      </c>
      <c r="D201" s="13" t="inlineStr">
        <is>
          <t>Corregir movimientos</t>
        </is>
      </c>
      <c r="E201" s="12" t="inlineStr">
        <is>
          <t>Backend</t>
        </is>
      </c>
      <c r="F201" s="13" t="inlineStr">
        <is>
          <t>Programar el back-end de HU-45 (entidad, repositorio, servicio y controlador): el reverso que apunta al original, sin UPDATE ni DELETE</t>
        </is>
      </c>
      <c r="G201" s="12" t="inlineStr">
        <is>
          <t>Adiel</t>
        </is>
      </c>
      <c r="H201" s="12" t="n">
        <v>3</v>
      </c>
      <c r="I201" s="12" t="inlineStr">
        <is>
          <t>25/10</t>
        </is>
      </c>
      <c r="J201" s="12" t="inlineStr">
        <is>
          <t>T-195</t>
        </is>
      </c>
      <c r="K201" s="12" t="inlineStr">
        <is>
          <t>To Do</t>
        </is>
      </c>
      <c r="L201" s="12" t="n"/>
      <c r="M201" s="12" t="n"/>
      <c r="N201" s="13" t="inlineStr">
        <is>
          <t>PR fusionado con sus pruebas automáticas en verde y el endpoint documentado</t>
        </is>
      </c>
      <c r="O201" s="12" t="n"/>
      <c r="P201" s="12" t="n"/>
      <c r="Q201" s="13" t="n"/>
      <c r="R201" s="12">
        <f>IF(AND(K201&lt;&gt;"To Do",L201&lt;&gt;"Sí"),"⚠ pasó a Doing sin DoR",IF(AND(K201="Done",O201&lt;&gt;"Sí"),"⚠ Done sin criterio cumplido",IF(AND(K201="Doing",COUNTIFS($G$6:$G$266,G201,$K$6:$K$266,"Doing",$E$6:$E$266,"&lt;&gt;Scrum")&gt;2,E201&lt;&gt;"Scrum"),"⚠ más de 2 en Doing","ok")))</f>
        <v/>
      </c>
      <c r="S201">
        <f>IF($K201="To Do",COUNTIF($K$6:$K201,"To Do"),"")</f>
        <v/>
      </c>
      <c r="T201">
        <f>IF($K201="Doing",COUNTIF($K$6:$K201,"Doing"),"")</f>
        <v/>
      </c>
      <c r="U201">
        <f>IF($K201="Done",COUNTIF($K$6:$K201,"Done"),"")</f>
        <v/>
      </c>
    </row>
    <row r="202" ht="42" customHeight="1">
      <c r="B202" s="12" t="inlineStr">
        <is>
          <t>T-197</t>
        </is>
      </c>
      <c r="C202" s="12" t="inlineStr">
        <is>
          <t>HU-45</t>
        </is>
      </c>
      <c r="D202" s="13" t="inlineStr">
        <is>
          <t>Corregir movimientos</t>
        </is>
      </c>
      <c r="E202" s="12" t="inlineStr">
        <is>
          <t>Front-end web</t>
        </is>
      </c>
      <c r="F202" s="13" t="inlineStr">
        <is>
          <t>Programar la corrección con reverso desde el kárdex web</t>
        </is>
      </c>
      <c r="G202" s="12" t="inlineStr">
        <is>
          <t>Fernando</t>
        </is>
      </c>
      <c r="H202" s="12" t="n">
        <v>3</v>
      </c>
      <c r="I202" s="12" t="inlineStr">
        <is>
          <t>26/10</t>
        </is>
      </c>
      <c r="J202" s="12" t="n"/>
      <c r="K202" s="12" t="inlineStr">
        <is>
          <t>Done</t>
        </is>
      </c>
      <c r="L202" s="12" t="inlineStr">
        <is>
          <t>Sí</t>
        </is>
      </c>
      <c r="M202" s="12" t="inlineStr">
        <is>
          <t>22/10/2026</t>
        </is>
      </c>
      <c r="N202" s="13" t="inlineStr">
        <is>
          <t>PR fusionado, build sin errores, modo claro/oscuro y escala 125 %</t>
        </is>
      </c>
      <c r="O202" s="12" t="inlineStr">
        <is>
          <t>Sí</t>
        </is>
      </c>
      <c r="P202" s="12" t="inlineStr">
        <is>
          <t>22/10/2026</t>
        </is>
      </c>
      <c r="Q202" s="13" t="inlineStr">
        <is>
          <t>Commit del 22/10 09:30 (datos simulados)</t>
        </is>
      </c>
      <c r="R202" s="12">
        <f>IF(AND(K202&lt;&gt;"To Do",L202&lt;&gt;"Sí"),"⚠ pasó a Doing sin DoR",IF(AND(K202="Done",O202&lt;&gt;"Sí"),"⚠ Done sin criterio cumplido",IF(AND(K202="Doing",COUNTIFS($G$6:$G$266,G202,$K$6:$K$266,"Doing",$E$6:$E$266,"&lt;&gt;Scrum")&gt;2,E202&lt;&gt;"Scrum"),"⚠ más de 2 en Doing","ok")))</f>
        <v/>
      </c>
      <c r="S202">
        <f>IF($K202="To Do",COUNTIF($K$6:$K202,"To Do"),"")</f>
        <v/>
      </c>
      <c r="T202">
        <f>IF($K202="Doing",COUNTIF($K$6:$K202,"Doing"),"")</f>
        <v/>
      </c>
      <c r="U202">
        <f>IF($K202="Done",COUNTIF($K$6:$K202,"Done"),"")</f>
        <v/>
      </c>
    </row>
    <row r="203" ht="42" customHeight="1">
      <c r="B203" s="12" t="inlineStr">
        <is>
          <t>T-198</t>
        </is>
      </c>
      <c r="C203" s="12" t="inlineStr">
        <is>
          <t>HU-45</t>
        </is>
      </c>
      <c r="D203" s="13" t="inlineStr">
        <is>
          <t>Corregir movimientos</t>
        </is>
      </c>
      <c r="E203" s="12" t="inlineStr">
        <is>
          <t>Conexión API</t>
        </is>
      </c>
      <c r="F203" s="13" t="inlineStr">
        <is>
          <t>Conectar el reverso con la API real</t>
        </is>
      </c>
      <c r="G203" s="12" t="inlineStr">
        <is>
          <t>Henry</t>
        </is>
      </c>
      <c r="H203" s="12" t="n">
        <v>3</v>
      </c>
      <c r="I203" s="12" t="inlineStr">
        <is>
          <t>26/10</t>
        </is>
      </c>
      <c r="J203" s="12" t="inlineStr">
        <is>
          <t>T-196, T-197, T-240</t>
        </is>
      </c>
      <c r="K203" s="12" t="inlineStr">
        <is>
          <t>To Do</t>
        </is>
      </c>
      <c r="L203" s="12" t="n"/>
      <c r="M203" s="12" t="n"/>
      <c r="N203" s="13" t="inlineStr">
        <is>
          <t>La pantalla muestra los datos reales del servidor y sus errores</t>
        </is>
      </c>
      <c r="O203" s="12" t="n"/>
      <c r="P203" s="12" t="n"/>
      <c r="Q203" s="13" t="n"/>
      <c r="R203" s="12">
        <f>IF(AND(K203&lt;&gt;"To Do",L203&lt;&gt;"Sí"),"⚠ pasó a Doing sin DoR",IF(AND(K203="Done",O203&lt;&gt;"Sí"),"⚠ Done sin criterio cumplido",IF(AND(K203="Doing",COUNTIFS($G$6:$G$266,G203,$K$6:$K$266,"Doing",$E$6:$E$266,"&lt;&gt;Scrum")&gt;2,E203&lt;&gt;"Scrum"),"⚠ más de 2 en Doing","ok")))</f>
        <v/>
      </c>
      <c r="S203">
        <f>IF($K203="To Do",COUNTIF($K$6:$K203,"To Do"),"")</f>
        <v/>
      </c>
      <c r="T203">
        <f>IF($K203="Doing",COUNTIF($K$6:$K203,"Doing"),"")</f>
        <v/>
      </c>
      <c r="U203">
        <f>IF($K203="Done",COUNTIF($K$6:$K203,"Done"),"")</f>
        <v/>
      </c>
    </row>
    <row r="204" ht="42" customHeight="1">
      <c r="B204" s="12" t="inlineStr">
        <is>
          <t>T-199</t>
        </is>
      </c>
      <c r="C204" s="12" t="inlineStr">
        <is>
          <t>HU-45</t>
        </is>
      </c>
      <c r="D204" s="13" t="inlineStr">
        <is>
          <t>Corregir movimientos</t>
        </is>
      </c>
      <c r="E204" s="12" t="inlineStr">
        <is>
          <t>Pruebas</t>
        </is>
      </c>
      <c r="F204" s="13" t="inlineStr">
        <is>
          <t>Probar la funcionalidad de HU-45 (la API con Postman y la pantalla web) contra cada condición final y aprobar su PR</t>
        </is>
      </c>
      <c r="G204" s="12" t="inlineStr">
        <is>
          <t>Fernando</t>
        </is>
      </c>
      <c r="H204" s="12" t="n">
        <v>1</v>
      </c>
      <c r="I204" s="12" t="inlineStr">
        <is>
          <t>27/10</t>
        </is>
      </c>
      <c r="J204" s="12" t="inlineStr">
        <is>
          <t>T-195, T-196, T-197, T-198, T-233</t>
        </is>
      </c>
      <c r="K204" s="12" t="inlineStr">
        <is>
          <t>To Do</t>
        </is>
      </c>
      <c r="L204" s="12" t="n"/>
      <c r="M204" s="12" t="n"/>
      <c r="N204" s="13" t="inlineStr">
        <is>
          <t>Cada condición final verificada con Postman y en la interfaz; PR aprobado por alguien distinto del autor</t>
        </is>
      </c>
      <c r="O204" s="12" t="n"/>
      <c r="P204" s="12" t="n"/>
      <c r="Q204" s="13" t="n"/>
      <c r="R204" s="12">
        <f>IF(AND(K204&lt;&gt;"To Do",L204&lt;&gt;"Sí"),"⚠ pasó a Doing sin DoR",IF(AND(K204="Done",O204&lt;&gt;"Sí"),"⚠ Done sin criterio cumplido",IF(AND(K204="Doing",COUNTIFS($G$6:$G$266,G204,$K$6:$K$266,"Doing",$E$6:$E$266,"&lt;&gt;Scrum")&gt;2,E204&lt;&gt;"Scrum"),"⚠ más de 2 en Doing","ok")))</f>
        <v/>
      </c>
      <c r="S204">
        <f>IF($K204="To Do",COUNTIF($K$6:$K204,"To Do"),"")</f>
        <v/>
      </c>
      <c r="T204">
        <f>IF($K204="Doing",COUNTIF($K$6:$K204,"Doing"),"")</f>
        <v/>
      </c>
      <c r="U204">
        <f>IF($K204="Done",COUNTIF($K$6:$K204,"Done"),"")</f>
        <v/>
      </c>
    </row>
    <row r="205" ht="42" customHeight="1">
      <c r="B205" s="14" t="inlineStr">
        <is>
          <t>T-200</t>
        </is>
      </c>
      <c r="C205" s="14" t="inlineStr">
        <is>
          <t>HU-45</t>
        </is>
      </c>
      <c r="D205" s="15" t="inlineStr">
        <is>
          <t>Corregir movimientos</t>
        </is>
      </c>
      <c r="E205" s="14" t="inlineStr">
        <is>
          <t>Aceptación</t>
        </is>
      </c>
      <c r="F205" s="15" t="inlineStr">
        <is>
          <t>Aceptar HU-45 como Product Owner desde la interfaz y moverla a Done</t>
        </is>
      </c>
      <c r="G205" s="14" t="inlineStr">
        <is>
          <t>Adiel</t>
        </is>
      </c>
      <c r="H205" s="14" t="n">
        <v>0.5</v>
      </c>
      <c r="I205" s="14" t="inlineStr">
        <is>
          <t>27/10</t>
        </is>
      </c>
      <c r="J205" s="14" t="inlineStr">
        <is>
          <t>T-199</t>
        </is>
      </c>
      <c r="K205" s="14" t="inlineStr">
        <is>
          <t>To Do</t>
        </is>
      </c>
      <c r="L205" s="14" t="n"/>
      <c r="M205" s="14" t="n"/>
      <c r="N205" s="15" t="inlineStr">
        <is>
          <t>DoD T1–T10 + condiciones finales aceptadas por el PO → la HU pasa a Done</t>
        </is>
      </c>
      <c r="O205" s="14" t="n"/>
      <c r="P205" s="14" t="n"/>
      <c r="Q205" s="15" t="n"/>
      <c r="R205" s="14">
        <f>IF(AND(K205&lt;&gt;"To Do",L205&lt;&gt;"Sí"),"⚠ pasó a Doing sin DoR",IF(AND(K205="Done",O205&lt;&gt;"Sí"),"⚠ Done sin criterio cumplido",IF(AND(K205="Doing",COUNTIFS($G$6:$G$266,G205,$K$6:$K$266,"Doing",$E$6:$E$266,"&lt;&gt;Scrum")&gt;2,E205&lt;&gt;"Scrum"),"⚠ más de 2 en Doing","ok")))</f>
        <v/>
      </c>
      <c r="S205">
        <f>IF($K205="To Do",COUNTIF($K$6:$K205,"To Do"),"")</f>
        <v/>
      </c>
      <c r="T205">
        <f>IF($K205="Doing",COUNTIF($K$6:$K205,"Doing"),"")</f>
        <v/>
      </c>
      <c r="U205">
        <f>IF($K205="Done",COUNTIF($K$6:$K205,"Done"),"")</f>
        <v/>
      </c>
    </row>
    <row r="206" ht="42" customHeight="1">
      <c r="B206" s="12" t="inlineStr">
        <is>
          <t>T-201</t>
        </is>
      </c>
      <c r="C206" s="12" t="inlineStr">
        <is>
          <t>HU-55</t>
        </is>
      </c>
      <c r="D206" s="13" t="inlineStr">
        <is>
          <t>Valorizar salidas</t>
        </is>
      </c>
      <c r="E206" s="12" t="inlineStr">
        <is>
          <t>Diseño UI</t>
        </is>
      </c>
      <c r="F206" s="13" t="inlineStr">
        <is>
          <t>Diseñar la interfaz de usuario de HU-55: pantalla 3 · Registrar salida y 13 · Tablero</t>
        </is>
      </c>
      <c r="G206" s="12" t="inlineStr">
        <is>
          <t>Fernando</t>
        </is>
      </c>
      <c r="H206" s="12" t="n">
        <v>1</v>
      </c>
      <c r="I206" s="12" t="inlineStr">
        <is>
          <t>23/10</t>
        </is>
      </c>
      <c r="J206" s="12" t="n"/>
      <c r="K206" s="12" t="inlineStr">
        <is>
          <t>Done</t>
        </is>
      </c>
      <c r="L206" s="12" t="inlineStr">
        <is>
          <t>Sí</t>
        </is>
      </c>
      <c r="M206" s="12" t="inlineStr">
        <is>
          <t>22/10/2026</t>
        </is>
      </c>
      <c r="N206" s="13" t="inlineStr">
        <is>
          <t>Mockup en el lienzo, revisado por el equipo</t>
        </is>
      </c>
      <c r="O206" s="12" t="inlineStr">
        <is>
          <t>Sí</t>
        </is>
      </c>
      <c r="P206" s="12" t="inlineStr">
        <is>
          <t>22/10/2026</t>
        </is>
      </c>
      <c r="Q206" s="13" t="inlineStr">
        <is>
          <t>Lienzo «SIGRO · Pantallas y diagramas del Sprint 1»</t>
        </is>
      </c>
      <c r="R206" s="12">
        <f>IF(AND(K206&lt;&gt;"To Do",L206&lt;&gt;"Sí"),"⚠ pasó a Doing sin DoR",IF(AND(K206="Done",O206&lt;&gt;"Sí"),"⚠ Done sin criterio cumplido",IF(AND(K206="Doing",COUNTIFS($G$6:$G$266,G206,$K$6:$K$266,"Doing",$E$6:$E$266,"&lt;&gt;Scrum")&gt;2,E206&lt;&gt;"Scrum"),"⚠ más de 2 en Doing","ok")))</f>
        <v/>
      </c>
      <c r="S206">
        <f>IF($K206="To Do",COUNTIF($K$6:$K206,"To Do"),"")</f>
        <v/>
      </c>
      <c r="T206">
        <f>IF($K206="Doing",COUNTIF($K$6:$K206,"Doing"),"")</f>
        <v/>
      </c>
      <c r="U206">
        <f>IF($K206="Done",COUNTIF($K$6:$K206,"Done"),"")</f>
        <v/>
      </c>
    </row>
    <row r="207" ht="42" customHeight="1">
      <c r="B207" s="12" t="inlineStr">
        <is>
          <t>T-202</t>
        </is>
      </c>
      <c r="C207" s="12" t="inlineStr">
        <is>
          <t>HU-55</t>
        </is>
      </c>
      <c r="D207" s="13" t="inlineStr">
        <is>
          <t>Valorizar salidas</t>
        </is>
      </c>
      <c r="E207" s="12" t="inlineStr">
        <is>
          <t>Modelado UML</t>
        </is>
      </c>
      <c r="F207" s="13" t="inlineStr">
        <is>
          <t>Modelar la funcionalidad de HU-55 con el diagrama UML de secuencia de la recepción y el costo promedio ponderado</t>
        </is>
      </c>
      <c r="G207" s="12" t="inlineStr">
        <is>
          <t>Fernando</t>
        </is>
      </c>
      <c r="H207" s="12" t="n">
        <v>1</v>
      </c>
      <c r="I207" s="12" t="inlineStr">
        <is>
          <t>24/10</t>
        </is>
      </c>
      <c r="J207" s="12" t="n"/>
      <c r="K207" s="12" t="inlineStr">
        <is>
          <t>Done</t>
        </is>
      </c>
      <c r="L207" s="12" t="inlineStr">
        <is>
          <t>Sí</t>
        </is>
      </c>
      <c r="M207" s="12" t="inlineStr">
        <is>
          <t>22/10/2026</t>
        </is>
      </c>
      <c r="N207" s="13" t="inlineStr">
        <is>
          <t>Diagrama publicado en el repo o el lienzo</t>
        </is>
      </c>
      <c r="O207" s="12" t="inlineStr">
        <is>
          <t>Sí</t>
        </is>
      </c>
      <c r="P207" s="12" t="inlineStr">
        <is>
          <t>22/10/2026</t>
        </is>
      </c>
      <c r="Q207" s="13" t="inlineStr">
        <is>
          <t>Lienzo del Sprint 1</t>
        </is>
      </c>
      <c r="R207" s="12">
        <f>IF(AND(K207&lt;&gt;"To Do",L207&lt;&gt;"Sí"),"⚠ pasó a Doing sin DoR",IF(AND(K207="Done",O207&lt;&gt;"Sí"),"⚠ Done sin criterio cumplido",IF(AND(K207="Doing",COUNTIFS($G$6:$G$266,G207,$K$6:$K$266,"Doing",$E$6:$E$266,"&lt;&gt;Scrum")&gt;2,E207&lt;&gt;"Scrum"),"⚠ más de 2 en Doing","ok")))</f>
        <v/>
      </c>
      <c r="S207">
        <f>IF($K207="To Do",COUNTIF($K$6:$K207,"To Do"),"")</f>
        <v/>
      </c>
      <c r="T207">
        <f>IF($K207="Doing",COUNTIF($K$6:$K207,"Doing"),"")</f>
        <v/>
      </c>
      <c r="U207">
        <f>IF($K207="Done",COUNTIF($K$6:$K207,"Done"),"")</f>
        <v/>
      </c>
    </row>
    <row r="208" ht="42" customHeight="1">
      <c r="B208" s="12" t="inlineStr">
        <is>
          <t>T-203</t>
        </is>
      </c>
      <c r="C208" s="12" t="inlineStr">
        <is>
          <t>HU-55</t>
        </is>
      </c>
      <c r="D208" s="13" t="inlineStr">
        <is>
          <t>Valorizar salidas</t>
        </is>
      </c>
      <c r="E208" s="12" t="inlineStr">
        <is>
          <t>Base de datos</t>
        </is>
      </c>
      <c r="F208" s="13" t="inlineStr">
        <is>
          <t>Implementar las tablas asociadas a HU-55: costo_promedio por insumo y almacén</t>
        </is>
      </c>
      <c r="G208" s="12" t="inlineStr">
        <is>
          <t>Adiel</t>
        </is>
      </c>
      <c r="H208" s="12" t="n">
        <v>1</v>
      </c>
      <c r="I208" s="12" t="inlineStr">
        <is>
          <t>24/10</t>
        </is>
      </c>
      <c r="J208" s="12" t="inlineStr">
        <is>
          <t>T-202</t>
        </is>
      </c>
      <c r="K208" s="12" t="inlineStr">
        <is>
          <t>To Do</t>
        </is>
      </c>
      <c r="L208" s="12" t="n"/>
      <c r="M208" s="12" t="n"/>
      <c r="N208" s="13" t="inlineStr">
        <is>
          <t>Migración fusionada, corre en base limpia y con datos, y se revierte</t>
        </is>
      </c>
      <c r="O208" s="12" t="n"/>
      <c r="P208" s="12" t="n"/>
      <c r="Q208" s="13" t="n"/>
      <c r="R208" s="12">
        <f>IF(AND(K208&lt;&gt;"To Do",L208&lt;&gt;"Sí"),"⚠ pasó a Doing sin DoR",IF(AND(K208="Done",O208&lt;&gt;"Sí"),"⚠ Done sin criterio cumplido",IF(AND(K208="Doing",COUNTIFS($G$6:$G$266,G208,$K$6:$K$266,"Doing",$E$6:$E$266,"&lt;&gt;Scrum")&gt;2,E208&lt;&gt;"Scrum"),"⚠ más de 2 en Doing","ok")))</f>
        <v/>
      </c>
      <c r="S208">
        <f>IF($K208="To Do",COUNTIF($K$6:$K208,"To Do"),"")</f>
        <v/>
      </c>
      <c r="T208">
        <f>IF($K208="Doing",COUNTIF($K$6:$K208,"Doing"),"")</f>
        <v/>
      </c>
      <c r="U208">
        <f>IF($K208="Done",COUNTIF($K$6:$K208,"Done"),"")</f>
        <v/>
      </c>
    </row>
    <row r="209" ht="42" customHeight="1">
      <c r="B209" s="12" t="inlineStr">
        <is>
          <t>T-204</t>
        </is>
      </c>
      <c r="C209" s="12" t="inlineStr">
        <is>
          <t>HU-55</t>
        </is>
      </c>
      <c r="D209" s="13" t="inlineStr">
        <is>
          <t>Valorizar salidas</t>
        </is>
      </c>
      <c r="E209" s="12" t="inlineStr">
        <is>
          <t>Backend</t>
        </is>
      </c>
      <c r="F209" s="13" t="inlineStr">
        <is>
          <t>Programar el back-end de HU-55 (entidad, repositorio, servicio y controlador): el costo promedio ponderado congelado en cada salida, sin IGV de factura (NIC 2)</t>
        </is>
      </c>
      <c r="G209" s="12" t="inlineStr">
        <is>
          <t>Adiel</t>
        </is>
      </c>
      <c r="H209" s="12" t="n">
        <v>7</v>
      </c>
      <c r="I209" s="12" t="inlineStr">
        <is>
          <t>25/10</t>
        </is>
      </c>
      <c r="J209" s="12" t="inlineStr">
        <is>
          <t>T-203</t>
        </is>
      </c>
      <c r="K209" s="12" t="inlineStr">
        <is>
          <t>To Do</t>
        </is>
      </c>
      <c r="L209" s="12" t="n"/>
      <c r="M209" s="12" t="n"/>
      <c r="N209" s="13" t="inlineStr">
        <is>
          <t>PR fusionado con sus pruebas automáticas en verde y el endpoint documentado</t>
        </is>
      </c>
      <c r="O209" s="12" t="n"/>
      <c r="P209" s="12" t="n"/>
      <c r="Q209" s="13" t="n"/>
      <c r="R209" s="12">
        <f>IF(AND(K209&lt;&gt;"To Do",L209&lt;&gt;"Sí"),"⚠ pasó a Doing sin DoR",IF(AND(K209="Done",O209&lt;&gt;"Sí"),"⚠ Done sin criterio cumplido",IF(AND(K209="Doing",COUNTIFS($G$6:$G$266,G209,$K$6:$K$266,"Doing",$E$6:$E$266,"&lt;&gt;Scrum")&gt;2,E209&lt;&gt;"Scrum"),"⚠ más de 2 en Doing","ok")))</f>
        <v/>
      </c>
      <c r="S209">
        <f>IF($K209="To Do",COUNTIF($K$6:$K209,"To Do"),"")</f>
        <v/>
      </c>
      <c r="T209">
        <f>IF($K209="Doing",COUNTIF($K$6:$K209,"Doing"),"")</f>
        <v/>
      </c>
      <c r="U209">
        <f>IF($K209="Done",COUNTIF($K$6:$K209,"Done"),"")</f>
        <v/>
      </c>
    </row>
    <row r="210" ht="42" customHeight="1">
      <c r="B210" s="12" t="inlineStr">
        <is>
          <t>T-205</t>
        </is>
      </c>
      <c r="C210" s="12" t="inlineStr">
        <is>
          <t>HU-55</t>
        </is>
      </c>
      <c r="D210" s="13" t="inlineStr">
        <is>
          <t>Valorizar salidas</t>
        </is>
      </c>
      <c r="E210" s="12" t="inlineStr">
        <is>
          <t>Triggers y funciones</t>
        </is>
      </c>
      <c r="F210" s="13" t="inlineStr">
        <is>
          <t>Implementar la función que recalcula el costo promedio ponderado en cada ingreso (HU-55)</t>
        </is>
      </c>
      <c r="G210" s="12" t="inlineStr">
        <is>
          <t>Adiel</t>
        </is>
      </c>
      <c r="H210" s="12" t="n">
        <v>1</v>
      </c>
      <c r="I210" s="12" t="inlineStr">
        <is>
          <t>25/10</t>
        </is>
      </c>
      <c r="J210" s="12" t="inlineStr">
        <is>
          <t>T-203</t>
        </is>
      </c>
      <c r="K210" s="12" t="inlineStr">
        <is>
          <t>To Do</t>
        </is>
      </c>
      <c r="L210" s="12" t="n"/>
      <c r="M210" s="12" t="n"/>
      <c r="N210" s="13" t="inlineStr">
        <is>
          <t>Regla en la base con su prueba, en un PR fusionado</t>
        </is>
      </c>
      <c r="O210" s="12" t="n"/>
      <c r="P210" s="12" t="n"/>
      <c r="Q210" s="13" t="n"/>
      <c r="R210" s="12">
        <f>IF(AND(K210&lt;&gt;"To Do",L210&lt;&gt;"Sí"),"⚠ pasó a Doing sin DoR",IF(AND(K210="Done",O210&lt;&gt;"Sí"),"⚠ Done sin criterio cumplido",IF(AND(K210="Doing",COUNTIFS($G$6:$G$266,G210,$K$6:$K$266,"Doing",$E$6:$E$266,"&lt;&gt;Scrum")&gt;2,E210&lt;&gt;"Scrum"),"⚠ más de 2 en Doing","ok")))</f>
        <v/>
      </c>
      <c r="S210">
        <f>IF($K210="To Do",COUNTIF($K$6:$K210,"To Do"),"")</f>
        <v/>
      </c>
      <c r="T210">
        <f>IF($K210="Doing",COUNTIF($K$6:$K210,"Doing"),"")</f>
        <v/>
      </c>
      <c r="U210">
        <f>IF($K210="Done",COUNTIF($K$6:$K210,"Done"),"")</f>
        <v/>
      </c>
    </row>
    <row r="211" ht="42" customHeight="1">
      <c r="B211" s="12" t="inlineStr">
        <is>
          <t>T-206</t>
        </is>
      </c>
      <c r="C211" s="12" t="inlineStr">
        <is>
          <t>HU-55</t>
        </is>
      </c>
      <c r="D211" s="13" t="inlineStr">
        <is>
          <t>Valorizar salidas</t>
        </is>
      </c>
      <c r="E211" s="12" t="inlineStr">
        <is>
          <t>Front-end web</t>
        </is>
      </c>
      <c r="F211" s="13" t="inlineStr">
        <is>
          <t>Mostrar la salida valorizada en el kárdex y en el reporte web</t>
        </is>
      </c>
      <c r="G211" s="12" t="inlineStr">
        <is>
          <t>Henry</t>
        </is>
      </c>
      <c r="H211" s="12" t="n">
        <v>7</v>
      </c>
      <c r="I211" s="12" t="inlineStr">
        <is>
          <t>26/10</t>
        </is>
      </c>
      <c r="J211" s="12" t="inlineStr">
        <is>
          <t>T-201</t>
        </is>
      </c>
      <c r="K211" s="12" t="inlineStr">
        <is>
          <t>To Do</t>
        </is>
      </c>
      <c r="L211" s="12" t="n"/>
      <c r="M211" s="12" t="n"/>
      <c r="N211" s="13" t="inlineStr">
        <is>
          <t>PR fusionado, build sin errores, modo claro/oscuro y escala 125 %</t>
        </is>
      </c>
      <c r="O211" s="12" t="n"/>
      <c r="P211" s="12" t="n"/>
      <c r="Q211" s="13" t="n"/>
      <c r="R211" s="12">
        <f>IF(AND(K211&lt;&gt;"To Do",L211&lt;&gt;"Sí"),"⚠ pasó a Doing sin DoR",IF(AND(K211="Done",O211&lt;&gt;"Sí"),"⚠ Done sin criterio cumplido",IF(AND(K211="Doing",COUNTIFS($G$6:$G$266,G211,$K$6:$K$266,"Doing",$E$6:$E$266,"&lt;&gt;Scrum")&gt;2,E211&lt;&gt;"Scrum"),"⚠ más de 2 en Doing","ok")))</f>
        <v/>
      </c>
      <c r="S211">
        <f>IF($K211="To Do",COUNTIF($K$6:$K211,"To Do"),"")</f>
        <v/>
      </c>
      <c r="T211">
        <f>IF($K211="Doing",COUNTIF($K$6:$K211,"Doing"),"")</f>
        <v/>
      </c>
      <c r="U211">
        <f>IF($K211="Done",COUNTIF($K$6:$K211,"Done"),"")</f>
        <v/>
      </c>
    </row>
    <row r="212" ht="42" customHeight="1">
      <c r="B212" s="12" t="inlineStr">
        <is>
          <t>T-207</t>
        </is>
      </c>
      <c r="C212" s="12" t="inlineStr">
        <is>
          <t>HU-55</t>
        </is>
      </c>
      <c r="D212" s="13" t="inlineStr">
        <is>
          <t>Valorizar salidas</t>
        </is>
      </c>
      <c r="E212" s="12" t="inlineStr">
        <is>
          <t>Pruebas</t>
        </is>
      </c>
      <c r="F212" s="13" t="inlineStr">
        <is>
          <t>Probar la funcionalidad de HU-55 (la API con Postman y la pantalla web) contra cada condición final y aprobar su PR</t>
        </is>
      </c>
      <c r="G212" s="12" t="inlineStr">
        <is>
          <t>Fernando</t>
        </is>
      </c>
      <c r="H212" s="12" t="n">
        <v>1</v>
      </c>
      <c r="I212" s="12" t="inlineStr">
        <is>
          <t>27/10</t>
        </is>
      </c>
      <c r="J212" s="12" t="inlineStr">
        <is>
          <t>T-203, T-204, T-205, T-206, T-233</t>
        </is>
      </c>
      <c r="K212" s="12" t="inlineStr">
        <is>
          <t>To Do</t>
        </is>
      </c>
      <c r="L212" s="12" t="n"/>
      <c r="M212" s="12" t="n"/>
      <c r="N212" s="13" t="inlineStr">
        <is>
          <t>Cada condición final verificada con Postman y en la interfaz; PR aprobado por alguien distinto del autor</t>
        </is>
      </c>
      <c r="O212" s="12" t="n"/>
      <c r="P212" s="12" t="n"/>
      <c r="Q212" s="13" t="n"/>
      <c r="R212" s="12">
        <f>IF(AND(K212&lt;&gt;"To Do",L212&lt;&gt;"Sí"),"⚠ pasó a Doing sin DoR",IF(AND(K212="Done",O212&lt;&gt;"Sí"),"⚠ Done sin criterio cumplido",IF(AND(K212="Doing",COUNTIFS($G$6:$G$266,G212,$K$6:$K$266,"Doing",$E$6:$E$266,"&lt;&gt;Scrum")&gt;2,E212&lt;&gt;"Scrum"),"⚠ más de 2 en Doing","ok")))</f>
        <v/>
      </c>
      <c r="S212">
        <f>IF($K212="To Do",COUNTIF($K$6:$K212,"To Do"),"")</f>
        <v/>
      </c>
      <c r="T212">
        <f>IF($K212="Doing",COUNTIF($K$6:$K212,"Doing"),"")</f>
        <v/>
      </c>
      <c r="U212">
        <f>IF($K212="Done",COUNTIF($K$6:$K212,"Done"),"")</f>
        <v/>
      </c>
    </row>
    <row r="213" ht="42" customHeight="1">
      <c r="B213" s="14" t="inlineStr">
        <is>
          <t>T-208</t>
        </is>
      </c>
      <c r="C213" s="14" t="inlineStr">
        <is>
          <t>HU-55</t>
        </is>
      </c>
      <c r="D213" s="15" t="inlineStr">
        <is>
          <t>Valorizar salidas</t>
        </is>
      </c>
      <c r="E213" s="14" t="inlineStr">
        <is>
          <t>Aceptación</t>
        </is>
      </c>
      <c r="F213" s="15" t="inlineStr">
        <is>
          <t>Aceptar HU-55 como Product Owner desde la interfaz y moverla a Done</t>
        </is>
      </c>
      <c r="G213" s="14" t="inlineStr">
        <is>
          <t>Adiel</t>
        </is>
      </c>
      <c r="H213" s="14" t="n">
        <v>0.5</v>
      </c>
      <c r="I213" s="14" t="inlineStr">
        <is>
          <t>27/10</t>
        </is>
      </c>
      <c r="J213" s="14" t="inlineStr">
        <is>
          <t>T-207</t>
        </is>
      </c>
      <c r="K213" s="14" t="inlineStr">
        <is>
          <t>To Do</t>
        </is>
      </c>
      <c r="L213" s="14" t="n"/>
      <c r="M213" s="14" t="n"/>
      <c r="N213" s="15" t="inlineStr">
        <is>
          <t>DoD T1–T10 + condiciones finales aceptadas por el PO → la HU pasa a Done</t>
        </is>
      </c>
      <c r="O213" s="14" t="n"/>
      <c r="P213" s="14" t="n"/>
      <c r="Q213" s="15" t="n"/>
      <c r="R213" s="14">
        <f>IF(AND(K213&lt;&gt;"To Do",L213&lt;&gt;"Sí"),"⚠ pasó a Doing sin DoR",IF(AND(K213="Done",O213&lt;&gt;"Sí"),"⚠ Done sin criterio cumplido",IF(AND(K213="Doing",COUNTIFS($G$6:$G$266,G213,$K$6:$K$266,"Doing",$E$6:$E$266,"&lt;&gt;Scrum")&gt;2,E213&lt;&gt;"Scrum"),"⚠ más de 2 en Doing","ok")))</f>
        <v/>
      </c>
      <c r="S213">
        <f>IF($K213="To Do",COUNTIF($K$6:$K213,"To Do"),"")</f>
        <v/>
      </c>
      <c r="T213">
        <f>IF($K213="Doing",COUNTIF($K$6:$K213,"Doing"),"")</f>
        <v/>
      </c>
      <c r="U213">
        <f>IF($K213="Done",COUNTIF($K$6:$K213,"Done"),"")</f>
        <v/>
      </c>
    </row>
    <row r="214" ht="42" customHeight="1">
      <c r="B214" s="12" t="inlineStr">
        <is>
          <t>T-209</t>
        </is>
      </c>
      <c r="C214" s="12" t="inlineStr">
        <is>
          <t>HU-57</t>
        </is>
      </c>
      <c r="D214" s="13" t="inlineStr">
        <is>
          <t>Comparar consumo vs. lo planificado</t>
        </is>
      </c>
      <c r="E214" s="12" t="inlineStr">
        <is>
          <t>Diseño UI</t>
        </is>
      </c>
      <c r="F214" s="13" t="inlineStr">
        <is>
          <t>Diseñar la interfaz de usuario de HU-57: pantalla 13 · Gasto en recursos</t>
        </is>
      </c>
      <c r="G214" s="12" t="inlineStr">
        <is>
          <t>Fernando</t>
        </is>
      </c>
      <c r="H214" s="12" t="n">
        <v>1</v>
      </c>
      <c r="I214" s="12" t="inlineStr">
        <is>
          <t>23/10</t>
        </is>
      </c>
      <c r="J214" s="12" t="n"/>
      <c r="K214" s="12" t="inlineStr">
        <is>
          <t>Done</t>
        </is>
      </c>
      <c r="L214" s="12" t="inlineStr">
        <is>
          <t>Sí</t>
        </is>
      </c>
      <c r="M214" s="12" t="inlineStr">
        <is>
          <t>22/10/2026</t>
        </is>
      </c>
      <c r="N214" s="13" t="inlineStr">
        <is>
          <t>Mockup en el lienzo, revisado por el equipo</t>
        </is>
      </c>
      <c r="O214" s="12" t="inlineStr">
        <is>
          <t>Sí</t>
        </is>
      </c>
      <c r="P214" s="12" t="inlineStr">
        <is>
          <t>22/10/2026</t>
        </is>
      </c>
      <c r="Q214" s="13" t="inlineStr">
        <is>
          <t>Lienzo «SIGRO · Pantallas y diagramas del Sprint 1»</t>
        </is>
      </c>
      <c r="R214" s="12">
        <f>IF(AND(K214&lt;&gt;"To Do",L214&lt;&gt;"Sí"),"⚠ pasó a Doing sin DoR",IF(AND(K214="Done",O214&lt;&gt;"Sí"),"⚠ Done sin criterio cumplido",IF(AND(K214="Doing",COUNTIFS($G$6:$G$266,G214,$K$6:$K$266,"Doing",$E$6:$E$266,"&lt;&gt;Scrum")&gt;2,E214&lt;&gt;"Scrum"),"⚠ más de 2 en Doing","ok")))</f>
        <v/>
      </c>
      <c r="S214">
        <f>IF($K214="To Do",COUNTIF($K$6:$K214,"To Do"),"")</f>
        <v/>
      </c>
      <c r="T214">
        <f>IF($K214="Doing",COUNTIF($K$6:$K214,"Doing"),"")</f>
        <v/>
      </c>
      <c r="U214">
        <f>IF($K214="Done",COUNTIF($K$6:$K214,"Done"),"")</f>
        <v/>
      </c>
    </row>
    <row r="215" ht="42" customHeight="1">
      <c r="B215" s="12" t="inlineStr">
        <is>
          <t>T-210</t>
        </is>
      </c>
      <c r="C215" s="12" t="inlineStr">
        <is>
          <t>HU-57</t>
        </is>
      </c>
      <c r="D215" s="13" t="inlineStr">
        <is>
          <t>Comparar consumo vs. lo planificado</t>
        </is>
      </c>
      <c r="E215" s="12" t="inlineStr">
        <is>
          <t>Modelado UML</t>
        </is>
      </c>
      <c r="F215" s="13" t="inlineStr">
        <is>
          <t>Modelar la funcionalidad de HU-57 con el diagrama UML de actividades de la comparación contra lo planificado</t>
        </is>
      </c>
      <c r="G215" s="12" t="inlineStr">
        <is>
          <t>Henry</t>
        </is>
      </c>
      <c r="H215" s="12" t="n">
        <v>1</v>
      </c>
      <c r="I215" s="12" t="inlineStr">
        <is>
          <t>24/10</t>
        </is>
      </c>
      <c r="J215" s="12" t="inlineStr">
        <is>
          <t>T-209</t>
        </is>
      </c>
      <c r="K215" s="12" t="inlineStr">
        <is>
          <t>To Do</t>
        </is>
      </c>
      <c r="L215" s="12" t="n"/>
      <c r="M215" s="12" t="n"/>
      <c r="N215" s="13" t="inlineStr">
        <is>
          <t>Diagrama publicado en el repo o el lienzo</t>
        </is>
      </c>
      <c r="O215" s="12" t="n"/>
      <c r="P215" s="12" t="n"/>
      <c r="Q215" s="13" t="n"/>
      <c r="R215" s="12">
        <f>IF(AND(K215&lt;&gt;"To Do",L215&lt;&gt;"Sí"),"⚠ pasó a Doing sin DoR",IF(AND(K215="Done",O215&lt;&gt;"Sí"),"⚠ Done sin criterio cumplido",IF(AND(K215="Doing",COUNTIFS($G$6:$G$266,G215,$K$6:$K$266,"Doing",$E$6:$E$266,"&lt;&gt;Scrum")&gt;2,E215&lt;&gt;"Scrum"),"⚠ más de 2 en Doing","ok")))</f>
        <v/>
      </c>
      <c r="S215">
        <f>IF($K215="To Do",COUNTIF($K$6:$K215,"To Do"),"")</f>
        <v/>
      </c>
      <c r="T215">
        <f>IF($K215="Doing",COUNTIF($K$6:$K215,"Doing"),"")</f>
        <v/>
      </c>
      <c r="U215">
        <f>IF($K215="Done",COUNTIF($K$6:$K215,"Done"),"")</f>
        <v/>
      </c>
    </row>
    <row r="216" ht="42" customHeight="1">
      <c r="B216" s="12" t="inlineStr">
        <is>
          <t>T-211</t>
        </is>
      </c>
      <c r="C216" s="12" t="inlineStr">
        <is>
          <t>HU-57</t>
        </is>
      </c>
      <c r="D216" s="13" t="inlineStr">
        <is>
          <t>Comparar consumo vs. lo planificado</t>
        </is>
      </c>
      <c r="E216" s="12" t="inlineStr">
        <is>
          <t>Base de datos</t>
        </is>
      </c>
      <c r="F216" s="13" t="inlineStr">
        <is>
          <t>Implementar las tablas asociadas a HU-57: vista de desviación contra requerimiento</t>
        </is>
      </c>
      <c r="G216" s="12" t="inlineStr">
        <is>
          <t>Adiel</t>
        </is>
      </c>
      <c r="H216" s="12" t="n">
        <v>1</v>
      </c>
      <c r="I216" s="12" t="inlineStr">
        <is>
          <t>24/10</t>
        </is>
      </c>
      <c r="J216" s="12" t="inlineStr">
        <is>
          <t>T-210</t>
        </is>
      </c>
      <c r="K216" s="12" t="inlineStr">
        <is>
          <t>To Do</t>
        </is>
      </c>
      <c r="L216" s="12" t="n"/>
      <c r="M216" s="12" t="n"/>
      <c r="N216" s="13" t="inlineStr">
        <is>
          <t>Migración fusionada, corre en base limpia y con datos, y se revierte</t>
        </is>
      </c>
      <c r="O216" s="12" t="n"/>
      <c r="P216" s="12" t="n"/>
      <c r="Q216" s="13" t="n"/>
      <c r="R216" s="12">
        <f>IF(AND(K216&lt;&gt;"To Do",L216&lt;&gt;"Sí"),"⚠ pasó a Doing sin DoR",IF(AND(K216="Done",O216&lt;&gt;"Sí"),"⚠ Done sin criterio cumplido",IF(AND(K216="Doing",COUNTIFS($G$6:$G$266,G216,$K$6:$K$266,"Doing",$E$6:$E$266,"&lt;&gt;Scrum")&gt;2,E216&lt;&gt;"Scrum"),"⚠ más de 2 en Doing","ok")))</f>
        <v/>
      </c>
      <c r="S216">
        <f>IF($K216="To Do",COUNTIF($K$6:$K216,"To Do"),"")</f>
        <v/>
      </c>
      <c r="T216">
        <f>IF($K216="Doing",COUNTIF($K$6:$K216,"Doing"),"")</f>
        <v/>
      </c>
      <c r="U216">
        <f>IF($K216="Done",COUNTIF($K$6:$K216,"Done"),"")</f>
        <v/>
      </c>
    </row>
    <row r="217" ht="42" customHeight="1">
      <c r="B217" s="12" t="inlineStr">
        <is>
          <t>T-212</t>
        </is>
      </c>
      <c r="C217" s="12" t="inlineStr">
        <is>
          <t>HU-57</t>
        </is>
      </c>
      <c r="D217" s="13" t="inlineStr">
        <is>
          <t>Comparar consumo vs. lo planificado</t>
        </is>
      </c>
      <c r="E217" s="12" t="inlineStr">
        <is>
          <t>Backend</t>
        </is>
      </c>
      <c r="F217" s="13" t="inlineStr">
        <is>
          <t>Programar el back-end de HU-57 (entidad, repositorio, servicio y controlador): la comparación del consumo contra lo planificado en el S10</t>
        </is>
      </c>
      <c r="G217" s="12" t="inlineStr">
        <is>
          <t>Adiel</t>
        </is>
      </c>
      <c r="H217" s="12" t="n">
        <v>5</v>
      </c>
      <c r="I217" s="12" t="inlineStr">
        <is>
          <t>25/10</t>
        </is>
      </c>
      <c r="J217" s="12" t="inlineStr">
        <is>
          <t>T-211</t>
        </is>
      </c>
      <c r="K217" s="12" t="inlineStr">
        <is>
          <t>To Do</t>
        </is>
      </c>
      <c r="L217" s="12" t="n"/>
      <c r="M217" s="12" t="n"/>
      <c r="N217" s="13" t="inlineStr">
        <is>
          <t>PR fusionado con sus pruebas automáticas en verde y el endpoint documentado</t>
        </is>
      </c>
      <c r="O217" s="12" t="n"/>
      <c r="P217" s="12" t="n"/>
      <c r="Q217" s="13" t="n"/>
      <c r="R217" s="12">
        <f>IF(AND(K217&lt;&gt;"To Do",L217&lt;&gt;"Sí"),"⚠ pasó a Doing sin DoR",IF(AND(K217="Done",O217&lt;&gt;"Sí"),"⚠ Done sin criterio cumplido",IF(AND(K217="Doing",COUNTIFS($G$6:$G$266,G217,$K$6:$K$266,"Doing",$E$6:$E$266,"&lt;&gt;Scrum")&gt;2,E217&lt;&gt;"Scrum"),"⚠ más de 2 en Doing","ok")))</f>
        <v/>
      </c>
      <c r="S217">
        <f>IF($K217="To Do",COUNTIF($K$6:$K217,"To Do"),"")</f>
        <v/>
      </c>
      <c r="T217">
        <f>IF($K217="Doing",COUNTIF($K$6:$K217,"Doing"),"")</f>
        <v/>
      </c>
      <c r="U217">
        <f>IF($K217="Done",COUNTIF($K$6:$K217,"Done"),"")</f>
        <v/>
      </c>
    </row>
    <row r="218" ht="42" customHeight="1">
      <c r="B218" s="12" t="inlineStr">
        <is>
          <t>T-213</t>
        </is>
      </c>
      <c r="C218" s="12" t="inlineStr">
        <is>
          <t>HU-57</t>
        </is>
      </c>
      <c r="D218" s="13" t="inlineStr">
        <is>
          <t>Comparar consumo vs. lo planificado</t>
        </is>
      </c>
      <c r="E218" s="12" t="inlineStr">
        <is>
          <t>Front-end web</t>
        </is>
      </c>
      <c r="F218" s="13" t="inlineStr">
        <is>
          <t>Programar la pantalla web «Gasto en recursos» con la desviación</t>
        </is>
      </c>
      <c r="G218" s="12" t="inlineStr">
        <is>
          <t>Fernando</t>
        </is>
      </c>
      <c r="H218" s="12" t="n">
        <v>5</v>
      </c>
      <c r="I218" s="12" t="inlineStr">
        <is>
          <t>26/10</t>
        </is>
      </c>
      <c r="J218" s="12" t="n"/>
      <c r="K218" s="12" t="inlineStr">
        <is>
          <t>Done</t>
        </is>
      </c>
      <c r="L218" s="12" t="inlineStr">
        <is>
          <t>Sí</t>
        </is>
      </c>
      <c r="M218" s="12" t="inlineStr">
        <is>
          <t>22/10/2026</t>
        </is>
      </c>
      <c r="N218" s="13" t="inlineStr">
        <is>
          <t>PR fusionado, build sin errores, modo claro/oscuro y escala 125 %</t>
        </is>
      </c>
      <c r="O218" s="12" t="inlineStr">
        <is>
          <t>Sí</t>
        </is>
      </c>
      <c r="P218" s="12" t="inlineStr">
        <is>
          <t>22/10/2026</t>
        </is>
      </c>
      <c r="Q218" s="13" t="inlineStr">
        <is>
          <t>Commit del 22/10 09:30 (datos simulados)</t>
        </is>
      </c>
      <c r="R218" s="12">
        <f>IF(AND(K218&lt;&gt;"To Do",L218&lt;&gt;"Sí"),"⚠ pasó a Doing sin DoR",IF(AND(K218="Done",O218&lt;&gt;"Sí"),"⚠ Done sin criterio cumplido",IF(AND(K218="Doing",COUNTIFS($G$6:$G$266,G218,$K$6:$K$266,"Doing",$E$6:$E$266,"&lt;&gt;Scrum")&gt;2,E218&lt;&gt;"Scrum"),"⚠ más de 2 en Doing","ok")))</f>
        <v/>
      </c>
      <c r="S218">
        <f>IF($K218="To Do",COUNTIF($K$6:$K218,"To Do"),"")</f>
        <v/>
      </c>
      <c r="T218">
        <f>IF($K218="Doing",COUNTIF($K$6:$K218,"Doing"),"")</f>
        <v/>
      </c>
      <c r="U218">
        <f>IF($K218="Done",COUNTIF($K$6:$K218,"Done"),"")</f>
        <v/>
      </c>
    </row>
    <row r="219" ht="42" customHeight="1">
      <c r="B219" s="12" t="inlineStr">
        <is>
          <t>T-214</t>
        </is>
      </c>
      <c r="C219" s="12" t="inlineStr">
        <is>
          <t>HU-57</t>
        </is>
      </c>
      <c r="D219" s="13" t="inlineStr">
        <is>
          <t>Comparar consumo vs. lo planificado</t>
        </is>
      </c>
      <c r="E219" s="12" t="inlineStr">
        <is>
          <t>Conexión API</t>
        </is>
      </c>
      <c r="F219" s="13" t="inlineStr">
        <is>
          <t>Conectar la pantalla de desviación con la API real</t>
        </is>
      </c>
      <c r="G219" s="12" t="inlineStr">
        <is>
          <t>Henry</t>
        </is>
      </c>
      <c r="H219" s="12" t="n">
        <v>5</v>
      </c>
      <c r="I219" s="12" t="inlineStr">
        <is>
          <t>26/10</t>
        </is>
      </c>
      <c r="J219" s="12" t="inlineStr">
        <is>
          <t>T-212, T-213, T-240</t>
        </is>
      </c>
      <c r="K219" s="12" t="inlineStr">
        <is>
          <t>To Do</t>
        </is>
      </c>
      <c r="L219" s="12" t="n"/>
      <c r="M219" s="12" t="n"/>
      <c r="N219" s="13" t="inlineStr">
        <is>
          <t>La pantalla muestra los datos reales del servidor y sus errores</t>
        </is>
      </c>
      <c r="O219" s="12" t="n"/>
      <c r="P219" s="12" t="n"/>
      <c r="Q219" s="13" t="n"/>
      <c r="R219" s="12">
        <f>IF(AND(K219&lt;&gt;"To Do",L219&lt;&gt;"Sí"),"⚠ pasó a Doing sin DoR",IF(AND(K219="Done",O219&lt;&gt;"Sí"),"⚠ Done sin criterio cumplido",IF(AND(K219="Doing",COUNTIFS($G$6:$G$266,G219,$K$6:$K$266,"Doing",$E$6:$E$266,"&lt;&gt;Scrum")&gt;2,E219&lt;&gt;"Scrum"),"⚠ más de 2 en Doing","ok")))</f>
        <v/>
      </c>
      <c r="S219">
        <f>IF($K219="To Do",COUNTIF($K$6:$K219,"To Do"),"")</f>
        <v/>
      </c>
      <c r="T219">
        <f>IF($K219="Doing",COUNTIF($K$6:$K219,"Doing"),"")</f>
        <v/>
      </c>
      <c r="U219">
        <f>IF($K219="Done",COUNTIF($K$6:$K219,"Done"),"")</f>
        <v/>
      </c>
    </row>
    <row r="220" ht="42" customHeight="1">
      <c r="B220" s="12" t="inlineStr">
        <is>
          <t>T-215</t>
        </is>
      </c>
      <c r="C220" s="12" t="inlineStr">
        <is>
          <t>HU-57</t>
        </is>
      </c>
      <c r="D220" s="13" t="inlineStr">
        <is>
          <t>Comparar consumo vs. lo planificado</t>
        </is>
      </c>
      <c r="E220" s="12" t="inlineStr">
        <is>
          <t>Pruebas</t>
        </is>
      </c>
      <c r="F220" s="13" t="inlineStr">
        <is>
          <t>Probar la funcionalidad de HU-57 (la API con Postman y la pantalla web) contra cada condición final y aprobar su PR</t>
        </is>
      </c>
      <c r="G220" s="12" t="inlineStr">
        <is>
          <t>Fernando</t>
        </is>
      </c>
      <c r="H220" s="12" t="n">
        <v>1</v>
      </c>
      <c r="I220" s="12" t="inlineStr">
        <is>
          <t>27/10</t>
        </is>
      </c>
      <c r="J220" s="12" t="inlineStr">
        <is>
          <t>T-211, T-212, T-213, T-214, T-233</t>
        </is>
      </c>
      <c r="K220" s="12" t="inlineStr">
        <is>
          <t>To Do</t>
        </is>
      </c>
      <c r="L220" s="12" t="n"/>
      <c r="M220" s="12" t="n"/>
      <c r="N220" s="13" t="inlineStr">
        <is>
          <t>Cada condición final verificada con Postman y en la interfaz; PR aprobado por alguien distinto del autor</t>
        </is>
      </c>
      <c r="O220" s="12" t="n"/>
      <c r="P220" s="12" t="n"/>
      <c r="Q220" s="13" t="n"/>
      <c r="R220" s="12">
        <f>IF(AND(K220&lt;&gt;"To Do",L220&lt;&gt;"Sí"),"⚠ pasó a Doing sin DoR",IF(AND(K220="Done",O220&lt;&gt;"Sí"),"⚠ Done sin criterio cumplido",IF(AND(K220="Doing",COUNTIFS($G$6:$G$266,G220,$K$6:$K$266,"Doing",$E$6:$E$266,"&lt;&gt;Scrum")&gt;2,E220&lt;&gt;"Scrum"),"⚠ más de 2 en Doing","ok")))</f>
        <v/>
      </c>
      <c r="S220">
        <f>IF($K220="To Do",COUNTIF($K$6:$K220,"To Do"),"")</f>
        <v/>
      </c>
      <c r="T220">
        <f>IF($K220="Doing",COUNTIF($K$6:$K220,"Doing"),"")</f>
        <v/>
      </c>
      <c r="U220">
        <f>IF($K220="Done",COUNTIF($K$6:$K220,"Done"),"")</f>
        <v/>
      </c>
    </row>
    <row r="221" ht="42" customHeight="1">
      <c r="B221" s="14" t="inlineStr">
        <is>
          <t>T-216</t>
        </is>
      </c>
      <c r="C221" s="14" t="inlineStr">
        <is>
          <t>HU-57</t>
        </is>
      </c>
      <c r="D221" s="15" t="inlineStr">
        <is>
          <t>Comparar consumo vs. lo planificado</t>
        </is>
      </c>
      <c r="E221" s="14" t="inlineStr">
        <is>
          <t>Aceptación</t>
        </is>
      </c>
      <c r="F221" s="15" t="inlineStr">
        <is>
          <t>Aceptar HU-57 como Product Owner desde la interfaz y moverla a Done</t>
        </is>
      </c>
      <c r="G221" s="14" t="inlineStr">
        <is>
          <t>Adiel</t>
        </is>
      </c>
      <c r="H221" s="14" t="n">
        <v>0.5</v>
      </c>
      <c r="I221" s="14" t="inlineStr">
        <is>
          <t>27/10</t>
        </is>
      </c>
      <c r="J221" s="14" t="inlineStr">
        <is>
          <t>T-215</t>
        </is>
      </c>
      <c r="K221" s="14" t="inlineStr">
        <is>
          <t>To Do</t>
        </is>
      </c>
      <c r="L221" s="14" t="n"/>
      <c r="M221" s="14" t="n"/>
      <c r="N221" s="15" t="inlineStr">
        <is>
          <t>DoD T1–T10 + condiciones finales aceptadas por el PO → la HU pasa a Done</t>
        </is>
      </c>
      <c r="O221" s="14" t="n"/>
      <c r="P221" s="14" t="n"/>
      <c r="Q221" s="15" t="n"/>
      <c r="R221" s="14">
        <f>IF(AND(K221&lt;&gt;"To Do",L221&lt;&gt;"Sí"),"⚠ pasó a Doing sin DoR",IF(AND(K221="Done",O221&lt;&gt;"Sí"),"⚠ Done sin criterio cumplido",IF(AND(K221="Doing",COUNTIFS($G$6:$G$266,G221,$K$6:$K$266,"Doing",$E$6:$E$266,"&lt;&gt;Scrum")&gt;2,E221&lt;&gt;"Scrum"),"⚠ más de 2 en Doing","ok")))</f>
        <v/>
      </c>
      <c r="S221">
        <f>IF($K221="To Do",COUNTIF($K$6:$K221,"To Do"),"")</f>
        <v/>
      </c>
      <c r="T221">
        <f>IF($K221="Doing",COUNTIF($K$6:$K221,"Doing"),"")</f>
        <v/>
      </c>
      <c r="U221">
        <f>IF($K221="Done",COUNTIF($K$6:$K221,"Done"),"")</f>
        <v/>
      </c>
    </row>
    <row r="222" ht="42" customHeight="1">
      <c r="B222" s="12" t="inlineStr">
        <is>
          <t>T-217</t>
        </is>
      </c>
      <c r="C222" s="12" t="inlineStr">
        <is>
          <t>HU-62</t>
        </is>
      </c>
      <c r="D222" s="13" t="inlineStr">
        <is>
          <t>Registrar trabajadores</t>
        </is>
      </c>
      <c r="E222" s="12" t="inlineStr">
        <is>
          <t>Diseño UI</t>
        </is>
      </c>
      <c r="F222" s="13" t="inlineStr">
        <is>
          <t>Diseñar la interfaz de usuario de HU-62: pantalla 6 · Registrar trabajador</t>
        </is>
      </c>
      <c r="G222" s="12" t="inlineStr">
        <is>
          <t>Fernando</t>
        </is>
      </c>
      <c r="H222" s="12" t="n">
        <v>1</v>
      </c>
      <c r="I222" s="12" t="inlineStr">
        <is>
          <t>23/10</t>
        </is>
      </c>
      <c r="J222" s="12" t="n"/>
      <c r="K222" s="12" t="inlineStr">
        <is>
          <t>Done</t>
        </is>
      </c>
      <c r="L222" s="12" t="inlineStr">
        <is>
          <t>Sí</t>
        </is>
      </c>
      <c r="M222" s="12" t="inlineStr">
        <is>
          <t>22/10/2026</t>
        </is>
      </c>
      <c r="N222" s="13" t="inlineStr">
        <is>
          <t>Mockup en el lienzo, revisado por el equipo</t>
        </is>
      </c>
      <c r="O222" s="12" t="inlineStr">
        <is>
          <t>Sí</t>
        </is>
      </c>
      <c r="P222" s="12" t="inlineStr">
        <is>
          <t>22/10/2026</t>
        </is>
      </c>
      <c r="Q222" s="13" t="inlineStr">
        <is>
          <t>Lienzo «SIGRO · Pantallas y diagramas del Sprint 1»</t>
        </is>
      </c>
      <c r="R222" s="12">
        <f>IF(AND(K222&lt;&gt;"To Do",L222&lt;&gt;"Sí"),"⚠ pasó a Doing sin DoR",IF(AND(K222="Done",O222&lt;&gt;"Sí"),"⚠ Done sin criterio cumplido",IF(AND(K222="Doing",COUNTIFS($G$6:$G$266,G222,$K$6:$K$266,"Doing",$E$6:$E$266,"&lt;&gt;Scrum")&gt;2,E222&lt;&gt;"Scrum"),"⚠ más de 2 en Doing","ok")))</f>
        <v/>
      </c>
      <c r="S222">
        <f>IF($K222="To Do",COUNTIF($K$6:$K222,"To Do"),"")</f>
        <v/>
      </c>
      <c r="T222">
        <f>IF($K222="Doing",COUNTIF($K$6:$K222,"Doing"),"")</f>
        <v/>
      </c>
      <c r="U222">
        <f>IF($K222="Done",COUNTIF($K$6:$K222,"Done"),"")</f>
        <v/>
      </c>
    </row>
    <row r="223" ht="42" customHeight="1">
      <c r="B223" s="12" t="inlineStr">
        <is>
          <t>T-218</t>
        </is>
      </c>
      <c r="C223" s="12" t="inlineStr">
        <is>
          <t>HU-62</t>
        </is>
      </c>
      <c r="D223" s="13" t="inlineStr">
        <is>
          <t>Registrar trabajadores</t>
        </is>
      </c>
      <c r="E223" s="12" t="inlineStr">
        <is>
          <t>Modelado UML</t>
        </is>
      </c>
      <c r="F223" s="13" t="inlineStr">
        <is>
          <t>Modelar la funcionalidad de HU-62 con el diagrama UML de secuencia del registro con consulta de DNI</t>
        </is>
      </c>
      <c r="G223" s="12" t="inlineStr">
        <is>
          <t>Nicolás</t>
        </is>
      </c>
      <c r="H223" s="12" t="n">
        <v>1</v>
      </c>
      <c r="I223" s="12" t="inlineStr">
        <is>
          <t>24/10</t>
        </is>
      </c>
      <c r="J223" s="12" t="inlineStr">
        <is>
          <t>T-217</t>
        </is>
      </c>
      <c r="K223" s="12" t="inlineStr">
        <is>
          <t>To Do</t>
        </is>
      </c>
      <c r="L223" s="12" t="n"/>
      <c r="M223" s="12" t="n"/>
      <c r="N223" s="13" t="inlineStr">
        <is>
          <t>Diagrama publicado en el repo o el lienzo</t>
        </is>
      </c>
      <c r="O223" s="12" t="n"/>
      <c r="P223" s="12" t="n"/>
      <c r="Q223" s="13" t="n"/>
      <c r="R223" s="12">
        <f>IF(AND(K223&lt;&gt;"To Do",L223&lt;&gt;"Sí"),"⚠ pasó a Doing sin DoR",IF(AND(K223="Done",O223&lt;&gt;"Sí"),"⚠ Done sin criterio cumplido",IF(AND(K223="Doing",COUNTIFS($G$6:$G$266,G223,$K$6:$K$266,"Doing",$E$6:$E$266,"&lt;&gt;Scrum")&gt;2,E223&lt;&gt;"Scrum"),"⚠ más de 2 en Doing","ok")))</f>
        <v/>
      </c>
      <c r="S223">
        <f>IF($K223="To Do",COUNTIF($K$6:$K223,"To Do"),"")</f>
        <v/>
      </c>
      <c r="T223">
        <f>IF($K223="Doing",COUNTIF($K$6:$K223,"Doing"),"")</f>
        <v/>
      </c>
      <c r="U223">
        <f>IF($K223="Done",COUNTIF($K$6:$K223,"Done"),"")</f>
        <v/>
      </c>
    </row>
    <row r="224" ht="42" customHeight="1">
      <c r="B224" s="12" t="inlineStr">
        <is>
          <t>T-219</t>
        </is>
      </c>
      <c r="C224" s="12" t="inlineStr">
        <is>
          <t>HU-62</t>
        </is>
      </c>
      <c r="D224" s="13" t="inlineStr">
        <is>
          <t>Registrar trabajadores</t>
        </is>
      </c>
      <c r="E224" s="12" t="inlineStr">
        <is>
          <t>Base de datos</t>
        </is>
      </c>
      <c r="F224" s="13" t="inlineStr">
        <is>
          <t>Implementar las tablas asociadas a HU-62: trabajador (único por obra, baja con fecha)</t>
        </is>
      </c>
      <c r="G224" s="12" t="inlineStr">
        <is>
          <t>Adiel</t>
        </is>
      </c>
      <c r="H224" s="12" t="n">
        <v>1</v>
      </c>
      <c r="I224" s="12" t="inlineStr">
        <is>
          <t>24/10</t>
        </is>
      </c>
      <c r="J224" s="12" t="n"/>
      <c r="K224" s="12" t="inlineStr">
        <is>
          <t>Done</t>
        </is>
      </c>
      <c r="L224" s="12" t="inlineStr">
        <is>
          <t>Sí</t>
        </is>
      </c>
      <c r="M224" s="12" t="inlineStr">
        <is>
          <t>22/10/2026</t>
        </is>
      </c>
      <c r="N224" s="13" t="inlineStr">
        <is>
          <t>Migración fusionada, corre en base limpia y con datos, y se revierte</t>
        </is>
      </c>
      <c r="O224" s="12" t="inlineStr">
        <is>
          <t>Sí</t>
        </is>
      </c>
      <c r="P224" s="12" t="inlineStr">
        <is>
          <t>22/10/2026</t>
        </is>
      </c>
      <c r="Q224" s="13" t="inlineStr">
        <is>
          <t>PR #1 de Adiel (22/10)</t>
        </is>
      </c>
      <c r="R224" s="12">
        <f>IF(AND(K224&lt;&gt;"To Do",L224&lt;&gt;"Sí"),"⚠ pasó a Doing sin DoR",IF(AND(K224="Done",O224&lt;&gt;"Sí"),"⚠ Done sin criterio cumplido",IF(AND(K224="Doing",COUNTIFS($G$6:$G$266,G224,$K$6:$K$266,"Doing",$E$6:$E$266,"&lt;&gt;Scrum")&gt;2,E224&lt;&gt;"Scrum"),"⚠ más de 2 en Doing","ok")))</f>
        <v/>
      </c>
      <c r="S224">
        <f>IF($K224="To Do",COUNTIF($K$6:$K224,"To Do"),"")</f>
        <v/>
      </c>
      <c r="T224">
        <f>IF($K224="Doing",COUNTIF($K$6:$K224,"Doing"),"")</f>
        <v/>
      </c>
      <c r="U224">
        <f>IF($K224="Done",COUNTIF($K$6:$K224,"Done"),"")</f>
        <v/>
      </c>
    </row>
    <row r="225" ht="42" customHeight="1">
      <c r="B225" s="12" t="inlineStr">
        <is>
          <t>T-220</t>
        </is>
      </c>
      <c r="C225" s="12" t="inlineStr">
        <is>
          <t>HU-62</t>
        </is>
      </c>
      <c r="D225" s="13" t="inlineStr">
        <is>
          <t>Registrar trabajadores</t>
        </is>
      </c>
      <c r="E225" s="12" t="inlineStr">
        <is>
          <t>Backend</t>
        </is>
      </c>
      <c r="F225" s="13" t="inlineStr">
        <is>
          <t>Programar el back-end de HU-62 (entidad, repositorio, servicio y controlador): el registro de trabajadores: único por obra y baja con fecha</t>
        </is>
      </c>
      <c r="G225" s="12" t="inlineStr">
        <is>
          <t>Adiel</t>
        </is>
      </c>
      <c r="H225" s="12" t="n">
        <v>2</v>
      </c>
      <c r="I225" s="12" t="inlineStr">
        <is>
          <t>25/10</t>
        </is>
      </c>
      <c r="J225" s="12" t="n"/>
      <c r="K225" s="12" t="inlineStr">
        <is>
          <t>Done</t>
        </is>
      </c>
      <c r="L225" s="12" t="inlineStr">
        <is>
          <t>Sí</t>
        </is>
      </c>
      <c r="M225" s="12" t="inlineStr">
        <is>
          <t>22/10/2026</t>
        </is>
      </c>
      <c r="N225" s="13" t="inlineStr">
        <is>
          <t>PR fusionado con sus pruebas automáticas en verde y el endpoint documentado</t>
        </is>
      </c>
      <c r="O225" s="12" t="inlineStr">
        <is>
          <t>Sí</t>
        </is>
      </c>
      <c r="P225" s="12" t="inlineStr">
        <is>
          <t>22/10/2026</t>
        </is>
      </c>
      <c r="Q225" s="13" t="inlineStr">
        <is>
          <t>PR #1 y #2 de Adiel (22/10)</t>
        </is>
      </c>
      <c r="R225" s="12">
        <f>IF(AND(K225&lt;&gt;"To Do",L225&lt;&gt;"Sí"),"⚠ pasó a Doing sin DoR",IF(AND(K225="Done",O225&lt;&gt;"Sí"),"⚠ Done sin criterio cumplido",IF(AND(K225="Doing",COUNTIFS($G$6:$G$266,G225,$K$6:$K$266,"Doing",$E$6:$E$266,"&lt;&gt;Scrum")&gt;2,E225&lt;&gt;"Scrum"),"⚠ más de 2 en Doing","ok")))</f>
        <v/>
      </c>
      <c r="S225">
        <f>IF($K225="To Do",COUNTIF($K$6:$K225,"To Do"),"")</f>
        <v/>
      </c>
      <c r="T225">
        <f>IF($K225="Doing",COUNTIF($K$6:$K225,"Doing"),"")</f>
        <v/>
      </c>
      <c r="U225">
        <f>IF($K225="Done",COUNTIF($K$6:$K225,"Done"),"")</f>
        <v/>
      </c>
    </row>
    <row r="226" ht="42" customHeight="1">
      <c r="B226" s="12" t="inlineStr">
        <is>
          <t>T-221</t>
        </is>
      </c>
      <c r="C226" s="12" t="inlineStr">
        <is>
          <t>HU-62</t>
        </is>
      </c>
      <c r="D226" s="13" t="inlineStr">
        <is>
          <t>Registrar trabajadores</t>
        </is>
      </c>
      <c r="E226" s="12" t="inlineStr">
        <is>
          <t>Integración</t>
        </is>
      </c>
      <c r="F226" s="13" t="inlineStr">
        <is>
          <t>Programar la consulta de DNI en RENIEC desde el microservicio — integración con RENIEC (DNI) vía Factiliza</t>
        </is>
      </c>
      <c r="G226" s="12" t="inlineStr">
        <is>
          <t>Fernando</t>
        </is>
      </c>
      <c r="H226" s="12" t="n">
        <v>2</v>
      </c>
      <c r="I226" s="12" t="inlineStr">
        <is>
          <t>25/10</t>
        </is>
      </c>
      <c r="J226" s="12" t="n"/>
      <c r="K226" s="12" t="inlineStr">
        <is>
          <t>Done</t>
        </is>
      </c>
      <c r="L226" s="12" t="inlineStr">
        <is>
          <t>Sí</t>
        </is>
      </c>
      <c r="M226" s="12" t="inlineStr">
        <is>
          <t>22/10/2026</t>
        </is>
      </c>
      <c r="N226" s="13" t="inlineStr">
        <is>
          <t>Probado con el archivo o servicio real, PR fusionado</t>
        </is>
      </c>
      <c r="O226" s="12" t="inlineStr">
        <is>
          <t>Sí</t>
        </is>
      </c>
      <c r="P226" s="12" t="inlineStr">
        <is>
          <t>22/10/2026</t>
        </is>
      </c>
      <c r="Q226" s="13" t="inlineStr">
        <is>
          <t>Commit del 22/10 09:30</t>
        </is>
      </c>
      <c r="R226" s="12">
        <f>IF(AND(K226&lt;&gt;"To Do",L226&lt;&gt;"Sí"),"⚠ pasó a Doing sin DoR",IF(AND(K226="Done",O226&lt;&gt;"Sí"),"⚠ Done sin criterio cumplido",IF(AND(K226="Doing",COUNTIFS($G$6:$G$266,G226,$K$6:$K$266,"Doing",$E$6:$E$266,"&lt;&gt;Scrum")&gt;2,E226&lt;&gt;"Scrum"),"⚠ más de 2 en Doing","ok")))</f>
        <v/>
      </c>
      <c r="S226">
        <f>IF($K226="To Do",COUNTIF($K$6:$K226,"To Do"),"")</f>
        <v/>
      </c>
      <c r="T226">
        <f>IF($K226="Doing",COUNTIF($K$6:$K226,"Doing"),"")</f>
        <v/>
      </c>
      <c r="U226">
        <f>IF($K226="Done",COUNTIF($K$6:$K226,"Done"),"")</f>
        <v/>
      </c>
    </row>
    <row r="227" ht="42" customHeight="1">
      <c r="B227" s="12" t="inlineStr">
        <is>
          <t>T-222</t>
        </is>
      </c>
      <c r="C227" s="12" t="inlineStr">
        <is>
          <t>HU-62</t>
        </is>
      </c>
      <c r="D227" s="13" t="inlineStr">
        <is>
          <t>Registrar trabajadores</t>
        </is>
      </c>
      <c r="E227" s="12" t="inlineStr">
        <is>
          <t>Front-end app</t>
        </is>
      </c>
      <c r="F227" s="13" t="inlineStr">
        <is>
          <t>Programar en la app el registro de trabajadores con consulta de DNI</t>
        </is>
      </c>
      <c r="G227" s="12" t="inlineStr">
        <is>
          <t>Nicolás</t>
        </is>
      </c>
      <c r="H227" s="12" t="n">
        <v>2</v>
      </c>
      <c r="I227" s="12" t="inlineStr">
        <is>
          <t>26/10</t>
        </is>
      </c>
      <c r="J227" s="12" t="inlineStr">
        <is>
          <t>T-217, T-242</t>
        </is>
      </c>
      <c r="K227" s="12" t="inlineStr">
        <is>
          <t>To Do</t>
        </is>
      </c>
      <c r="L227" s="12" t="n"/>
      <c r="M227" s="12" t="n"/>
      <c r="N227" s="13" t="inlineStr">
        <is>
          <t>PR fusionado; lo que registra movimientos probado en modo avión</t>
        </is>
      </c>
      <c r="O227" s="12" t="n"/>
      <c r="P227" s="12" t="n"/>
      <c r="Q227" s="13" t="n"/>
      <c r="R227" s="12">
        <f>IF(AND(K227&lt;&gt;"To Do",L227&lt;&gt;"Sí"),"⚠ pasó a Doing sin DoR",IF(AND(K227="Done",O227&lt;&gt;"Sí"),"⚠ Done sin criterio cumplido",IF(AND(K227="Doing",COUNTIFS($G$6:$G$266,G227,$K$6:$K$266,"Doing",$E$6:$E$266,"&lt;&gt;Scrum")&gt;2,E227&lt;&gt;"Scrum"),"⚠ más de 2 en Doing","ok")))</f>
        <v/>
      </c>
      <c r="S227">
        <f>IF($K227="To Do",COUNTIF($K$6:$K227,"To Do"),"")</f>
        <v/>
      </c>
      <c r="T227">
        <f>IF($K227="Doing",COUNTIF($K$6:$K227,"Doing"),"")</f>
        <v/>
      </c>
      <c r="U227">
        <f>IF($K227="Done",COUNTIF($K$6:$K227,"Done"),"")</f>
        <v/>
      </c>
    </row>
    <row r="228" ht="42" customHeight="1">
      <c r="B228" s="12" t="inlineStr">
        <is>
          <t>T-223</t>
        </is>
      </c>
      <c r="C228" s="12" t="inlineStr">
        <is>
          <t>HU-62</t>
        </is>
      </c>
      <c r="D228" s="13" t="inlineStr">
        <is>
          <t>Registrar trabajadores</t>
        </is>
      </c>
      <c r="E228" s="12" t="inlineStr">
        <is>
          <t>Pruebas</t>
        </is>
      </c>
      <c r="F228" s="13" t="inlineStr">
        <is>
          <t>Probar la funcionalidad de HU-62 (la API con Postman y la app) contra cada condición final y aprobar su PR</t>
        </is>
      </c>
      <c r="G228" s="12" t="inlineStr">
        <is>
          <t>Henry</t>
        </is>
      </c>
      <c r="H228" s="12" t="n">
        <v>1</v>
      </c>
      <c r="I228" s="12" t="inlineStr">
        <is>
          <t>27/10</t>
        </is>
      </c>
      <c r="J228" s="12" t="inlineStr">
        <is>
          <t>T-219, T-220, T-221, T-222, T-233</t>
        </is>
      </c>
      <c r="K228" s="12" t="inlineStr">
        <is>
          <t>To Do</t>
        </is>
      </c>
      <c r="L228" s="12" t="n"/>
      <c r="M228" s="12" t="n"/>
      <c r="N228" s="13" t="inlineStr">
        <is>
          <t>Cada condición final verificada con Postman y en la interfaz; PR aprobado por alguien distinto del autor</t>
        </is>
      </c>
      <c r="O228" s="12" t="n"/>
      <c r="P228" s="12" t="n"/>
      <c r="Q228" s="13" t="n"/>
      <c r="R228" s="12">
        <f>IF(AND(K228&lt;&gt;"To Do",L228&lt;&gt;"Sí"),"⚠ pasó a Doing sin DoR",IF(AND(K228="Done",O228&lt;&gt;"Sí"),"⚠ Done sin criterio cumplido",IF(AND(K228="Doing",COUNTIFS($G$6:$G$266,G228,$K$6:$K$266,"Doing",$E$6:$E$266,"&lt;&gt;Scrum")&gt;2,E228&lt;&gt;"Scrum"),"⚠ más de 2 en Doing","ok")))</f>
        <v/>
      </c>
      <c r="S228">
        <f>IF($K228="To Do",COUNTIF($K$6:$K228,"To Do"),"")</f>
        <v/>
      </c>
      <c r="T228">
        <f>IF($K228="Doing",COUNTIF($K$6:$K228,"Doing"),"")</f>
        <v/>
      </c>
      <c r="U228">
        <f>IF($K228="Done",COUNTIF($K$6:$K228,"Done"),"")</f>
        <v/>
      </c>
    </row>
    <row r="229" ht="42" customHeight="1">
      <c r="B229" s="14" t="inlineStr">
        <is>
          <t>T-224</t>
        </is>
      </c>
      <c r="C229" s="14" t="inlineStr">
        <is>
          <t>HU-62</t>
        </is>
      </c>
      <c r="D229" s="15" t="inlineStr">
        <is>
          <t>Registrar trabajadores</t>
        </is>
      </c>
      <c r="E229" s="14" t="inlineStr">
        <is>
          <t>Aceptación</t>
        </is>
      </c>
      <c r="F229" s="15" t="inlineStr">
        <is>
          <t>Aceptar HU-62 como Product Owner desde la interfaz y moverla a Done</t>
        </is>
      </c>
      <c r="G229" s="14" t="inlineStr">
        <is>
          <t>Adiel</t>
        </is>
      </c>
      <c r="H229" s="14" t="n">
        <v>0.5</v>
      </c>
      <c r="I229" s="14" t="inlineStr">
        <is>
          <t>27/10</t>
        </is>
      </c>
      <c r="J229" s="14" t="inlineStr">
        <is>
          <t>T-223</t>
        </is>
      </c>
      <c r="K229" s="14" t="inlineStr">
        <is>
          <t>To Do</t>
        </is>
      </c>
      <c r="L229" s="14" t="n"/>
      <c r="M229" s="14" t="n"/>
      <c r="N229" s="15" t="inlineStr">
        <is>
          <t>DoD T1–T10 + condiciones finales aceptadas por el PO → la HU pasa a Done</t>
        </is>
      </c>
      <c r="O229" s="14" t="n"/>
      <c r="P229" s="14" t="n"/>
      <c r="Q229" s="15" t="n"/>
      <c r="R229" s="14">
        <f>IF(AND(K229&lt;&gt;"To Do",L229&lt;&gt;"Sí"),"⚠ pasó a Doing sin DoR",IF(AND(K229="Done",O229&lt;&gt;"Sí"),"⚠ Done sin criterio cumplido",IF(AND(K229="Doing",COUNTIFS($G$6:$G$266,G229,$K$6:$K$266,"Doing",$E$6:$E$266,"&lt;&gt;Scrum")&gt;2,E229&lt;&gt;"Scrum"),"⚠ más de 2 en Doing","ok")))</f>
        <v/>
      </c>
      <c r="S229">
        <f>IF($K229="To Do",COUNTIF($K$6:$K229,"To Do"),"")</f>
        <v/>
      </c>
      <c r="T229">
        <f>IF($K229="Doing",COUNTIF($K$6:$K229,"Doing"),"")</f>
        <v/>
      </c>
      <c r="U229">
        <f>IF($K229="Done",COUNTIF($K$6:$K229,"Done"),"")</f>
        <v/>
      </c>
    </row>
    <row r="230" ht="42" customHeight="1">
      <c r="B230" s="12" t="inlineStr">
        <is>
          <t>T-225</t>
        </is>
      </c>
      <c r="C230" s="12" t="inlineStr">
        <is>
          <t>HU-63</t>
        </is>
      </c>
      <c r="D230" s="13" t="inlineStr">
        <is>
          <t>Tomar asistencia</t>
        </is>
      </c>
      <c r="E230" s="12" t="inlineStr">
        <is>
          <t>Diseño UI</t>
        </is>
      </c>
      <c r="F230" s="13" t="inlineStr">
        <is>
          <t>Diseñar la interfaz de usuario de HU-63: pantalla 7 · Asistencia de la jornada</t>
        </is>
      </c>
      <c r="G230" s="12" t="inlineStr">
        <is>
          <t>Fernando</t>
        </is>
      </c>
      <c r="H230" s="12" t="n">
        <v>1</v>
      </c>
      <c r="I230" s="12" t="inlineStr">
        <is>
          <t>23/10</t>
        </is>
      </c>
      <c r="J230" s="12" t="n"/>
      <c r="K230" s="12" t="inlineStr">
        <is>
          <t>Done</t>
        </is>
      </c>
      <c r="L230" s="12" t="inlineStr">
        <is>
          <t>Sí</t>
        </is>
      </c>
      <c r="M230" s="12" t="inlineStr">
        <is>
          <t>22/10/2026</t>
        </is>
      </c>
      <c r="N230" s="13" t="inlineStr">
        <is>
          <t>Mockup en el lienzo, revisado por el equipo</t>
        </is>
      </c>
      <c r="O230" s="12" t="inlineStr">
        <is>
          <t>Sí</t>
        </is>
      </c>
      <c r="P230" s="12" t="inlineStr">
        <is>
          <t>22/10/2026</t>
        </is>
      </c>
      <c r="Q230" s="13" t="inlineStr">
        <is>
          <t>Lienzo «SIGRO · Pantallas y diagramas del Sprint 1»</t>
        </is>
      </c>
      <c r="R230" s="12">
        <f>IF(AND(K230&lt;&gt;"To Do",L230&lt;&gt;"Sí"),"⚠ pasó a Doing sin DoR",IF(AND(K230="Done",O230&lt;&gt;"Sí"),"⚠ Done sin criterio cumplido",IF(AND(K230="Doing",COUNTIFS($G$6:$G$266,G230,$K$6:$K$266,"Doing",$E$6:$E$266,"&lt;&gt;Scrum")&gt;2,E230&lt;&gt;"Scrum"),"⚠ más de 2 en Doing","ok")))</f>
        <v/>
      </c>
      <c r="S230">
        <f>IF($K230="To Do",COUNTIF($K$6:$K230,"To Do"),"")</f>
        <v/>
      </c>
      <c r="T230">
        <f>IF($K230="Doing",COUNTIF($K$6:$K230,"Doing"),"")</f>
        <v/>
      </c>
      <c r="U230">
        <f>IF($K230="Done",COUNTIF($K$6:$K230,"Done"),"")</f>
        <v/>
      </c>
    </row>
    <row r="231" ht="42" customHeight="1">
      <c r="B231" s="12" t="inlineStr">
        <is>
          <t>T-226</t>
        </is>
      </c>
      <c r="C231" s="12" t="inlineStr">
        <is>
          <t>HU-63</t>
        </is>
      </c>
      <c r="D231" s="13" t="inlineStr">
        <is>
          <t>Tomar asistencia</t>
        </is>
      </c>
      <c r="E231" s="12" t="inlineStr">
        <is>
          <t>Modelado UML</t>
        </is>
      </c>
      <c r="F231" s="13" t="inlineStr">
        <is>
          <t>Modelar la funcionalidad de HU-63 con el diagrama UML de actividades de la toma de asistencia</t>
        </is>
      </c>
      <c r="G231" s="12" t="inlineStr">
        <is>
          <t>Nicolás</t>
        </is>
      </c>
      <c r="H231" s="12" t="n">
        <v>1</v>
      </c>
      <c r="I231" s="12" t="inlineStr">
        <is>
          <t>24/10</t>
        </is>
      </c>
      <c r="J231" s="12" t="inlineStr">
        <is>
          <t>T-225</t>
        </is>
      </c>
      <c r="K231" s="12" t="inlineStr">
        <is>
          <t>To Do</t>
        </is>
      </c>
      <c r="L231" s="12" t="n"/>
      <c r="M231" s="12" t="n"/>
      <c r="N231" s="13" t="inlineStr">
        <is>
          <t>Diagrama publicado en el repo o el lienzo</t>
        </is>
      </c>
      <c r="O231" s="12" t="n"/>
      <c r="P231" s="12" t="n"/>
      <c r="Q231" s="13" t="n"/>
      <c r="R231" s="12">
        <f>IF(AND(K231&lt;&gt;"To Do",L231&lt;&gt;"Sí"),"⚠ pasó a Doing sin DoR",IF(AND(K231="Done",O231&lt;&gt;"Sí"),"⚠ Done sin criterio cumplido",IF(AND(K231="Doing",COUNTIFS($G$6:$G$266,G231,$K$6:$K$266,"Doing",$E$6:$E$266,"&lt;&gt;Scrum")&gt;2,E231&lt;&gt;"Scrum"),"⚠ más de 2 en Doing","ok")))</f>
        <v/>
      </c>
      <c r="S231">
        <f>IF($K231="To Do",COUNTIF($K$6:$K231,"To Do"),"")</f>
        <v/>
      </c>
      <c r="T231">
        <f>IF($K231="Doing",COUNTIF($K$6:$K231,"Doing"),"")</f>
        <v/>
      </c>
      <c r="U231">
        <f>IF($K231="Done",COUNTIF($K$6:$K231,"Done"),"")</f>
        <v/>
      </c>
    </row>
    <row r="232" ht="42" customHeight="1">
      <c r="B232" s="12" t="inlineStr">
        <is>
          <t>T-227</t>
        </is>
      </c>
      <c r="C232" s="12" t="inlineStr">
        <is>
          <t>HU-63</t>
        </is>
      </c>
      <c r="D232" s="13" t="inlineStr">
        <is>
          <t>Tomar asistencia</t>
        </is>
      </c>
      <c r="E232" s="12" t="inlineStr">
        <is>
          <t>Base de datos</t>
        </is>
      </c>
      <c r="F232" s="13" t="inlineStr">
        <is>
          <t>Implementar las tablas asociadas a HU-63: jornada (UNIQUE trabajador + fecha entre las vigentes)</t>
        </is>
      </c>
      <c r="G232" s="12" t="inlineStr">
        <is>
          <t>Adiel</t>
        </is>
      </c>
      <c r="H232" s="12" t="n">
        <v>1</v>
      </c>
      <c r="I232" s="12" t="inlineStr">
        <is>
          <t>24/10</t>
        </is>
      </c>
      <c r="J232" s="12" t="n"/>
      <c r="K232" s="12" t="inlineStr">
        <is>
          <t>Done</t>
        </is>
      </c>
      <c r="L232" s="12" t="inlineStr">
        <is>
          <t>Sí</t>
        </is>
      </c>
      <c r="M232" s="12" t="inlineStr">
        <is>
          <t>22/10/2026</t>
        </is>
      </c>
      <c r="N232" s="13" t="inlineStr">
        <is>
          <t>Migración fusionada, corre en base limpia y con datos, y se revierte</t>
        </is>
      </c>
      <c r="O232" s="12" t="inlineStr">
        <is>
          <t>Sí</t>
        </is>
      </c>
      <c r="P232" s="12" t="inlineStr">
        <is>
          <t>22/10/2026</t>
        </is>
      </c>
      <c r="Q232" s="13" t="inlineStr">
        <is>
          <t>PR #1 de Adiel (22/10)</t>
        </is>
      </c>
      <c r="R232" s="12">
        <f>IF(AND(K232&lt;&gt;"To Do",L232&lt;&gt;"Sí"),"⚠ pasó a Doing sin DoR",IF(AND(K232="Done",O232&lt;&gt;"Sí"),"⚠ Done sin criterio cumplido",IF(AND(K232="Doing",COUNTIFS($G$6:$G$266,G232,$K$6:$K$266,"Doing",$E$6:$E$266,"&lt;&gt;Scrum")&gt;2,E232&lt;&gt;"Scrum"),"⚠ más de 2 en Doing","ok")))</f>
        <v/>
      </c>
      <c r="S232">
        <f>IF($K232="To Do",COUNTIF($K$6:$K232,"To Do"),"")</f>
        <v/>
      </c>
      <c r="T232">
        <f>IF($K232="Doing",COUNTIF($K$6:$K232,"Doing"),"")</f>
        <v/>
      </c>
      <c r="U232">
        <f>IF($K232="Done",COUNTIF($K$6:$K232,"Done"),"")</f>
        <v/>
      </c>
    </row>
    <row r="233" ht="42" customHeight="1">
      <c r="B233" s="12" t="inlineStr">
        <is>
          <t>T-228</t>
        </is>
      </c>
      <c r="C233" s="12" t="inlineStr">
        <is>
          <t>HU-63</t>
        </is>
      </c>
      <c r="D233" s="13" t="inlineStr">
        <is>
          <t>Tomar asistencia</t>
        </is>
      </c>
      <c r="E233" s="12" t="inlineStr">
        <is>
          <t>Backend</t>
        </is>
      </c>
      <c r="F233" s="13" t="inlineStr">
        <is>
          <t>Programar el back-end de HU-63 (entidad, repositorio, servicio y controlador): la asistencia: una jornada por trabajador y fecha, corrección sin borrar</t>
        </is>
      </c>
      <c r="G233" s="12" t="inlineStr">
        <is>
          <t>Adiel</t>
        </is>
      </c>
      <c r="H233" s="12" t="n">
        <v>4</v>
      </c>
      <c r="I233" s="12" t="inlineStr">
        <is>
          <t>25/10</t>
        </is>
      </c>
      <c r="J233" s="12" t="n"/>
      <c r="K233" s="12" t="inlineStr">
        <is>
          <t>Done</t>
        </is>
      </c>
      <c r="L233" s="12" t="inlineStr">
        <is>
          <t>Sí</t>
        </is>
      </c>
      <c r="M233" s="12" t="inlineStr">
        <is>
          <t>22/10/2026</t>
        </is>
      </c>
      <c r="N233" s="13" t="inlineStr">
        <is>
          <t>PR fusionado con sus pruebas automáticas en verde y el endpoint documentado</t>
        </is>
      </c>
      <c r="O233" s="12" t="inlineStr">
        <is>
          <t>Sí</t>
        </is>
      </c>
      <c r="P233" s="12" t="inlineStr">
        <is>
          <t>22/10/2026</t>
        </is>
      </c>
      <c r="Q233" s="13" t="inlineStr">
        <is>
          <t>PR #1 y #2 de Adiel (22/10)</t>
        </is>
      </c>
      <c r="R233" s="12">
        <f>IF(AND(K233&lt;&gt;"To Do",L233&lt;&gt;"Sí"),"⚠ pasó a Doing sin DoR",IF(AND(K233="Done",O233&lt;&gt;"Sí"),"⚠ Done sin criterio cumplido",IF(AND(K233="Doing",COUNTIFS($G$6:$G$266,G233,$K$6:$K$266,"Doing",$E$6:$E$266,"&lt;&gt;Scrum")&gt;2,E233&lt;&gt;"Scrum"),"⚠ más de 2 en Doing","ok")))</f>
        <v/>
      </c>
      <c r="S233">
        <f>IF($K233="To Do",COUNTIF($K$6:$K233,"To Do"),"")</f>
        <v/>
      </c>
      <c r="T233">
        <f>IF($K233="Doing",COUNTIF($K$6:$K233,"Doing"),"")</f>
        <v/>
      </c>
      <c r="U233">
        <f>IF($K233="Done",COUNTIF($K$6:$K233,"Done"),"")</f>
        <v/>
      </c>
    </row>
    <row r="234" ht="42" customHeight="1">
      <c r="B234" s="12" t="inlineStr">
        <is>
          <t>T-229</t>
        </is>
      </c>
      <c r="C234" s="12" t="inlineStr">
        <is>
          <t>HU-63</t>
        </is>
      </c>
      <c r="D234" s="13" t="inlineStr">
        <is>
          <t>Tomar asistencia</t>
        </is>
      </c>
      <c r="E234" s="12" t="inlineStr">
        <is>
          <t>Triggers y funciones</t>
        </is>
      </c>
      <c r="F234" s="13" t="inlineStr">
        <is>
          <t>Implementar el índice único parcial (trabajador, fecha) entre las jornadas vigentes (HU-63)</t>
        </is>
      </c>
      <c r="G234" s="12" t="inlineStr">
        <is>
          <t>Adiel</t>
        </is>
      </c>
      <c r="H234" s="12" t="n">
        <v>1</v>
      </c>
      <c r="I234" s="12" t="inlineStr">
        <is>
          <t>25/10</t>
        </is>
      </c>
      <c r="J234" s="12" t="n"/>
      <c r="K234" s="12" t="inlineStr">
        <is>
          <t>Done</t>
        </is>
      </c>
      <c r="L234" s="12" t="inlineStr">
        <is>
          <t>Sí</t>
        </is>
      </c>
      <c r="M234" s="12" t="inlineStr">
        <is>
          <t>22/10/2026</t>
        </is>
      </c>
      <c r="N234" s="13" t="inlineStr">
        <is>
          <t>Regla en la base con su prueba, en un PR fusionado</t>
        </is>
      </c>
      <c r="O234" s="12" t="inlineStr">
        <is>
          <t>Sí</t>
        </is>
      </c>
      <c r="P234" s="12" t="inlineStr">
        <is>
          <t>22/10/2026</t>
        </is>
      </c>
      <c r="Q234" s="13" t="inlineStr">
        <is>
          <t>Registro del 22/10</t>
        </is>
      </c>
      <c r="R234" s="12">
        <f>IF(AND(K234&lt;&gt;"To Do",L234&lt;&gt;"Sí"),"⚠ pasó a Doing sin DoR",IF(AND(K234="Done",O234&lt;&gt;"Sí"),"⚠ Done sin criterio cumplido",IF(AND(K234="Doing",COUNTIFS($G$6:$G$266,G234,$K$6:$K$266,"Doing",$E$6:$E$266,"&lt;&gt;Scrum")&gt;2,E234&lt;&gt;"Scrum"),"⚠ más de 2 en Doing","ok")))</f>
        <v/>
      </c>
      <c r="S234">
        <f>IF($K234="To Do",COUNTIF($K$6:$K234,"To Do"),"")</f>
        <v/>
      </c>
      <c r="T234">
        <f>IF($K234="Doing",COUNTIF($K$6:$K234,"Doing"),"")</f>
        <v/>
      </c>
      <c r="U234">
        <f>IF($K234="Done",COUNTIF($K$6:$K234,"Done"),"")</f>
        <v/>
      </c>
    </row>
    <row r="235" ht="42" customHeight="1">
      <c r="B235" s="12" t="inlineStr">
        <is>
          <t>T-230</t>
        </is>
      </c>
      <c r="C235" s="12" t="inlineStr">
        <is>
          <t>HU-63</t>
        </is>
      </c>
      <c r="D235" s="13" t="inlineStr">
        <is>
          <t>Tomar asistencia</t>
        </is>
      </c>
      <c r="E235" s="12" t="inlineStr">
        <is>
          <t>Front-end app</t>
        </is>
      </c>
      <c r="F235" s="13" t="inlineStr">
        <is>
          <t>Programar la pantalla de asistencia del día en la app (horas normales y extra)</t>
        </is>
      </c>
      <c r="G235" s="12" t="inlineStr">
        <is>
          <t>Nicolás</t>
        </is>
      </c>
      <c r="H235" s="12" t="n">
        <v>4</v>
      </c>
      <c r="I235" s="12" t="inlineStr">
        <is>
          <t>26/10</t>
        </is>
      </c>
      <c r="J235" s="12" t="inlineStr">
        <is>
          <t>T-225, T-242</t>
        </is>
      </c>
      <c r="K235" s="12" t="inlineStr">
        <is>
          <t>To Do</t>
        </is>
      </c>
      <c r="L235" s="12" t="n"/>
      <c r="M235" s="12" t="n"/>
      <c r="N235" s="13" t="inlineStr">
        <is>
          <t>PR fusionado; lo que registra movimientos probado en modo avión</t>
        </is>
      </c>
      <c r="O235" s="12" t="n"/>
      <c r="P235" s="12" t="n"/>
      <c r="Q235" s="13" t="n"/>
      <c r="R235" s="12">
        <f>IF(AND(K235&lt;&gt;"To Do",L235&lt;&gt;"Sí"),"⚠ pasó a Doing sin DoR",IF(AND(K235="Done",O235&lt;&gt;"Sí"),"⚠ Done sin criterio cumplido",IF(AND(K235="Doing",COUNTIFS($G$6:$G$266,G235,$K$6:$K$266,"Doing",$E$6:$E$266,"&lt;&gt;Scrum")&gt;2,E235&lt;&gt;"Scrum"),"⚠ más de 2 en Doing","ok")))</f>
        <v/>
      </c>
      <c r="S235">
        <f>IF($K235="To Do",COUNTIF($K$6:$K235,"To Do"),"")</f>
        <v/>
      </c>
      <c r="T235">
        <f>IF($K235="Doing",COUNTIF($K$6:$K235,"Doing"),"")</f>
        <v/>
      </c>
      <c r="U235">
        <f>IF($K235="Done",COUNTIF($K$6:$K235,"Done"),"")</f>
        <v/>
      </c>
    </row>
    <row r="236" ht="42" customHeight="1">
      <c r="B236" s="12" t="inlineStr">
        <is>
          <t>T-231</t>
        </is>
      </c>
      <c r="C236" s="12" t="inlineStr">
        <is>
          <t>HU-63</t>
        </is>
      </c>
      <c r="D236" s="13" t="inlineStr">
        <is>
          <t>Tomar asistencia</t>
        </is>
      </c>
      <c r="E236" s="12" t="inlineStr">
        <is>
          <t>Pruebas</t>
        </is>
      </c>
      <c r="F236" s="13" t="inlineStr">
        <is>
          <t>Probar la funcionalidad de HU-63 (la API con Postman y la app en modo avión y al volver la señal) contra cada condición final y aprobar su PR</t>
        </is>
      </c>
      <c r="G236" s="12" t="inlineStr">
        <is>
          <t>Henry</t>
        </is>
      </c>
      <c r="H236" s="12" t="n">
        <v>1</v>
      </c>
      <c r="I236" s="12" t="inlineStr">
        <is>
          <t>27/10</t>
        </is>
      </c>
      <c r="J236" s="12" t="inlineStr">
        <is>
          <t>T-227, T-228, T-229, T-230, T-233</t>
        </is>
      </c>
      <c r="K236" s="12" t="inlineStr">
        <is>
          <t>To Do</t>
        </is>
      </c>
      <c r="L236" s="12" t="n"/>
      <c r="M236" s="12" t="n"/>
      <c r="N236" s="13" t="inlineStr">
        <is>
          <t>Cada condición final verificada con Postman y en la interfaz; PR aprobado por alguien distinto del autor</t>
        </is>
      </c>
      <c r="O236" s="12" t="n"/>
      <c r="P236" s="12" t="n"/>
      <c r="Q236" s="13" t="n"/>
      <c r="R236" s="12">
        <f>IF(AND(K236&lt;&gt;"To Do",L236&lt;&gt;"Sí"),"⚠ pasó a Doing sin DoR",IF(AND(K236="Done",O236&lt;&gt;"Sí"),"⚠ Done sin criterio cumplido",IF(AND(K236="Doing",COUNTIFS($G$6:$G$266,G236,$K$6:$K$266,"Doing",$E$6:$E$266,"&lt;&gt;Scrum")&gt;2,E236&lt;&gt;"Scrum"),"⚠ más de 2 en Doing","ok")))</f>
        <v/>
      </c>
      <c r="S236">
        <f>IF($K236="To Do",COUNTIF($K$6:$K236,"To Do"),"")</f>
        <v/>
      </c>
      <c r="T236">
        <f>IF($K236="Doing",COUNTIF($K$6:$K236,"Doing"),"")</f>
        <v/>
      </c>
      <c r="U236">
        <f>IF($K236="Done",COUNTIF($K$6:$K236,"Done"),"")</f>
        <v/>
      </c>
    </row>
    <row r="237" ht="42" customHeight="1">
      <c r="B237" s="14" t="inlineStr">
        <is>
          <t>T-232</t>
        </is>
      </c>
      <c r="C237" s="14" t="inlineStr">
        <is>
          <t>HU-63</t>
        </is>
      </c>
      <c r="D237" s="15" t="inlineStr">
        <is>
          <t>Tomar asistencia</t>
        </is>
      </c>
      <c r="E237" s="14" t="inlineStr">
        <is>
          <t>Aceptación</t>
        </is>
      </c>
      <c r="F237" s="15" t="inlineStr">
        <is>
          <t>Aceptar HU-63 como Product Owner desde la interfaz y moverla a Done</t>
        </is>
      </c>
      <c r="G237" s="14" t="inlineStr">
        <is>
          <t>Adiel</t>
        </is>
      </c>
      <c r="H237" s="14" t="n">
        <v>0.5</v>
      </c>
      <c r="I237" s="14" t="inlineStr">
        <is>
          <t>27/10</t>
        </is>
      </c>
      <c r="J237" s="14" t="inlineStr">
        <is>
          <t>T-231</t>
        </is>
      </c>
      <c r="K237" s="14" t="inlineStr">
        <is>
          <t>To Do</t>
        </is>
      </c>
      <c r="L237" s="14" t="n"/>
      <c r="M237" s="14" t="n"/>
      <c r="N237" s="15" t="inlineStr">
        <is>
          <t>DoD T1–T10 + condiciones finales aceptadas por el PO → la HU pasa a Done</t>
        </is>
      </c>
      <c r="O237" s="14" t="n"/>
      <c r="P237" s="14" t="n"/>
      <c r="Q237" s="15" t="n"/>
      <c r="R237" s="14">
        <f>IF(AND(K237&lt;&gt;"To Do",L237&lt;&gt;"Sí"),"⚠ pasó a Doing sin DoR",IF(AND(K237="Done",O237&lt;&gt;"Sí"),"⚠ Done sin criterio cumplido",IF(AND(K237="Doing",COUNTIFS($G$6:$G$266,G237,$K$6:$K$266,"Doing",$E$6:$E$266,"&lt;&gt;Scrum")&gt;2,E237&lt;&gt;"Scrum"),"⚠ más de 2 en Doing","ok")))</f>
        <v/>
      </c>
      <c r="S237">
        <f>IF($K237="To Do",COUNTIF($K$6:$K237,"To Do"),"")</f>
        <v/>
      </c>
      <c r="T237">
        <f>IF($K237="Doing",COUNTIF($K$6:$K237,"Doing"),"")</f>
        <v/>
      </c>
      <c r="U237">
        <f>IF($K237="Done",COUNTIF($K$6:$K237,"Done"),"")</f>
        <v/>
      </c>
    </row>
    <row r="238" ht="42" customHeight="1">
      <c r="B238" s="12" t="inlineStr">
        <is>
          <t>T-233</t>
        </is>
      </c>
      <c r="C238" s="12" t="inlineStr">
        <is>
          <t>HT-01</t>
        </is>
      </c>
      <c r="D238" s="13" t="inlineStr">
        <is>
          <t>Desplegar el ambiente de pruebas</t>
        </is>
      </c>
      <c r="E238" s="12" t="inlineStr">
        <is>
          <t>DevOps</t>
        </is>
      </c>
      <c r="F238" s="13" t="inlineStr">
        <is>
          <t>Desplegar el ambiente de pruebas (API, base de datos y web) que exige el T8 de la DoD</t>
        </is>
      </c>
      <c r="G238" s="12" t="inlineStr">
        <is>
          <t>Fernando</t>
        </is>
      </c>
      <c r="H238" s="12" t="n">
        <v>6</v>
      </c>
      <c r="I238" s="12" t="inlineStr">
        <is>
          <t>24/10</t>
        </is>
      </c>
      <c r="J238" s="12" t="n"/>
      <c r="K238" s="12" t="inlineStr">
        <is>
          <t>To Do</t>
        </is>
      </c>
      <c r="L238" s="12" t="n"/>
      <c r="M238" s="12" t="n"/>
      <c r="N238" s="13" t="inlineStr">
        <is>
          <t>Entregable revisado por el equipo</t>
        </is>
      </c>
      <c r="O238" s="12" t="n"/>
      <c r="P238" s="12" t="n"/>
      <c r="Q238" s="13" t="n"/>
      <c r="R238" s="12">
        <f>IF(AND(K238&lt;&gt;"To Do",L238&lt;&gt;"Sí"),"⚠ pasó a Doing sin DoR",IF(AND(K238="Done",O238&lt;&gt;"Sí"),"⚠ Done sin criterio cumplido",IF(AND(K238="Doing",COUNTIFS($G$6:$G$266,G238,$K$6:$K$266,"Doing",$E$6:$E$266,"&lt;&gt;Scrum")&gt;2,E238&lt;&gt;"Scrum"),"⚠ más de 2 en Doing","ok")))</f>
        <v/>
      </c>
      <c r="S238">
        <f>IF($K238="To Do",COUNTIF($K$6:$K238,"To Do"),"")</f>
        <v/>
      </c>
      <c r="T238">
        <f>IF($K238="Doing",COUNTIF($K$6:$K238,"Doing"),"")</f>
        <v/>
      </c>
      <c r="U238">
        <f>IF($K238="Done",COUNTIF($K$6:$K238,"Done"),"")</f>
        <v/>
      </c>
    </row>
    <row r="239" ht="42" customHeight="1">
      <c r="B239" s="14" t="inlineStr">
        <is>
          <t>T-234</t>
        </is>
      </c>
      <c r="C239" s="14" t="inlineStr">
        <is>
          <t>HT-01</t>
        </is>
      </c>
      <c r="D239" s="15" t="inlineStr">
        <is>
          <t>Desplegar el ambiente de pruebas</t>
        </is>
      </c>
      <c r="E239" s="14" t="inlineStr">
        <is>
          <t>Aceptación</t>
        </is>
      </c>
      <c r="F239" s="15" t="inlineStr">
        <is>
          <t>Aceptar HT-01 como Product Owner y moverla a Done</t>
        </is>
      </c>
      <c r="G239" s="14" t="inlineStr">
        <is>
          <t>Adiel</t>
        </is>
      </c>
      <c r="H239" s="14" t="n">
        <v>0.5</v>
      </c>
      <c r="I239" s="14" t="inlineStr">
        <is>
          <t>27/10</t>
        </is>
      </c>
      <c r="J239" s="14" t="n"/>
      <c r="K239" s="14" t="inlineStr">
        <is>
          <t>To Do</t>
        </is>
      </c>
      <c r="L239" s="14" t="n"/>
      <c r="M239" s="14" t="n"/>
      <c r="N239" s="15" t="inlineStr">
        <is>
          <t>DoD T1–T10 + condiciones finales aceptadas por el PO → la HU pasa a Done</t>
        </is>
      </c>
      <c r="O239" s="14" t="n"/>
      <c r="P239" s="14" t="n"/>
      <c r="Q239" s="15" t="n"/>
      <c r="R239" s="14">
        <f>IF(AND(K239&lt;&gt;"To Do",L239&lt;&gt;"Sí"),"⚠ pasó a Doing sin DoR",IF(AND(K239="Done",O239&lt;&gt;"Sí"),"⚠ Done sin criterio cumplido",IF(AND(K239="Doing",COUNTIFS($G$6:$G$266,G239,$K$6:$K$266,"Doing",$E$6:$E$266,"&lt;&gt;Scrum")&gt;2,E239&lt;&gt;"Scrum"),"⚠ más de 2 en Doing","ok")))</f>
        <v/>
      </c>
      <c r="S239">
        <f>IF($K239="To Do",COUNTIF($K$6:$K239,"To Do"),"")</f>
        <v/>
      </c>
      <c r="T239">
        <f>IF($K239="Doing",COUNTIF($K$6:$K239,"Doing"),"")</f>
        <v/>
      </c>
      <c r="U239">
        <f>IF($K239="Done",COUNTIF($K$6:$K239,"Done"),"")</f>
        <v/>
      </c>
    </row>
    <row r="240" ht="42" customHeight="1">
      <c r="B240" s="12" t="inlineStr">
        <is>
          <t>T-235</t>
        </is>
      </c>
      <c r="C240" s="12" t="inlineStr">
        <is>
          <t>HT-02</t>
        </is>
      </c>
      <c r="D240" s="13" t="inlineStr">
        <is>
          <t>Configurar la integración continua</t>
        </is>
      </c>
      <c r="E240" s="12" t="inlineStr">
        <is>
          <t>DevOps</t>
        </is>
      </c>
      <c r="F240" s="13" t="inlineStr">
        <is>
          <t>Configurar las pruebas automáticas en cada PR con GitHub Actions</t>
        </is>
      </c>
      <c r="G240" s="12" t="inlineStr">
        <is>
          <t>Adiel</t>
        </is>
      </c>
      <c r="H240" s="12" t="n">
        <v>3</v>
      </c>
      <c r="I240" s="12" t="inlineStr">
        <is>
          <t>24/10</t>
        </is>
      </c>
      <c r="J240" s="12" t="n"/>
      <c r="K240" s="12" t="inlineStr">
        <is>
          <t>To Do</t>
        </is>
      </c>
      <c r="L240" s="12" t="n"/>
      <c r="M240" s="12" t="n"/>
      <c r="N240" s="13" t="inlineStr">
        <is>
          <t>Entregable revisado por el equipo</t>
        </is>
      </c>
      <c r="O240" s="12" t="n"/>
      <c r="P240" s="12" t="n"/>
      <c r="Q240" s="13" t="n"/>
      <c r="R240" s="12">
        <f>IF(AND(K240&lt;&gt;"To Do",L240&lt;&gt;"Sí"),"⚠ pasó a Doing sin DoR",IF(AND(K240="Done",O240&lt;&gt;"Sí"),"⚠ Done sin criterio cumplido",IF(AND(K240="Doing",COUNTIFS($G$6:$G$266,G240,$K$6:$K$266,"Doing",$E$6:$E$266,"&lt;&gt;Scrum")&gt;2,E240&lt;&gt;"Scrum"),"⚠ más de 2 en Doing","ok")))</f>
        <v/>
      </c>
      <c r="S240">
        <f>IF($K240="To Do",COUNTIF($K$6:$K240,"To Do"),"")</f>
        <v/>
      </c>
      <c r="T240">
        <f>IF($K240="Doing",COUNTIF($K$6:$K240,"Doing"),"")</f>
        <v/>
      </c>
      <c r="U240">
        <f>IF($K240="Done",COUNTIF($K$6:$K240,"Done"),"")</f>
        <v/>
      </c>
    </row>
    <row r="241" ht="42" customHeight="1">
      <c r="B241" s="14" t="inlineStr">
        <is>
          <t>T-236</t>
        </is>
      </c>
      <c r="C241" s="14" t="inlineStr">
        <is>
          <t>HT-02</t>
        </is>
      </c>
      <c r="D241" s="15" t="inlineStr">
        <is>
          <t>Configurar la integración continua</t>
        </is>
      </c>
      <c r="E241" s="14" t="inlineStr">
        <is>
          <t>Aceptación</t>
        </is>
      </c>
      <c r="F241" s="15" t="inlineStr">
        <is>
          <t>Aceptar HT-02 como Product Owner y moverla a Done</t>
        </is>
      </c>
      <c r="G241" s="14" t="inlineStr">
        <is>
          <t>Adiel</t>
        </is>
      </c>
      <c r="H241" s="14" t="n">
        <v>0.5</v>
      </c>
      <c r="I241" s="14" t="inlineStr">
        <is>
          <t>27/10</t>
        </is>
      </c>
      <c r="J241" s="14" t="n"/>
      <c r="K241" s="14" t="inlineStr">
        <is>
          <t>To Do</t>
        </is>
      </c>
      <c r="L241" s="14" t="n"/>
      <c r="M241" s="14" t="n"/>
      <c r="N241" s="15" t="inlineStr">
        <is>
          <t>DoD T1–T10 + condiciones finales aceptadas por el PO → la HU pasa a Done</t>
        </is>
      </c>
      <c r="O241" s="14" t="n"/>
      <c r="P241" s="14" t="n"/>
      <c r="Q241" s="15" t="n"/>
      <c r="R241" s="14">
        <f>IF(AND(K241&lt;&gt;"To Do",L241&lt;&gt;"Sí"),"⚠ pasó a Doing sin DoR",IF(AND(K241="Done",O241&lt;&gt;"Sí"),"⚠ Done sin criterio cumplido",IF(AND(K241="Doing",COUNTIFS($G$6:$G$266,G241,$K$6:$K$266,"Doing",$E$6:$E$266,"&lt;&gt;Scrum")&gt;2,E241&lt;&gt;"Scrum"),"⚠ más de 2 en Doing","ok")))</f>
        <v/>
      </c>
      <c r="S241">
        <f>IF($K241="To Do",COUNTIF($K$6:$K241,"To Do"),"")</f>
        <v/>
      </c>
      <c r="T241">
        <f>IF($K241="Doing",COUNTIF($K$6:$K241,"Doing"),"")</f>
        <v/>
      </c>
      <c r="U241">
        <f>IF($K241="Done",COUNTIF($K$6:$K241,"Done"),"")</f>
        <v/>
      </c>
    </row>
    <row r="242" ht="42" customHeight="1">
      <c r="B242" s="12" t="inlineStr">
        <is>
          <t>T-237</t>
        </is>
      </c>
      <c r="C242" s="12" t="inlineStr">
        <is>
          <t>HT-03</t>
        </is>
      </c>
      <c r="D242" s="13" t="inlineStr">
        <is>
          <t>Proteger el repositorio y main</t>
        </is>
      </c>
      <c r="E242" s="12" t="inlineStr">
        <is>
          <t>DevOps</t>
        </is>
      </c>
      <c r="F242" s="13" t="inlineStr">
        <is>
          <t>Poner el repositorio en privado e invitar al docente como lector</t>
        </is>
      </c>
      <c r="G242" s="12" t="inlineStr">
        <is>
          <t>Fernando</t>
        </is>
      </c>
      <c r="H242" s="12" t="n">
        <v>0.5</v>
      </c>
      <c r="I242" s="12" t="inlineStr">
        <is>
          <t>24/10</t>
        </is>
      </c>
      <c r="J242" s="12" t="n"/>
      <c r="K242" s="12" t="inlineStr">
        <is>
          <t>To Do</t>
        </is>
      </c>
      <c r="L242" s="12" t="n"/>
      <c r="M242" s="12" t="n"/>
      <c r="N242" s="13" t="inlineStr">
        <is>
          <t>Entregable revisado por el equipo</t>
        </is>
      </c>
      <c r="O242" s="12" t="n"/>
      <c r="P242" s="12" t="n"/>
      <c r="Q242" s="13" t="n"/>
      <c r="R242" s="12">
        <f>IF(AND(K242&lt;&gt;"To Do",L242&lt;&gt;"Sí"),"⚠ pasó a Doing sin DoR",IF(AND(K242="Done",O242&lt;&gt;"Sí"),"⚠ Done sin criterio cumplido",IF(AND(K242="Doing",COUNTIFS($G$6:$G$266,G242,$K$6:$K$266,"Doing",$E$6:$E$266,"&lt;&gt;Scrum")&gt;2,E242&lt;&gt;"Scrum"),"⚠ más de 2 en Doing","ok")))</f>
        <v/>
      </c>
      <c r="S242">
        <f>IF($K242="To Do",COUNTIF($K$6:$K242,"To Do"),"")</f>
        <v/>
      </c>
      <c r="T242">
        <f>IF($K242="Doing",COUNTIF($K$6:$K242,"Doing"),"")</f>
        <v/>
      </c>
      <c r="U242">
        <f>IF($K242="Done",COUNTIF($K$6:$K242,"Done"),"")</f>
        <v/>
      </c>
    </row>
    <row r="243" ht="42" customHeight="1">
      <c r="B243" s="12" t="inlineStr">
        <is>
          <t>T-238</t>
        </is>
      </c>
      <c r="C243" s="12" t="inlineStr">
        <is>
          <t>HT-03</t>
        </is>
      </c>
      <c r="D243" s="13" t="inlineStr">
        <is>
          <t>Proteger el repositorio y main</t>
        </is>
      </c>
      <c r="E243" s="12" t="inlineStr">
        <is>
          <t>DevOps</t>
        </is>
      </c>
      <c r="F243" s="13" t="inlineStr">
        <is>
          <t>Proteger la rama main: PR obligatorio con una aprobación de otro integrante</t>
        </is>
      </c>
      <c r="G243" s="12" t="inlineStr">
        <is>
          <t>Fernando</t>
        </is>
      </c>
      <c r="H243" s="12" t="n">
        <v>0.5</v>
      </c>
      <c r="I243" s="12" t="inlineStr">
        <is>
          <t>24/10</t>
        </is>
      </c>
      <c r="J243" s="12" t="n"/>
      <c r="K243" s="12" t="inlineStr">
        <is>
          <t>To Do</t>
        </is>
      </c>
      <c r="L243" s="12" t="n"/>
      <c r="M243" s="12" t="n"/>
      <c r="N243" s="13" t="inlineStr">
        <is>
          <t>Entregable revisado por el equipo</t>
        </is>
      </c>
      <c r="O243" s="12" t="n"/>
      <c r="P243" s="12" t="n"/>
      <c r="Q243" s="13" t="n"/>
      <c r="R243" s="12">
        <f>IF(AND(K243&lt;&gt;"To Do",L243&lt;&gt;"Sí"),"⚠ pasó a Doing sin DoR",IF(AND(K243="Done",O243&lt;&gt;"Sí"),"⚠ Done sin criterio cumplido",IF(AND(K243="Doing",COUNTIFS($G$6:$G$266,G243,$K$6:$K$266,"Doing",$E$6:$E$266,"&lt;&gt;Scrum")&gt;2,E243&lt;&gt;"Scrum"),"⚠ más de 2 en Doing","ok")))</f>
        <v/>
      </c>
      <c r="S243">
        <f>IF($K243="To Do",COUNTIF($K$6:$K243,"To Do"),"")</f>
        <v/>
      </c>
      <c r="T243">
        <f>IF($K243="Doing",COUNTIF($K$6:$K243,"Doing"),"")</f>
        <v/>
      </c>
      <c r="U243">
        <f>IF($K243="Done",COUNTIF($K$6:$K243,"Done"),"")</f>
        <v/>
      </c>
    </row>
    <row r="244" ht="42" customHeight="1">
      <c r="B244" s="14" t="inlineStr">
        <is>
          <t>T-239</t>
        </is>
      </c>
      <c r="C244" s="14" t="inlineStr">
        <is>
          <t>HT-03</t>
        </is>
      </c>
      <c r="D244" s="15" t="inlineStr">
        <is>
          <t>Proteger el repositorio y main</t>
        </is>
      </c>
      <c r="E244" s="14" t="inlineStr">
        <is>
          <t>Aceptación</t>
        </is>
      </c>
      <c r="F244" s="15" t="inlineStr">
        <is>
          <t>Aceptar HT-03 como Product Owner y moverla a Done</t>
        </is>
      </c>
      <c r="G244" s="14" t="inlineStr">
        <is>
          <t>Adiel</t>
        </is>
      </c>
      <c r="H244" s="14" t="n">
        <v>0.5</v>
      </c>
      <c r="I244" s="14" t="inlineStr">
        <is>
          <t>27/10</t>
        </is>
      </c>
      <c r="J244" s="14" t="n"/>
      <c r="K244" s="14" t="inlineStr">
        <is>
          <t>To Do</t>
        </is>
      </c>
      <c r="L244" s="14" t="n"/>
      <c r="M244" s="14" t="n"/>
      <c r="N244" s="15" t="inlineStr">
        <is>
          <t>DoD T1–T10 + condiciones finales aceptadas por el PO → la HU pasa a Done</t>
        </is>
      </c>
      <c r="O244" s="14" t="n"/>
      <c r="P244" s="14" t="n"/>
      <c r="Q244" s="15" t="n"/>
      <c r="R244" s="14">
        <f>IF(AND(K244&lt;&gt;"To Do",L244&lt;&gt;"Sí"),"⚠ pasó a Doing sin DoR",IF(AND(K244="Done",O244&lt;&gt;"Sí"),"⚠ Done sin criterio cumplido",IF(AND(K244="Doing",COUNTIFS($G$6:$G$266,G244,$K$6:$K$266,"Doing",$E$6:$E$266,"&lt;&gt;Scrum")&gt;2,E244&lt;&gt;"Scrum"),"⚠ más de 2 en Doing","ok")))</f>
        <v/>
      </c>
      <c r="S244">
        <f>IF($K244="To Do",COUNTIF($K$6:$K244,"To Do"),"")</f>
        <v/>
      </c>
      <c r="T244">
        <f>IF($K244="Doing",COUNTIF($K$6:$K244,"Doing"),"")</f>
        <v/>
      </c>
      <c r="U244">
        <f>IF($K244="Done",COUNTIF($K$6:$K244,"Done"),"")</f>
        <v/>
      </c>
    </row>
    <row r="245" ht="42" customHeight="1">
      <c r="B245" s="12" t="inlineStr">
        <is>
          <t>T-240</t>
        </is>
      </c>
      <c r="C245" s="12" t="inlineStr">
        <is>
          <t>HT-04</t>
        </is>
      </c>
      <c r="D245" s="13" t="inlineStr">
        <is>
          <t>Conectar la web con la API real</t>
        </is>
      </c>
      <c r="E245" s="12" t="inlineStr">
        <is>
          <t>Web</t>
        </is>
      </c>
      <c r="F245" s="13" t="inlineStr">
        <is>
          <t>Programar el ClienteHttp para que la web hable con la API real (snake_case ↔ camelCase, errores {codigo, mensaje})</t>
        </is>
      </c>
      <c r="G245" s="12" t="inlineStr">
        <is>
          <t>Henry</t>
        </is>
      </c>
      <c r="H245" s="12" t="n">
        <v>4</v>
      </c>
      <c r="I245" s="12" t="inlineStr">
        <is>
          <t>26/10</t>
        </is>
      </c>
      <c r="J245" s="12" t="n"/>
      <c r="K245" s="12" t="inlineStr">
        <is>
          <t>To Do</t>
        </is>
      </c>
      <c r="L245" s="12" t="n"/>
      <c r="M245" s="12" t="n"/>
      <c r="N245" s="13" t="inlineStr">
        <is>
          <t>Entregable revisado por el equipo</t>
        </is>
      </c>
      <c r="O245" s="12" t="n"/>
      <c r="P245" s="12" t="n"/>
      <c r="Q245" s="13" t="n"/>
      <c r="R245" s="12">
        <f>IF(AND(K245&lt;&gt;"To Do",L245&lt;&gt;"Sí"),"⚠ pasó a Doing sin DoR",IF(AND(K245="Done",O245&lt;&gt;"Sí"),"⚠ Done sin criterio cumplido",IF(AND(K245="Doing",COUNTIFS($G$6:$G$266,G245,$K$6:$K$266,"Doing",$E$6:$E$266,"&lt;&gt;Scrum")&gt;2,E245&lt;&gt;"Scrum"),"⚠ más de 2 en Doing","ok")))</f>
        <v/>
      </c>
      <c r="S245">
        <f>IF($K245="To Do",COUNTIF($K$6:$K245,"To Do"),"")</f>
        <v/>
      </c>
      <c r="T245">
        <f>IF($K245="Doing",COUNTIF($K$6:$K245,"Doing"),"")</f>
        <v/>
      </c>
      <c r="U245">
        <f>IF($K245="Done",COUNTIF($K$6:$K245,"Done"),"")</f>
        <v/>
      </c>
    </row>
    <row r="246" ht="42" customHeight="1">
      <c r="B246" s="14" t="inlineStr">
        <is>
          <t>T-241</t>
        </is>
      </c>
      <c r="C246" s="14" t="inlineStr">
        <is>
          <t>HT-04</t>
        </is>
      </c>
      <c r="D246" s="15" t="inlineStr">
        <is>
          <t>Conectar la web con la API real</t>
        </is>
      </c>
      <c r="E246" s="14" t="inlineStr">
        <is>
          <t>Aceptación</t>
        </is>
      </c>
      <c r="F246" s="15" t="inlineStr">
        <is>
          <t>Aceptar HT-04 como Product Owner y moverla a Done</t>
        </is>
      </c>
      <c r="G246" s="14" t="inlineStr">
        <is>
          <t>Adiel</t>
        </is>
      </c>
      <c r="H246" s="14" t="n">
        <v>0.5</v>
      </c>
      <c r="I246" s="14" t="inlineStr">
        <is>
          <t>27/10</t>
        </is>
      </c>
      <c r="J246" s="14" t="n"/>
      <c r="K246" s="14" t="inlineStr">
        <is>
          <t>To Do</t>
        </is>
      </c>
      <c r="L246" s="14" t="n"/>
      <c r="M246" s="14" t="n"/>
      <c r="N246" s="15" t="inlineStr">
        <is>
          <t>DoD T1–T10 + condiciones finales aceptadas por el PO → la HU pasa a Done</t>
        </is>
      </c>
      <c r="O246" s="14" t="n"/>
      <c r="P246" s="14" t="n"/>
      <c r="Q246" s="15" t="n"/>
      <c r="R246" s="14">
        <f>IF(AND(K246&lt;&gt;"To Do",L246&lt;&gt;"Sí"),"⚠ pasó a Doing sin DoR",IF(AND(K246="Done",O246&lt;&gt;"Sí"),"⚠ Done sin criterio cumplido",IF(AND(K246="Doing",COUNTIFS($G$6:$G$266,G246,$K$6:$K$266,"Doing",$E$6:$E$266,"&lt;&gt;Scrum")&gt;2,E246&lt;&gt;"Scrum"),"⚠ más de 2 en Doing","ok")))</f>
        <v/>
      </c>
      <c r="S246">
        <f>IF($K246="To Do",COUNTIF($K$6:$K246,"To Do"),"")</f>
        <v/>
      </c>
      <c r="T246">
        <f>IF($K246="Doing",COUNTIF($K$6:$K246,"Doing"),"")</f>
        <v/>
      </c>
      <c r="U246">
        <f>IF($K246="Done",COUNTIF($K$6:$K246,"Done"),"")</f>
        <v/>
      </c>
    </row>
    <row r="247" ht="42" customHeight="1">
      <c r="B247" s="12" t="inlineStr">
        <is>
          <t>T-242</t>
        </is>
      </c>
      <c r="C247" s="12" t="inlineStr">
        <is>
          <t>HT-05</t>
        </is>
      </c>
      <c r="D247" s="13" t="inlineStr">
        <is>
          <t>Crear la base de la app Android</t>
        </is>
      </c>
      <c r="E247" s="12" t="inlineStr">
        <is>
          <t>Android</t>
        </is>
      </c>
      <c r="F247" s="13" t="inlineStr">
        <is>
          <t>Crear el proyecto base de la app: Compose, Room, WorkManager y cliente de la API</t>
        </is>
      </c>
      <c r="G247" s="12" t="inlineStr">
        <is>
          <t>Nicolás</t>
        </is>
      </c>
      <c r="H247" s="12" t="n">
        <v>6</v>
      </c>
      <c r="I247" s="12" t="inlineStr">
        <is>
          <t>26/10</t>
        </is>
      </c>
      <c r="J247" s="12" t="n"/>
      <c r="K247" s="12" t="inlineStr">
        <is>
          <t>To Do</t>
        </is>
      </c>
      <c r="L247" s="12" t="n"/>
      <c r="M247" s="12" t="n"/>
      <c r="N247" s="13" t="inlineStr">
        <is>
          <t>Entregable revisado por el equipo</t>
        </is>
      </c>
      <c r="O247" s="12" t="n"/>
      <c r="P247" s="12" t="n"/>
      <c r="Q247" s="13" t="n"/>
      <c r="R247" s="12">
        <f>IF(AND(K247&lt;&gt;"To Do",L247&lt;&gt;"Sí"),"⚠ pasó a Doing sin DoR",IF(AND(K247="Done",O247&lt;&gt;"Sí"),"⚠ Done sin criterio cumplido",IF(AND(K247="Doing",COUNTIFS($G$6:$G$266,G247,$K$6:$K$266,"Doing",$E$6:$E$266,"&lt;&gt;Scrum")&gt;2,E247&lt;&gt;"Scrum"),"⚠ más de 2 en Doing","ok")))</f>
        <v/>
      </c>
      <c r="S247">
        <f>IF($K247="To Do",COUNTIF($K$6:$K247,"To Do"),"")</f>
        <v/>
      </c>
      <c r="T247">
        <f>IF($K247="Doing",COUNTIF($K$6:$K247,"Doing"),"")</f>
        <v/>
      </c>
      <c r="U247">
        <f>IF($K247="Done",COUNTIF($K$6:$K247,"Done"),"")</f>
        <v/>
      </c>
    </row>
    <row r="248" ht="42" customHeight="1">
      <c r="B248" s="14" t="inlineStr">
        <is>
          <t>T-243</t>
        </is>
      </c>
      <c r="C248" s="14" t="inlineStr">
        <is>
          <t>HT-05</t>
        </is>
      </c>
      <c r="D248" s="15" t="inlineStr">
        <is>
          <t>Crear la base de la app Android</t>
        </is>
      </c>
      <c r="E248" s="14" t="inlineStr">
        <is>
          <t>Aceptación</t>
        </is>
      </c>
      <c r="F248" s="15" t="inlineStr">
        <is>
          <t>Aceptar HT-05 como Product Owner y moverla a Done</t>
        </is>
      </c>
      <c r="G248" s="14" t="inlineStr">
        <is>
          <t>Adiel</t>
        </is>
      </c>
      <c r="H248" s="14" t="n">
        <v>0.5</v>
      </c>
      <c r="I248" s="14" t="inlineStr">
        <is>
          <t>27/10</t>
        </is>
      </c>
      <c r="J248" s="14" t="n"/>
      <c r="K248" s="14" t="inlineStr">
        <is>
          <t>To Do</t>
        </is>
      </c>
      <c r="L248" s="14" t="n"/>
      <c r="M248" s="14" t="n"/>
      <c r="N248" s="15" t="inlineStr">
        <is>
          <t>DoD T1–T10 + condiciones finales aceptadas por el PO → la HU pasa a Done</t>
        </is>
      </c>
      <c r="O248" s="14" t="n"/>
      <c r="P248" s="14" t="n"/>
      <c r="Q248" s="15" t="n"/>
      <c r="R248" s="14">
        <f>IF(AND(K248&lt;&gt;"To Do",L248&lt;&gt;"Sí"),"⚠ pasó a Doing sin DoR",IF(AND(K248="Done",O248&lt;&gt;"Sí"),"⚠ Done sin criterio cumplido",IF(AND(K248="Doing",COUNTIFS($G$6:$G$266,G248,$K$6:$K$266,"Doing",$E$6:$E$266,"&lt;&gt;Scrum")&gt;2,E248&lt;&gt;"Scrum"),"⚠ más de 2 en Doing","ok")))</f>
        <v/>
      </c>
      <c r="S248">
        <f>IF($K248="To Do",COUNTIF($K$6:$K248,"To Do"),"")</f>
        <v/>
      </c>
      <c r="T248">
        <f>IF($K248="Doing",COUNTIF($K$6:$K248,"Doing"),"")</f>
        <v/>
      </c>
      <c r="U248">
        <f>IF($K248="Done",COUNTIF($K$6:$K248,"Done"),"")</f>
        <v/>
      </c>
    </row>
    <row r="249" ht="42" customHeight="1">
      <c r="B249" s="12" t="inlineStr">
        <is>
          <t>T-244</t>
        </is>
      </c>
      <c r="C249" s="12" t="inlineStr">
        <is>
          <t>HT-06</t>
        </is>
      </c>
      <c r="D249" s="13" t="inlineStr">
        <is>
          <t>Publicar el contrato de la API y Postman</t>
        </is>
      </c>
      <c r="E249" s="12" t="inlineStr">
        <is>
          <t>Backend</t>
        </is>
      </c>
      <c r="F249" s="13" t="inlineStr">
        <is>
          <t>Publicar el OpenAPI de la API en el ambiente de pruebas</t>
        </is>
      </c>
      <c r="G249" s="12" t="inlineStr">
        <is>
          <t>Adiel</t>
        </is>
      </c>
      <c r="H249" s="12" t="n">
        <v>1</v>
      </c>
      <c r="I249" s="12" t="inlineStr">
        <is>
          <t>25/10</t>
        </is>
      </c>
      <c r="J249" s="12" t="n"/>
      <c r="K249" s="12" t="inlineStr">
        <is>
          <t>Doing</t>
        </is>
      </c>
      <c r="L249" s="12" t="inlineStr">
        <is>
          <t>Sí</t>
        </is>
      </c>
      <c r="M249" s="12" t="inlineStr">
        <is>
          <t>22/10/2026</t>
        </is>
      </c>
      <c r="N249" s="13" t="inlineStr">
        <is>
          <t>PR fusionado con sus pruebas automáticas en verde y el endpoint documentado</t>
        </is>
      </c>
      <c r="O249" s="12" t="n"/>
      <c r="P249" s="12" t="n"/>
      <c r="Q249" s="13" t="inlineStr">
        <is>
          <t>Registro del 22/10</t>
        </is>
      </c>
      <c r="R249" s="12">
        <f>IF(AND(K249&lt;&gt;"To Do",L249&lt;&gt;"Sí"),"⚠ pasó a Doing sin DoR",IF(AND(K249="Done",O249&lt;&gt;"Sí"),"⚠ Done sin criterio cumplido",IF(AND(K249="Doing",COUNTIFS($G$6:$G$266,G249,$K$6:$K$266,"Doing",$E$6:$E$266,"&lt;&gt;Scrum")&gt;2,E249&lt;&gt;"Scrum"),"⚠ más de 2 en Doing","ok")))</f>
        <v/>
      </c>
      <c r="S249">
        <f>IF($K249="To Do",COUNTIF($K$6:$K249,"To Do"),"")</f>
        <v/>
      </c>
      <c r="T249">
        <f>IF($K249="Doing",COUNTIF($K$6:$K249,"Doing"),"")</f>
        <v/>
      </c>
      <c r="U249">
        <f>IF($K249="Done",COUNTIF($K$6:$K249,"Done"),"")</f>
        <v/>
      </c>
    </row>
    <row r="250" ht="42" customHeight="1">
      <c r="B250" s="12" t="inlineStr">
        <is>
          <t>T-245</t>
        </is>
      </c>
      <c r="C250" s="12" t="inlineStr">
        <is>
          <t>HT-06</t>
        </is>
      </c>
      <c r="D250" s="13" t="inlineStr">
        <is>
          <t>Publicar el contrato de la API y Postman</t>
        </is>
      </c>
      <c r="E250" s="12" t="inlineStr">
        <is>
          <t>Pruebas</t>
        </is>
      </c>
      <c r="F250" s="13" t="inlineStr">
        <is>
          <t>Armar y compartir la colección de Postman con entorno de pruebas, login y un ejemplo correcto y uno de error por endpoint</t>
        </is>
      </c>
      <c r="G250" s="12" t="inlineStr">
        <is>
          <t>Henry</t>
        </is>
      </c>
      <c r="H250" s="12" t="n">
        <v>3</v>
      </c>
      <c r="I250" s="12" t="inlineStr">
        <is>
          <t>24/10</t>
        </is>
      </c>
      <c r="J250" s="12" t="n"/>
      <c r="K250" s="12" t="inlineStr">
        <is>
          <t>To Do</t>
        </is>
      </c>
      <c r="L250" s="12" t="n"/>
      <c r="M250" s="12" t="n"/>
      <c r="N250" s="13" t="inlineStr">
        <is>
          <t>Cada condición final verificada con Postman y en la interfaz; PR aprobado por alguien distinto del autor</t>
        </is>
      </c>
      <c r="O250" s="12" t="n"/>
      <c r="P250" s="12" t="n"/>
      <c r="Q250" s="13" t="n"/>
      <c r="R250" s="12">
        <f>IF(AND(K250&lt;&gt;"To Do",L250&lt;&gt;"Sí"),"⚠ pasó a Doing sin DoR",IF(AND(K250="Done",O250&lt;&gt;"Sí"),"⚠ Done sin criterio cumplido",IF(AND(K250="Doing",COUNTIFS($G$6:$G$266,G250,$K$6:$K$266,"Doing",$E$6:$E$266,"&lt;&gt;Scrum")&gt;2,E250&lt;&gt;"Scrum"),"⚠ más de 2 en Doing","ok")))</f>
        <v/>
      </c>
      <c r="S250">
        <f>IF($K250="To Do",COUNTIF($K$6:$K250,"To Do"),"")</f>
        <v/>
      </c>
      <c r="T250">
        <f>IF($K250="Doing",COUNTIF($K$6:$K250,"Doing"),"")</f>
        <v/>
      </c>
      <c r="U250">
        <f>IF($K250="Done",COUNTIF($K$6:$K250,"Done"),"")</f>
        <v/>
      </c>
    </row>
    <row r="251" ht="42" customHeight="1">
      <c r="B251" s="14" t="inlineStr">
        <is>
          <t>T-246</t>
        </is>
      </c>
      <c r="C251" s="14" t="inlineStr">
        <is>
          <t>HT-06</t>
        </is>
      </c>
      <c r="D251" s="15" t="inlineStr">
        <is>
          <t>Publicar el contrato de la API y Postman</t>
        </is>
      </c>
      <c r="E251" s="14" t="inlineStr">
        <is>
          <t>Aceptación</t>
        </is>
      </c>
      <c r="F251" s="15" t="inlineStr">
        <is>
          <t>Aceptar HT-06 como Product Owner y moverla a Done</t>
        </is>
      </c>
      <c r="G251" s="14" t="inlineStr">
        <is>
          <t>Adiel</t>
        </is>
      </c>
      <c r="H251" s="14" t="n">
        <v>0.5</v>
      </c>
      <c r="I251" s="14" t="inlineStr">
        <is>
          <t>27/10</t>
        </is>
      </c>
      <c r="J251" s="14" t="n"/>
      <c r="K251" s="14" t="inlineStr">
        <is>
          <t>To Do</t>
        </is>
      </c>
      <c r="L251" s="14" t="n"/>
      <c r="M251" s="14" t="n"/>
      <c r="N251" s="15" t="inlineStr">
        <is>
          <t>DoD T1–T10 + condiciones finales aceptadas por el PO → la HU pasa a Done</t>
        </is>
      </c>
      <c r="O251" s="14" t="n"/>
      <c r="P251" s="14" t="n"/>
      <c r="Q251" s="15" t="n"/>
      <c r="R251" s="14">
        <f>IF(AND(K251&lt;&gt;"To Do",L251&lt;&gt;"Sí"),"⚠ pasó a Doing sin DoR",IF(AND(K251="Done",O251&lt;&gt;"Sí"),"⚠ Done sin criterio cumplido",IF(AND(K251="Doing",COUNTIFS($G$6:$G$266,G251,$K$6:$K$266,"Doing",$E$6:$E$266,"&lt;&gt;Scrum")&gt;2,E251&lt;&gt;"Scrum"),"⚠ más de 2 en Doing","ok")))</f>
        <v/>
      </c>
      <c r="S251">
        <f>IF($K251="To Do",COUNTIF($K$6:$K251,"To Do"),"")</f>
        <v/>
      </c>
      <c r="T251">
        <f>IF($K251="Doing",COUNTIF($K$6:$K251,"Doing"),"")</f>
        <v/>
      </c>
      <c r="U251">
        <f>IF($K251="Done",COUNTIF($K$6:$K251,"Done"),"")</f>
        <v/>
      </c>
    </row>
    <row r="252" ht="42" customHeight="1">
      <c r="B252" s="12" t="inlineStr">
        <is>
          <t>T-247</t>
        </is>
      </c>
      <c r="C252" s="12" t="inlineStr">
        <is>
          <t>HT-07</t>
        </is>
      </c>
      <c r="D252" s="13" t="inlineStr">
        <is>
          <t>Cargar los datos de prueba reales</t>
        </is>
      </c>
      <c r="E252" s="12" t="inlineStr">
        <is>
          <t>Backend</t>
        </is>
      </c>
      <c r="F252" s="13" t="inlineStr">
        <is>
          <t>Cargar en la base los 626 proveedores y el catálogo de insumos del cliente</t>
        </is>
      </c>
      <c r="G252" s="12" t="inlineStr">
        <is>
          <t>Adiel</t>
        </is>
      </c>
      <c r="H252" s="12" t="n">
        <v>1</v>
      </c>
      <c r="I252" s="12" t="inlineStr">
        <is>
          <t>25/10</t>
        </is>
      </c>
      <c r="J252" s="12" t="n"/>
      <c r="K252" s="12" t="inlineStr">
        <is>
          <t>To Do</t>
        </is>
      </c>
      <c r="L252" s="12" t="n"/>
      <c r="M252" s="12" t="n"/>
      <c r="N252" s="13" t="inlineStr">
        <is>
          <t>PR fusionado con sus pruebas automáticas en verde y el endpoint documentado</t>
        </is>
      </c>
      <c r="O252" s="12" t="n"/>
      <c r="P252" s="12" t="n"/>
      <c r="Q252" s="13" t="n"/>
      <c r="R252" s="12">
        <f>IF(AND(K252&lt;&gt;"To Do",L252&lt;&gt;"Sí"),"⚠ pasó a Doing sin DoR",IF(AND(K252="Done",O252&lt;&gt;"Sí"),"⚠ Done sin criterio cumplido",IF(AND(K252="Doing",COUNTIFS($G$6:$G$266,G252,$K$6:$K$266,"Doing",$E$6:$E$266,"&lt;&gt;Scrum")&gt;2,E252&lt;&gt;"Scrum"),"⚠ más de 2 en Doing","ok")))</f>
        <v/>
      </c>
      <c r="S252">
        <f>IF($K252="To Do",COUNTIF($K$6:$K252,"To Do"),"")</f>
        <v/>
      </c>
      <c r="T252">
        <f>IF($K252="Doing",COUNTIF($K$6:$K252,"Doing"),"")</f>
        <v/>
      </c>
      <c r="U252">
        <f>IF($K252="Done",COUNTIF($K$6:$K252,"Done"),"")</f>
        <v/>
      </c>
    </row>
    <row r="253" ht="42" customHeight="1">
      <c r="B253" s="12" t="inlineStr">
        <is>
          <t>T-248</t>
        </is>
      </c>
      <c r="C253" s="12" t="inlineStr">
        <is>
          <t>HT-07</t>
        </is>
      </c>
      <c r="D253" s="13" t="inlineStr">
        <is>
          <t>Cargar los datos de prueba reales</t>
        </is>
      </c>
      <c r="E253" s="12" t="inlineStr">
        <is>
          <t>Backend</t>
        </is>
      </c>
      <c r="F253" s="13" t="inlineStr">
        <is>
          <t>Crear la obra Multifamiliar Flores con su relación de insumos del S10 en la base de pruebas</t>
        </is>
      </c>
      <c r="G253" s="12" t="inlineStr">
        <is>
          <t>Adiel</t>
        </is>
      </c>
      <c r="H253" s="12" t="n">
        <v>1</v>
      </c>
      <c r="I253" s="12" t="inlineStr">
        <is>
          <t>25/10</t>
        </is>
      </c>
      <c r="J253" s="12" t="n"/>
      <c r="K253" s="12" t="inlineStr">
        <is>
          <t>To Do</t>
        </is>
      </c>
      <c r="L253" s="12" t="n"/>
      <c r="M253" s="12" t="n"/>
      <c r="N253" s="13" t="inlineStr">
        <is>
          <t>PR fusionado con sus pruebas automáticas en verde y el endpoint documentado</t>
        </is>
      </c>
      <c r="O253" s="12" t="n"/>
      <c r="P253" s="12" t="n"/>
      <c r="Q253" s="13" t="n"/>
      <c r="R253" s="12">
        <f>IF(AND(K253&lt;&gt;"To Do",L253&lt;&gt;"Sí"),"⚠ pasó a Doing sin DoR",IF(AND(K253="Done",O253&lt;&gt;"Sí"),"⚠ Done sin criterio cumplido",IF(AND(K253="Doing",COUNTIFS($G$6:$G$266,G253,$K$6:$K$266,"Doing",$E$6:$E$266,"&lt;&gt;Scrum")&gt;2,E253&lt;&gt;"Scrum"),"⚠ más de 2 en Doing","ok")))</f>
        <v/>
      </c>
      <c r="S253">
        <f>IF($K253="To Do",COUNTIF($K$6:$K253,"To Do"),"")</f>
        <v/>
      </c>
      <c r="T253">
        <f>IF($K253="Doing",COUNTIF($K$6:$K253,"Doing"),"")</f>
        <v/>
      </c>
      <c r="U253">
        <f>IF($K253="Done",COUNTIF($K$6:$K253,"Done"),"")</f>
        <v/>
      </c>
    </row>
    <row r="254" ht="42" customHeight="1">
      <c r="B254" s="14" t="inlineStr">
        <is>
          <t>T-249</t>
        </is>
      </c>
      <c r="C254" s="14" t="inlineStr">
        <is>
          <t>HT-07</t>
        </is>
      </c>
      <c r="D254" s="15" t="inlineStr">
        <is>
          <t>Cargar los datos de prueba reales</t>
        </is>
      </c>
      <c r="E254" s="14" t="inlineStr">
        <is>
          <t>Aceptación</t>
        </is>
      </c>
      <c r="F254" s="15" t="inlineStr">
        <is>
          <t>Aceptar HT-07 como Product Owner y moverla a Done</t>
        </is>
      </c>
      <c r="G254" s="14" t="inlineStr">
        <is>
          <t>Adiel</t>
        </is>
      </c>
      <c r="H254" s="14" t="n">
        <v>0.5</v>
      </c>
      <c r="I254" s="14" t="inlineStr">
        <is>
          <t>27/10</t>
        </is>
      </c>
      <c r="J254" s="14" t="n"/>
      <c r="K254" s="14" t="inlineStr">
        <is>
          <t>To Do</t>
        </is>
      </c>
      <c r="L254" s="14" t="n"/>
      <c r="M254" s="14" t="n"/>
      <c r="N254" s="15" t="inlineStr">
        <is>
          <t>DoD T1–T10 + condiciones finales aceptadas por el PO → la HU pasa a Done</t>
        </is>
      </c>
      <c r="O254" s="14" t="n"/>
      <c r="P254" s="14" t="n"/>
      <c r="Q254" s="15" t="n"/>
      <c r="R254" s="14">
        <f>IF(AND(K254&lt;&gt;"To Do",L254&lt;&gt;"Sí"),"⚠ pasó a Doing sin DoR",IF(AND(K254="Done",O254&lt;&gt;"Sí"),"⚠ Done sin criterio cumplido",IF(AND(K254="Doing",COUNTIFS($G$6:$G$266,G254,$K$6:$K$266,"Doing",$E$6:$E$266,"&lt;&gt;Scrum")&gt;2,E254&lt;&gt;"Scrum"),"⚠ más de 2 en Doing","ok")))</f>
        <v/>
      </c>
      <c r="S254">
        <f>IF($K254="To Do",COUNTIF($K$6:$K254,"To Do"),"")</f>
        <v/>
      </c>
      <c r="T254">
        <f>IF($K254="Doing",COUNTIF($K$6:$K254,"Doing"),"")</f>
        <v/>
      </c>
      <c r="U254">
        <f>IF($K254="Done",COUNTIF($K$6:$K254,"Done"),"")</f>
        <v/>
      </c>
    </row>
    <row r="255" ht="42" customHeight="1">
      <c r="B255" s="12" t="inlineStr">
        <is>
          <t>T-250</t>
        </is>
      </c>
      <c r="C255" s="12" t="inlineStr">
        <is>
          <t>HT-08</t>
        </is>
      </c>
      <c r="D255" s="13" t="inlineStr">
        <is>
          <t>Autenticar a los servicios entre sí</t>
        </is>
      </c>
      <c r="E255" s="12" t="inlineStr">
        <is>
          <t>Integración</t>
        </is>
      </c>
      <c r="F255" s="13" t="inlineStr">
        <is>
          <t>Exigir el token de servicio en Integraciones</t>
        </is>
      </c>
      <c r="G255" s="12" t="inlineStr">
        <is>
          <t>Fernando</t>
        </is>
      </c>
      <c r="H255" s="12" t="n">
        <v>1</v>
      </c>
      <c r="I255" s="12" t="inlineStr">
        <is>
          <t>25/10</t>
        </is>
      </c>
      <c r="J255" s="12" t="n"/>
      <c r="K255" s="12" t="inlineStr">
        <is>
          <t>Done</t>
        </is>
      </c>
      <c r="L255" s="12" t="inlineStr">
        <is>
          <t>Sí</t>
        </is>
      </c>
      <c r="M255" s="12" t="inlineStr">
        <is>
          <t>22/10/2026</t>
        </is>
      </c>
      <c r="N255" s="13" t="inlineStr">
        <is>
          <t>Probado con el archivo o servicio real, PR fusionado</t>
        </is>
      </c>
      <c r="O255" s="12" t="inlineStr">
        <is>
          <t>Sí</t>
        </is>
      </c>
      <c r="P255" s="12" t="inlineStr">
        <is>
          <t>22/10/2026</t>
        </is>
      </c>
      <c r="Q255" s="13" t="inlineStr">
        <is>
          <t>Commit del 22/10</t>
        </is>
      </c>
      <c r="R255" s="12">
        <f>IF(AND(K255&lt;&gt;"To Do",L255&lt;&gt;"Sí"),"⚠ pasó a Doing sin DoR",IF(AND(K255="Done",O255&lt;&gt;"Sí"),"⚠ Done sin criterio cumplido",IF(AND(K255="Doing",COUNTIFS($G$6:$G$266,G255,$K$6:$K$266,"Doing",$E$6:$E$266,"&lt;&gt;Scrum")&gt;2,E255&lt;&gt;"Scrum"),"⚠ más de 2 en Doing","ok")))</f>
        <v/>
      </c>
      <c r="S255">
        <f>IF($K255="To Do",COUNTIF($K$6:$K255,"To Do"),"")</f>
        <v/>
      </c>
      <c r="T255">
        <f>IF($K255="Doing",COUNTIF($K$6:$K255,"Doing"),"")</f>
        <v/>
      </c>
      <c r="U255">
        <f>IF($K255="Done",COUNTIF($K$6:$K255,"Done"),"")</f>
        <v/>
      </c>
    </row>
    <row r="256" ht="42" customHeight="1">
      <c r="B256" s="12" t="inlineStr">
        <is>
          <t>T-251</t>
        </is>
      </c>
      <c r="C256" s="12" t="inlineStr">
        <is>
          <t>HT-08</t>
        </is>
      </c>
      <c r="D256" s="13" t="inlineStr">
        <is>
          <t>Autenticar a los servicios entre sí</t>
        </is>
      </c>
      <c r="E256" s="12" t="inlineStr">
        <is>
          <t>DevOps</t>
        </is>
      </c>
      <c r="F256" s="13" t="inlineStr">
        <is>
          <t>Configurar el token de servicio en docker compose y enviarlo desde la API a Integraciones y Notificaciones</t>
        </is>
      </c>
      <c r="G256" s="12" t="inlineStr">
        <is>
          <t>Adiel</t>
        </is>
      </c>
      <c r="H256" s="12" t="n">
        <v>1.5</v>
      </c>
      <c r="I256" s="12" t="inlineStr">
        <is>
          <t>24/10</t>
        </is>
      </c>
      <c r="J256" s="12" t="n"/>
      <c r="K256" s="12" t="inlineStr">
        <is>
          <t>To Do</t>
        </is>
      </c>
      <c r="L256" s="12" t="n"/>
      <c r="M256" s="12" t="n"/>
      <c r="N256" s="13" t="inlineStr">
        <is>
          <t>Entregable revisado por el equipo</t>
        </is>
      </c>
      <c r="O256" s="12" t="n"/>
      <c r="P256" s="12" t="n"/>
      <c r="Q256" s="13" t="n"/>
      <c r="R256" s="12">
        <f>IF(AND(K256&lt;&gt;"To Do",L256&lt;&gt;"Sí"),"⚠ pasó a Doing sin DoR",IF(AND(K256="Done",O256&lt;&gt;"Sí"),"⚠ Done sin criterio cumplido",IF(AND(K256="Doing",COUNTIFS($G$6:$G$266,G256,$K$6:$K$266,"Doing",$E$6:$E$266,"&lt;&gt;Scrum")&gt;2,E256&lt;&gt;"Scrum"),"⚠ más de 2 en Doing","ok")))</f>
        <v/>
      </c>
      <c r="S256">
        <f>IF($K256="To Do",COUNTIF($K$6:$K256,"To Do"),"")</f>
        <v/>
      </c>
      <c r="T256">
        <f>IF($K256="Doing",COUNTIF($K$6:$K256,"Doing"),"")</f>
        <v/>
      </c>
      <c r="U256">
        <f>IF($K256="Done",COUNTIF($K$6:$K256,"Done"),"")</f>
        <v/>
      </c>
    </row>
    <row r="257" ht="42" customHeight="1">
      <c r="B257" s="14" t="inlineStr">
        <is>
          <t>T-252</t>
        </is>
      </c>
      <c r="C257" s="14" t="inlineStr">
        <is>
          <t>HT-08</t>
        </is>
      </c>
      <c r="D257" s="15" t="inlineStr">
        <is>
          <t>Autenticar a los servicios entre sí</t>
        </is>
      </c>
      <c r="E257" s="14" t="inlineStr">
        <is>
          <t>Aceptación</t>
        </is>
      </c>
      <c r="F257" s="15" t="inlineStr">
        <is>
          <t>Aceptar HT-08 como Product Owner y moverla a Done</t>
        </is>
      </c>
      <c r="G257" s="14" t="inlineStr">
        <is>
          <t>Adiel</t>
        </is>
      </c>
      <c r="H257" s="14" t="n">
        <v>0.5</v>
      </c>
      <c r="I257" s="14" t="inlineStr">
        <is>
          <t>27/10</t>
        </is>
      </c>
      <c r="J257" s="14" t="n"/>
      <c r="K257" s="14" t="inlineStr">
        <is>
          <t>To Do</t>
        </is>
      </c>
      <c r="L257" s="14" t="n"/>
      <c r="M257" s="14" t="n"/>
      <c r="N257" s="15" t="inlineStr">
        <is>
          <t>DoD T1–T10 + condiciones finales aceptadas por el PO → la HU pasa a Done</t>
        </is>
      </c>
      <c r="O257" s="14" t="n"/>
      <c r="P257" s="14" t="n"/>
      <c r="Q257" s="15" t="n"/>
      <c r="R257" s="14">
        <f>IF(AND(K257&lt;&gt;"To Do",L257&lt;&gt;"Sí"),"⚠ pasó a Doing sin DoR",IF(AND(K257="Done",O257&lt;&gt;"Sí"),"⚠ Done sin criterio cumplido",IF(AND(K257="Doing",COUNTIFS($G$6:$G$266,G257,$K$6:$K$266,"Doing",$E$6:$E$266,"&lt;&gt;Scrum")&gt;2,E257&lt;&gt;"Scrum"),"⚠ más de 2 en Doing","ok")))</f>
        <v/>
      </c>
      <c r="S257">
        <f>IF($K257="To Do",COUNTIF($K$6:$K257,"To Do"),"")</f>
        <v/>
      </c>
      <c r="T257">
        <f>IF($K257="Doing",COUNTIF($K$6:$K257,"Doing"),"")</f>
        <v/>
      </c>
      <c r="U257">
        <f>IF($K257="Done",COUNTIF($K$6:$K257,"Done"),"")</f>
        <v/>
      </c>
    </row>
    <row r="258" ht="42" customHeight="1">
      <c r="B258" s="12" t="inlineStr">
        <is>
          <t>T-253</t>
        </is>
      </c>
      <c r="C258" s="12" t="inlineStr">
        <is>
          <t>—</t>
        </is>
      </c>
      <c r="D258" s="13" t="inlineStr">
        <is>
          <t>Transversal</t>
        </is>
      </c>
      <c r="E258" s="12" t="inlineStr">
        <is>
          <t>Scrum</t>
        </is>
      </c>
      <c r="F258" s="13" t="inlineStr">
        <is>
          <t>Armar el tablero en GitHub Projects con las plantillas de DoR y DoD</t>
        </is>
      </c>
      <c r="G258" s="12" t="inlineStr">
        <is>
          <t>Fernando</t>
        </is>
      </c>
      <c r="H258" s="12" t="n">
        <v>2</v>
      </c>
      <c r="I258" s="12" t="inlineStr">
        <is>
          <t>23/10</t>
        </is>
      </c>
      <c r="J258" s="12" t="n"/>
      <c r="K258" s="12" t="inlineStr">
        <is>
          <t>Doing</t>
        </is>
      </c>
      <c r="L258" s="12" t="inlineStr">
        <is>
          <t>Sí</t>
        </is>
      </c>
      <c r="M258" s="12" t="inlineStr">
        <is>
          <t>22/10/2026</t>
        </is>
      </c>
      <c r="N258" s="13" t="inlineStr">
        <is>
          <t>Entregable revisado por el equipo</t>
        </is>
      </c>
      <c r="O258" s="12" t="n"/>
      <c r="P258" s="12" t="n"/>
      <c r="Q258" s="13" t="inlineStr">
        <is>
          <t>Registro del 22/10</t>
        </is>
      </c>
      <c r="R258" s="12">
        <f>IF(AND(K258&lt;&gt;"To Do",L258&lt;&gt;"Sí"),"⚠ pasó a Doing sin DoR",IF(AND(K258="Done",O258&lt;&gt;"Sí"),"⚠ Done sin criterio cumplido",IF(AND(K258="Doing",COUNTIFS($G$6:$G$266,G258,$K$6:$K$266,"Doing",$E$6:$E$266,"&lt;&gt;Scrum")&gt;2,E258&lt;&gt;"Scrum"),"⚠ más de 2 en Doing","ok")))</f>
        <v/>
      </c>
      <c r="S258">
        <f>IF($K258="To Do",COUNTIF($K$6:$K258,"To Do"),"")</f>
        <v/>
      </c>
      <c r="T258">
        <f>IF($K258="Doing",COUNTIF($K$6:$K258,"Doing"),"")</f>
        <v/>
      </c>
      <c r="U258">
        <f>IF($K258="Done",COUNTIF($K$6:$K258,"Done"),"")</f>
        <v/>
      </c>
    </row>
    <row r="259" ht="42" customHeight="1">
      <c r="B259" s="12" t="inlineStr">
        <is>
          <t>T-254</t>
        </is>
      </c>
      <c r="C259" s="12" t="inlineStr">
        <is>
          <t>—</t>
        </is>
      </c>
      <c r="D259" s="13" t="inlineStr">
        <is>
          <t>Transversal</t>
        </is>
      </c>
      <c r="E259" s="12" t="inlineStr">
        <is>
          <t>Scrum</t>
        </is>
      </c>
      <c r="F259" s="13" t="inlineStr">
        <is>
          <t>Facilitar el Daily Scrum de 15 minutos cada día, registrarlo y actualizar el burndown</t>
        </is>
      </c>
      <c r="G259" s="12" t="inlineStr">
        <is>
          <t>Fernando</t>
        </is>
      </c>
      <c r="H259" s="12" t="n">
        <v>2</v>
      </c>
      <c r="I259" s="12" t="inlineStr">
        <is>
          <t>27/10</t>
        </is>
      </c>
      <c r="J259" s="12" t="n"/>
      <c r="K259" s="12" t="inlineStr">
        <is>
          <t>Doing</t>
        </is>
      </c>
      <c r="L259" s="12" t="inlineStr">
        <is>
          <t>Sí</t>
        </is>
      </c>
      <c r="M259" s="12" t="inlineStr">
        <is>
          <t>22/10/2026</t>
        </is>
      </c>
      <c r="N259" s="13" t="inlineStr">
        <is>
          <t>Entregable revisado por el equipo</t>
        </is>
      </c>
      <c r="O259" s="12" t="n"/>
      <c r="P259" s="12" t="n"/>
      <c r="Q259" s="13" t="inlineStr">
        <is>
          <t>Registro del 22/10</t>
        </is>
      </c>
      <c r="R259" s="12">
        <f>IF(AND(K259&lt;&gt;"To Do",L259&lt;&gt;"Sí"),"⚠ pasó a Doing sin DoR",IF(AND(K259="Done",O259&lt;&gt;"Sí"),"⚠ Done sin criterio cumplido",IF(AND(K259="Doing",COUNTIFS($G$6:$G$266,G259,$K$6:$K$266,"Doing",$E$6:$E$266,"&lt;&gt;Scrum")&gt;2,E259&lt;&gt;"Scrum"),"⚠ más de 2 en Doing","ok")))</f>
        <v/>
      </c>
      <c r="S259">
        <f>IF($K259="To Do",COUNTIF($K$6:$K259,"To Do"),"")</f>
        <v/>
      </c>
      <c r="T259">
        <f>IF($K259="Doing",COUNTIF($K$6:$K259,"Doing"),"")</f>
        <v/>
      </c>
      <c r="U259">
        <f>IF($K259="Done",COUNTIF($K$6:$K259,"Done"),"")</f>
        <v/>
      </c>
    </row>
    <row r="260" ht="42" customHeight="1">
      <c r="B260" s="12" t="inlineStr">
        <is>
          <t>T-255</t>
        </is>
      </c>
      <c r="C260" s="12" t="inlineStr">
        <is>
          <t>—</t>
        </is>
      </c>
      <c r="D260" s="13" t="inlineStr">
        <is>
          <t>Transversal</t>
        </is>
      </c>
      <c r="E260" s="12" t="inlineStr">
        <is>
          <t>UX</t>
        </is>
      </c>
      <c r="F260" s="13" t="inlineStr">
        <is>
          <t>Simplificar los textos de cada pantalla web: título y una línea, con ayuda «?» bajo demanda</t>
        </is>
      </c>
      <c r="G260" s="12" t="inlineStr">
        <is>
          <t>Fernando</t>
        </is>
      </c>
      <c r="H260" s="12" t="n">
        <v>3</v>
      </c>
      <c r="I260" s="12" t="inlineStr">
        <is>
          <t>26/10</t>
        </is>
      </c>
      <c r="J260" s="12" t="n"/>
      <c r="K260" s="12" t="inlineStr">
        <is>
          <t>To Do</t>
        </is>
      </c>
      <c r="L260" s="12" t="n"/>
      <c r="M260" s="12" t="n"/>
      <c r="N260" s="13" t="inlineStr">
        <is>
          <t>Entregable revisado por el equipo</t>
        </is>
      </c>
      <c r="O260" s="12" t="n"/>
      <c r="P260" s="12" t="n"/>
      <c r="Q260" s="13" t="n"/>
      <c r="R260" s="12">
        <f>IF(AND(K260&lt;&gt;"To Do",L260&lt;&gt;"Sí"),"⚠ pasó a Doing sin DoR",IF(AND(K260="Done",O260&lt;&gt;"Sí"),"⚠ Done sin criterio cumplido",IF(AND(K260="Doing",COUNTIFS($G$6:$G$266,G260,$K$6:$K$266,"Doing",$E$6:$E$266,"&lt;&gt;Scrum")&gt;2,E260&lt;&gt;"Scrum"),"⚠ más de 2 en Doing","ok")))</f>
        <v/>
      </c>
      <c r="S260">
        <f>IF($K260="To Do",COUNTIF($K$6:$K260,"To Do"),"")</f>
        <v/>
      </c>
      <c r="T260">
        <f>IF($K260="Doing",COUNTIF($K$6:$K260,"Doing"),"")</f>
        <v/>
      </c>
      <c r="U260">
        <f>IF($K260="Done",COUNTIF($K$6:$K260,"Done"),"")</f>
        <v/>
      </c>
    </row>
    <row r="261" ht="42" customHeight="1">
      <c r="B261" s="12" t="inlineStr">
        <is>
          <t>T-256</t>
        </is>
      </c>
      <c r="C261" s="12" t="inlineStr">
        <is>
          <t>—</t>
        </is>
      </c>
      <c r="D261" s="13" t="inlineStr">
        <is>
          <t>Transversal</t>
        </is>
      </c>
      <c r="E261" s="12" t="inlineStr">
        <is>
          <t>UX</t>
        </is>
      </c>
      <c r="F261" s="13" t="inlineStr">
        <is>
          <t>Validar las pantallas con el cliente (Pool) en una sesión corta y registrar sus observaciones</t>
        </is>
      </c>
      <c r="G261" s="12" t="inlineStr">
        <is>
          <t>Fernando</t>
        </is>
      </c>
      <c r="H261" s="12" t="n">
        <v>1.5</v>
      </c>
      <c r="I261" s="12" t="inlineStr">
        <is>
          <t>26/10</t>
        </is>
      </c>
      <c r="J261" s="12" t="n"/>
      <c r="K261" s="12" t="inlineStr">
        <is>
          <t>To Do</t>
        </is>
      </c>
      <c r="L261" s="12" t="n"/>
      <c r="M261" s="12" t="n"/>
      <c r="N261" s="13" t="inlineStr">
        <is>
          <t>Entregable revisado por el equipo</t>
        </is>
      </c>
      <c r="O261" s="12" t="n"/>
      <c r="P261" s="12" t="n"/>
      <c r="Q261" s="13" t="n"/>
      <c r="R261" s="12">
        <f>IF(AND(K261&lt;&gt;"To Do",L261&lt;&gt;"Sí"),"⚠ pasó a Doing sin DoR",IF(AND(K261="Done",O261&lt;&gt;"Sí"),"⚠ Done sin criterio cumplido",IF(AND(K261="Doing",COUNTIFS($G$6:$G$266,G261,$K$6:$K$266,"Doing",$E$6:$E$266,"&lt;&gt;Scrum")&gt;2,E261&lt;&gt;"Scrum"),"⚠ más de 2 en Doing","ok")))</f>
        <v/>
      </c>
      <c r="S261">
        <f>IF($K261="To Do",COUNTIF($K$6:$K261,"To Do"),"")</f>
        <v/>
      </c>
      <c r="T261">
        <f>IF($K261="Doing",COUNTIF($K$6:$K261,"Doing"),"")</f>
        <v/>
      </c>
      <c r="U261">
        <f>IF($K261="Done",COUNTIF($K$6:$K261,"Done"),"")</f>
        <v/>
      </c>
    </row>
    <row r="262" ht="42" customHeight="1">
      <c r="B262" s="12" t="inlineStr">
        <is>
          <t>T-257</t>
        </is>
      </c>
      <c r="C262" s="12" t="inlineStr">
        <is>
          <t>—</t>
        </is>
      </c>
      <c r="D262" s="13" t="inlineStr">
        <is>
          <t>Transversal</t>
        </is>
      </c>
      <c r="E262" s="12" t="inlineStr">
        <is>
          <t>UX</t>
        </is>
      </c>
      <c r="F262" s="13" t="inlineStr">
        <is>
          <t>Revisar la app con guantes y al sol: botones grandes, una acción por pantalla, contraste AA</t>
        </is>
      </c>
      <c r="G262" s="12" t="inlineStr">
        <is>
          <t>Nicolás</t>
        </is>
      </c>
      <c r="H262" s="12" t="n">
        <v>2</v>
      </c>
      <c r="I262" s="12" t="inlineStr">
        <is>
          <t>26/10</t>
        </is>
      </c>
      <c r="J262" s="12" t="n"/>
      <c r="K262" s="12" t="inlineStr">
        <is>
          <t>To Do</t>
        </is>
      </c>
      <c r="L262" s="12" t="n"/>
      <c r="M262" s="12" t="n"/>
      <c r="N262" s="13" t="inlineStr">
        <is>
          <t>Entregable revisado por el equipo</t>
        </is>
      </c>
      <c r="O262" s="12" t="n"/>
      <c r="P262" s="12" t="n"/>
      <c r="Q262" s="13" t="n"/>
      <c r="R262" s="12">
        <f>IF(AND(K262&lt;&gt;"To Do",L262&lt;&gt;"Sí"),"⚠ pasó a Doing sin DoR",IF(AND(K262="Done",O262&lt;&gt;"Sí"),"⚠ Done sin criterio cumplido",IF(AND(K262="Doing",COUNTIFS($G$6:$G$266,G262,$K$6:$K$266,"Doing",$E$6:$E$266,"&lt;&gt;Scrum")&gt;2,E262&lt;&gt;"Scrum"),"⚠ más de 2 en Doing","ok")))</f>
        <v/>
      </c>
      <c r="S262">
        <f>IF($K262="To Do",COUNTIF($K$6:$K262,"To Do"),"")</f>
        <v/>
      </c>
      <c r="T262">
        <f>IF($K262="Doing",COUNTIF($K$6:$K262,"Doing"),"")</f>
        <v/>
      </c>
      <c r="U262">
        <f>IF($K262="Done",COUNTIF($K$6:$K262,"Done"),"")</f>
        <v/>
      </c>
    </row>
    <row r="263" ht="42" customHeight="1">
      <c r="B263" s="12" t="inlineStr">
        <is>
          <t>T-258</t>
        </is>
      </c>
      <c r="C263" s="12" t="inlineStr">
        <is>
          <t>—</t>
        </is>
      </c>
      <c r="D263" s="13" t="inlineStr">
        <is>
          <t>Transversal</t>
        </is>
      </c>
      <c r="E263" s="12" t="inlineStr">
        <is>
          <t>Modelado UML</t>
        </is>
      </c>
      <c r="F263" s="13" t="inlineStr">
        <is>
          <t>Modelar los 3 diagramas de casos de uso y los 3 de secuencia (importación S10, salida sin señal, recepción y costo promedio)</t>
        </is>
      </c>
      <c r="G263" s="12" t="inlineStr">
        <is>
          <t>Fernando</t>
        </is>
      </c>
      <c r="H263" s="12" t="n">
        <v>2</v>
      </c>
      <c r="I263" s="12" t="inlineStr">
        <is>
          <t>24/10</t>
        </is>
      </c>
      <c r="J263" s="12" t="n"/>
      <c r="K263" s="12" t="inlineStr">
        <is>
          <t>Done</t>
        </is>
      </c>
      <c r="L263" s="12" t="inlineStr">
        <is>
          <t>Sí</t>
        </is>
      </c>
      <c r="M263" s="12" t="inlineStr">
        <is>
          <t>22/10/2026</t>
        </is>
      </c>
      <c r="N263" s="13" t="inlineStr">
        <is>
          <t>Diagrama publicado en el repo o el lienzo</t>
        </is>
      </c>
      <c r="O263" s="12" t="inlineStr">
        <is>
          <t>Sí</t>
        </is>
      </c>
      <c r="P263" s="12" t="inlineStr">
        <is>
          <t>22/10/2026</t>
        </is>
      </c>
      <c r="Q263" s="13" t="inlineStr">
        <is>
          <t>Lienzo del Sprint 1</t>
        </is>
      </c>
      <c r="R263" s="12">
        <f>IF(AND(K263&lt;&gt;"To Do",L263&lt;&gt;"Sí"),"⚠ pasó a Doing sin DoR",IF(AND(K263="Done",O263&lt;&gt;"Sí"),"⚠ Done sin criterio cumplido",IF(AND(K263="Doing",COUNTIFS($G$6:$G$266,G263,$K$6:$K$266,"Doing",$E$6:$E$266,"&lt;&gt;Scrum")&gt;2,E263&lt;&gt;"Scrum"),"⚠ más de 2 en Doing","ok")))</f>
        <v/>
      </c>
      <c r="S263">
        <f>IF($K263="To Do",COUNTIF($K$6:$K263,"To Do"),"")</f>
        <v/>
      </c>
      <c r="T263">
        <f>IF($K263="Doing",COUNTIF($K$6:$K263,"Doing"),"")</f>
        <v/>
      </c>
      <c r="U263">
        <f>IF($K263="Done",COUNTIF($K$6:$K263,"Done"),"")</f>
        <v/>
      </c>
    </row>
    <row r="264" ht="42" customHeight="1">
      <c r="B264" s="12" t="inlineStr">
        <is>
          <t>T-259</t>
        </is>
      </c>
      <c r="C264" s="12" t="inlineStr">
        <is>
          <t>—</t>
        </is>
      </c>
      <c r="D264" s="13" t="inlineStr">
        <is>
          <t>Transversal</t>
        </is>
      </c>
      <c r="E264" s="12" t="inlineStr">
        <is>
          <t>Modelado UML</t>
        </is>
      </c>
      <c r="F264" s="13" t="inlineStr">
        <is>
          <t>Dibujar los diagramas de actividades del negocio y de estados</t>
        </is>
      </c>
      <c r="G264" s="12" t="inlineStr">
        <is>
          <t>Nicolás</t>
        </is>
      </c>
      <c r="H264" s="12" t="n">
        <v>2</v>
      </c>
      <c r="I264" s="12" t="inlineStr">
        <is>
          <t>24/10</t>
        </is>
      </c>
      <c r="J264" s="12" t="n"/>
      <c r="K264" s="12" t="inlineStr">
        <is>
          <t>Done</t>
        </is>
      </c>
      <c r="L264" s="12" t="inlineStr">
        <is>
          <t>Sí</t>
        </is>
      </c>
      <c r="M264" s="12" t="inlineStr">
        <is>
          <t>22/10/2026</t>
        </is>
      </c>
      <c r="N264" s="13" t="inlineStr">
        <is>
          <t>Diagrama publicado en el repo o el lienzo</t>
        </is>
      </c>
      <c r="O264" s="12" t="inlineStr">
        <is>
          <t>Sí</t>
        </is>
      </c>
      <c r="P264" s="12" t="inlineStr">
        <is>
          <t>22/10/2026</t>
        </is>
      </c>
      <c r="Q264" s="13" t="inlineStr">
        <is>
          <t>Avance de Nick, 22/10</t>
        </is>
      </c>
      <c r="R264" s="12">
        <f>IF(AND(K264&lt;&gt;"To Do",L264&lt;&gt;"Sí"),"⚠ pasó a Doing sin DoR",IF(AND(K264="Done",O264&lt;&gt;"Sí"),"⚠ Done sin criterio cumplido",IF(AND(K264="Doing",COUNTIFS($G$6:$G$266,G264,$K$6:$K$266,"Doing",$E$6:$E$266,"&lt;&gt;Scrum")&gt;2,E264&lt;&gt;"Scrum"),"⚠ más de 2 en Doing","ok")))</f>
        <v/>
      </c>
      <c r="S264">
        <f>IF($K264="To Do",COUNTIF($K$6:$K264,"To Do"),"")</f>
        <v/>
      </c>
      <c r="T264">
        <f>IF($K264="Doing",COUNTIF($K$6:$K264,"Doing"),"")</f>
        <v/>
      </c>
      <c r="U264">
        <f>IF($K264="Done",COUNTIF($K$6:$K264,"Done"),"")</f>
        <v/>
      </c>
    </row>
    <row r="265" ht="42" customHeight="1">
      <c r="B265" s="12" t="inlineStr">
        <is>
          <t>T-260</t>
        </is>
      </c>
      <c r="C265" s="12" t="inlineStr">
        <is>
          <t>—</t>
        </is>
      </c>
      <c r="D265" s="13" t="inlineStr">
        <is>
          <t>Transversal</t>
        </is>
      </c>
      <c r="E265" s="12" t="inlineStr">
        <is>
          <t>Modelado UML</t>
        </is>
      </c>
      <c r="F265" s="13" t="inlineStr">
        <is>
          <t>Dibujar la arquitectura en las cuatro vistas del C4 a partir del diagrama de microservicios</t>
        </is>
      </c>
      <c r="G265" s="12" t="inlineStr">
        <is>
          <t>Nicolás</t>
        </is>
      </c>
      <c r="H265" s="12" t="n">
        <v>4</v>
      </c>
      <c r="I265" s="12" t="inlineStr">
        <is>
          <t>24/10</t>
        </is>
      </c>
      <c r="J265" s="12" t="n"/>
      <c r="K265" s="12" t="inlineStr">
        <is>
          <t>To Do</t>
        </is>
      </c>
      <c r="L265" s="12" t="n"/>
      <c r="M265" s="12" t="n"/>
      <c r="N265" s="13" t="inlineStr">
        <is>
          <t>Diagrama publicado en el repo o el lienzo</t>
        </is>
      </c>
      <c r="O265" s="12" t="n"/>
      <c r="P265" s="12" t="n"/>
      <c r="Q265" s="13" t="n"/>
      <c r="R265" s="12">
        <f>IF(AND(K265&lt;&gt;"To Do",L265&lt;&gt;"Sí"),"⚠ pasó a Doing sin DoR",IF(AND(K265="Done",O265&lt;&gt;"Sí"),"⚠ Done sin criterio cumplido",IF(AND(K265="Doing",COUNTIFS($G$6:$G$266,G265,$K$6:$K$266,"Doing",$E$6:$E$266,"&lt;&gt;Scrum")&gt;2,E265&lt;&gt;"Scrum"),"⚠ más de 2 en Doing","ok")))</f>
        <v/>
      </c>
      <c r="S265">
        <f>IF($K265="To Do",COUNTIF($K$6:$K265,"To Do"),"")</f>
        <v/>
      </c>
      <c r="T265">
        <f>IF($K265="Doing",COUNTIF($K$6:$K265,"Doing"),"")</f>
        <v/>
      </c>
      <c r="U265">
        <f>IF($K265="Done",COUNTIF($K$6:$K265,"Done"),"")</f>
        <v/>
      </c>
    </row>
    <row r="266" ht="42" customHeight="1">
      <c r="B266" s="12" t="inlineStr">
        <is>
          <t>T-261</t>
        </is>
      </c>
      <c r="C266" s="12" t="inlineStr">
        <is>
          <t>—</t>
        </is>
      </c>
      <c r="D266" s="13" t="inlineStr">
        <is>
          <t>Transversal</t>
        </is>
      </c>
      <c r="E266" s="12" t="inlineStr">
        <is>
          <t>Review</t>
        </is>
      </c>
      <c r="F266" s="13" t="inlineStr">
        <is>
          <t>Preparar la demo de la Sprint Review: una compra que cruza recepción, salida y costo de punta a punta</t>
        </is>
      </c>
      <c r="G266" s="12" t="inlineStr">
        <is>
          <t>Fernando</t>
        </is>
      </c>
      <c r="H266" s="12" t="n">
        <v>2</v>
      </c>
      <c r="I266" s="12" t="inlineStr">
        <is>
          <t>27/10</t>
        </is>
      </c>
      <c r="J266" s="12" t="n"/>
      <c r="K266" s="12" t="inlineStr">
        <is>
          <t>To Do</t>
        </is>
      </c>
      <c r="L266" s="12" t="n"/>
      <c r="M266" s="12" t="n"/>
      <c r="N266" s="13" t="inlineStr">
        <is>
          <t>Entregable revisado por el equipo</t>
        </is>
      </c>
      <c r="O266" s="12" t="n"/>
      <c r="P266" s="12" t="n"/>
      <c r="Q266" s="13" t="n"/>
      <c r="R266" s="12">
        <f>IF(AND(K266&lt;&gt;"To Do",L266&lt;&gt;"Sí"),"⚠ pasó a Doing sin DoR",IF(AND(K266="Done",O266&lt;&gt;"Sí"),"⚠ Done sin criterio cumplido",IF(AND(K266="Doing",COUNTIFS($G$6:$G$266,G266,$K$6:$K$266,"Doing",$E$6:$E$266,"&lt;&gt;Scrum")&gt;2,E266&lt;&gt;"Scrum"),"⚠ más de 2 en Doing","ok")))</f>
        <v/>
      </c>
      <c r="S266">
        <f>IF($K266="To Do",COUNTIF($K$6:$K266,"To Do"),"")</f>
        <v/>
      </c>
      <c r="T266">
        <f>IF($K266="Doing",COUNTIF($K$6:$K266,"Doing"),"")</f>
        <v/>
      </c>
      <c r="U266">
        <f>IF($K266="Done",COUNTIF($K$6:$K266,"Done"),"")</f>
        <v/>
      </c>
    </row>
  </sheetData>
  <autoFilter ref="B5:R266"/>
  <mergeCells count="1">
    <mergeCell ref="B3:Q3"/>
  </mergeCells>
  <conditionalFormatting sqref="B6:Q266">
    <cfRule type="expression" priority="1" dxfId="0">
      <formula>$K6="To Do"</formula>
    </cfRule>
    <cfRule type="expression" priority="2" dxfId="1">
      <formula>$K6="Doing"</formula>
    </cfRule>
    <cfRule type="expression" priority="3" dxfId="2">
      <formula>$K6="Done"</formula>
    </cfRule>
  </conditionalFormatting>
  <conditionalFormatting sqref="R6:R266">
    <cfRule type="expression" priority="4" dxfId="3">
      <formula>LEFT($R6,1)="⚠"</formula>
    </cfRule>
  </conditionalFormatting>
  <dataValidations count="3">
    <dataValidation sqref="K6:K266" showDropDown="0" showInputMessage="0" showErrorMessage="0" allowBlank="1" type="list">
      <formula1>"To Do,Doing,Done"</formula1>
    </dataValidation>
    <dataValidation sqref="L6:L266" showDropDown="0" showInputMessage="0" showErrorMessage="0" allowBlank="1" type="list">
      <formula1>"Sí,No"</formula1>
    </dataValidation>
    <dataValidation sqref="O6:O266" showDropDown="0" showInputMessage="0" showErrorMessage="0" allowBlank="1" type="list">
      <formula1>"Sí,No"</formula1>
    </dataValidation>
  </dataValidations>
  <pageMargins left="0.4" right="0.4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7" customWidth="1" min="2" max="2"/>
    <col width="46" customWidth="1" min="3" max="3"/>
    <col width="2" customWidth="1" min="4" max="4"/>
    <col width="7" customWidth="1" min="5" max="5"/>
    <col width="46" customWidth="1" min="6" max="6"/>
    <col width="2" customWidth="1" min="7" max="7"/>
    <col width="7" customWidth="1" min="8" max="8"/>
    <col width="46" customWidth="1" min="9" max="9"/>
  </cols>
  <sheetData>
    <row r="2">
      <c r="B2" s="16" t="inlineStr">
        <is>
          <t>Vista del tablero · se actualiza sola al cambiar el estado en el registro</t>
        </is>
      </c>
    </row>
    <row r="4">
      <c r="B4" s="17">
        <f>CONCATENATE("To Do · ",COUNTIF('Tablero (To Do · Doing · Done)'!$K$6:$K$266,"To Do"))</f>
        <v/>
      </c>
      <c r="E4" s="18">
        <f>CONCATENATE("Doing · ",COUNTIF('Tablero (To Do · Doing · Done)'!$K$6:$K$266,"Doing"))</f>
        <v/>
      </c>
      <c r="H4" s="19">
        <f>CONCATENATE("Done · ",COUNTIF('Tablero (To Do · Doing · Done)'!$K$6:$K$266,"Done"))</f>
        <v/>
      </c>
    </row>
    <row r="5">
      <c r="B5" s="20" t="inlineStr">
        <is>
          <t>ID</t>
        </is>
      </c>
      <c r="C5" s="20" t="inlineStr">
        <is>
          <t>Tarea · responsable</t>
        </is>
      </c>
      <c r="E5" s="20" t="inlineStr">
        <is>
          <t>ID</t>
        </is>
      </c>
      <c r="F5" s="20" t="inlineStr">
        <is>
          <t>Tarea · responsable</t>
        </is>
      </c>
      <c r="H5" s="20" t="inlineStr">
        <is>
          <t>ID</t>
        </is>
      </c>
      <c r="I5" s="20" t="inlineStr">
        <is>
          <t>Tarea · responsable</t>
        </is>
      </c>
    </row>
    <row r="6">
      <c r="B6" s="21">
        <f>IFERROR(INDEX('Tablero (To Do · Doing · Done)'!$B$6:$B$266,MATCH(1,'Tablero (To Do · Doing · Done)'!$S$6:$S$266,0)),"")</f>
        <v/>
      </c>
      <c r="C6" s="21">
        <f>IFERROR(INDEX('Tablero (To Do · Doing · Done)'!$F$6:$F$266,MATCH(1,'Tablero (To Do · Doing · Done)'!$S$6:$S$266,0))&amp;" · "&amp;INDEX('Tablero (To Do · Doing · Done)'!$G$6:$G$266,MATCH(1,'Tablero (To Do · Doing · Done)'!$S$6:$S$266,0)),"")</f>
        <v/>
      </c>
      <c r="E6" s="21">
        <f>IFERROR(INDEX('Tablero (To Do · Doing · Done)'!$B$6:$B$266,MATCH(1,'Tablero (To Do · Doing · Done)'!$T$6:$T$266,0)),"")</f>
        <v/>
      </c>
      <c r="F6" s="21">
        <f>IFERROR(INDEX('Tablero (To Do · Doing · Done)'!$F$6:$F$266,MATCH(1,'Tablero (To Do · Doing · Done)'!$T$6:$T$266,0))&amp;" · "&amp;INDEX('Tablero (To Do · Doing · Done)'!$G$6:$G$266,MATCH(1,'Tablero (To Do · Doing · Done)'!$T$6:$T$266,0)),"")</f>
        <v/>
      </c>
      <c r="H6" s="21">
        <f>IFERROR(INDEX('Tablero (To Do · Doing · Done)'!$B$6:$B$266,MATCH(1,'Tablero (To Do · Doing · Done)'!$U$6:$U$266,0)),"")</f>
        <v/>
      </c>
      <c r="I6" s="21">
        <f>IFERROR(INDEX('Tablero (To Do · Doing · Done)'!$F$6:$F$266,MATCH(1,'Tablero (To Do · Doing · Done)'!$U$6:$U$266,0))&amp;" · "&amp;INDEX('Tablero (To Do · Doing · Done)'!$G$6:$G$266,MATCH(1,'Tablero (To Do · Doing · Done)'!$U$6:$U$266,0)),"")</f>
        <v/>
      </c>
    </row>
    <row r="7">
      <c r="B7" s="21">
        <f>IFERROR(INDEX('Tablero (To Do · Doing · Done)'!$B$6:$B$266,MATCH(2,'Tablero (To Do · Doing · Done)'!$S$6:$S$266,0)),"")</f>
        <v/>
      </c>
      <c r="C7" s="21">
        <f>IFERROR(INDEX('Tablero (To Do · Doing · Done)'!$F$6:$F$266,MATCH(2,'Tablero (To Do · Doing · Done)'!$S$6:$S$266,0))&amp;" · "&amp;INDEX('Tablero (To Do · Doing · Done)'!$G$6:$G$266,MATCH(2,'Tablero (To Do · Doing · Done)'!$S$6:$S$266,0)),"")</f>
        <v/>
      </c>
      <c r="E7" s="21">
        <f>IFERROR(INDEX('Tablero (To Do · Doing · Done)'!$B$6:$B$266,MATCH(2,'Tablero (To Do · Doing · Done)'!$T$6:$T$266,0)),"")</f>
        <v/>
      </c>
      <c r="F7" s="21">
        <f>IFERROR(INDEX('Tablero (To Do · Doing · Done)'!$F$6:$F$266,MATCH(2,'Tablero (To Do · Doing · Done)'!$T$6:$T$266,0))&amp;" · "&amp;INDEX('Tablero (To Do · Doing · Done)'!$G$6:$G$266,MATCH(2,'Tablero (To Do · Doing · Done)'!$T$6:$T$266,0)),"")</f>
        <v/>
      </c>
      <c r="H7" s="21">
        <f>IFERROR(INDEX('Tablero (To Do · Doing · Done)'!$B$6:$B$266,MATCH(2,'Tablero (To Do · Doing · Done)'!$U$6:$U$266,0)),"")</f>
        <v/>
      </c>
      <c r="I7" s="21">
        <f>IFERROR(INDEX('Tablero (To Do · Doing · Done)'!$F$6:$F$266,MATCH(2,'Tablero (To Do · Doing · Done)'!$U$6:$U$266,0))&amp;" · "&amp;INDEX('Tablero (To Do · Doing · Done)'!$G$6:$G$266,MATCH(2,'Tablero (To Do · Doing · Done)'!$U$6:$U$266,0)),"")</f>
        <v/>
      </c>
    </row>
    <row r="8">
      <c r="B8" s="21">
        <f>IFERROR(INDEX('Tablero (To Do · Doing · Done)'!$B$6:$B$266,MATCH(3,'Tablero (To Do · Doing · Done)'!$S$6:$S$266,0)),"")</f>
        <v/>
      </c>
      <c r="C8" s="21">
        <f>IFERROR(INDEX('Tablero (To Do · Doing · Done)'!$F$6:$F$266,MATCH(3,'Tablero (To Do · Doing · Done)'!$S$6:$S$266,0))&amp;" · "&amp;INDEX('Tablero (To Do · Doing · Done)'!$G$6:$G$266,MATCH(3,'Tablero (To Do · Doing · Done)'!$S$6:$S$266,0)),"")</f>
        <v/>
      </c>
      <c r="E8" s="21">
        <f>IFERROR(INDEX('Tablero (To Do · Doing · Done)'!$B$6:$B$266,MATCH(3,'Tablero (To Do · Doing · Done)'!$T$6:$T$266,0)),"")</f>
        <v/>
      </c>
      <c r="F8" s="21">
        <f>IFERROR(INDEX('Tablero (To Do · Doing · Done)'!$F$6:$F$266,MATCH(3,'Tablero (To Do · Doing · Done)'!$T$6:$T$266,0))&amp;" · "&amp;INDEX('Tablero (To Do · Doing · Done)'!$G$6:$G$266,MATCH(3,'Tablero (To Do · Doing · Done)'!$T$6:$T$266,0)),"")</f>
        <v/>
      </c>
      <c r="H8" s="21">
        <f>IFERROR(INDEX('Tablero (To Do · Doing · Done)'!$B$6:$B$266,MATCH(3,'Tablero (To Do · Doing · Done)'!$U$6:$U$266,0)),"")</f>
        <v/>
      </c>
      <c r="I8" s="21">
        <f>IFERROR(INDEX('Tablero (To Do · Doing · Done)'!$F$6:$F$266,MATCH(3,'Tablero (To Do · Doing · Done)'!$U$6:$U$266,0))&amp;" · "&amp;INDEX('Tablero (To Do · Doing · Done)'!$G$6:$G$266,MATCH(3,'Tablero (To Do · Doing · Done)'!$U$6:$U$266,0)),"")</f>
        <v/>
      </c>
    </row>
    <row r="9">
      <c r="B9" s="21">
        <f>IFERROR(INDEX('Tablero (To Do · Doing · Done)'!$B$6:$B$266,MATCH(4,'Tablero (To Do · Doing · Done)'!$S$6:$S$266,0)),"")</f>
        <v/>
      </c>
      <c r="C9" s="21">
        <f>IFERROR(INDEX('Tablero (To Do · Doing · Done)'!$F$6:$F$266,MATCH(4,'Tablero (To Do · Doing · Done)'!$S$6:$S$266,0))&amp;" · "&amp;INDEX('Tablero (To Do · Doing · Done)'!$G$6:$G$266,MATCH(4,'Tablero (To Do · Doing · Done)'!$S$6:$S$266,0)),"")</f>
        <v/>
      </c>
      <c r="E9" s="21">
        <f>IFERROR(INDEX('Tablero (To Do · Doing · Done)'!$B$6:$B$266,MATCH(4,'Tablero (To Do · Doing · Done)'!$T$6:$T$266,0)),"")</f>
        <v/>
      </c>
      <c r="F9" s="21">
        <f>IFERROR(INDEX('Tablero (To Do · Doing · Done)'!$F$6:$F$266,MATCH(4,'Tablero (To Do · Doing · Done)'!$T$6:$T$266,0))&amp;" · "&amp;INDEX('Tablero (To Do · Doing · Done)'!$G$6:$G$266,MATCH(4,'Tablero (To Do · Doing · Done)'!$T$6:$T$266,0)),"")</f>
        <v/>
      </c>
      <c r="H9" s="21">
        <f>IFERROR(INDEX('Tablero (To Do · Doing · Done)'!$B$6:$B$266,MATCH(4,'Tablero (To Do · Doing · Done)'!$U$6:$U$266,0)),"")</f>
        <v/>
      </c>
      <c r="I9" s="21">
        <f>IFERROR(INDEX('Tablero (To Do · Doing · Done)'!$F$6:$F$266,MATCH(4,'Tablero (To Do · Doing · Done)'!$U$6:$U$266,0))&amp;" · "&amp;INDEX('Tablero (To Do · Doing · Done)'!$G$6:$G$266,MATCH(4,'Tablero (To Do · Doing · Done)'!$U$6:$U$266,0)),"")</f>
        <v/>
      </c>
    </row>
    <row r="10">
      <c r="B10" s="21">
        <f>IFERROR(INDEX('Tablero (To Do · Doing · Done)'!$B$6:$B$266,MATCH(5,'Tablero (To Do · Doing · Done)'!$S$6:$S$266,0)),"")</f>
        <v/>
      </c>
      <c r="C10" s="21">
        <f>IFERROR(INDEX('Tablero (To Do · Doing · Done)'!$F$6:$F$266,MATCH(5,'Tablero (To Do · Doing · Done)'!$S$6:$S$266,0))&amp;" · "&amp;INDEX('Tablero (To Do · Doing · Done)'!$G$6:$G$266,MATCH(5,'Tablero (To Do · Doing · Done)'!$S$6:$S$266,0)),"")</f>
        <v/>
      </c>
      <c r="E10" s="21">
        <f>IFERROR(INDEX('Tablero (To Do · Doing · Done)'!$B$6:$B$266,MATCH(5,'Tablero (To Do · Doing · Done)'!$T$6:$T$266,0)),"")</f>
        <v/>
      </c>
      <c r="F10" s="21">
        <f>IFERROR(INDEX('Tablero (To Do · Doing · Done)'!$F$6:$F$266,MATCH(5,'Tablero (To Do · Doing · Done)'!$T$6:$T$266,0))&amp;" · "&amp;INDEX('Tablero (To Do · Doing · Done)'!$G$6:$G$266,MATCH(5,'Tablero (To Do · Doing · Done)'!$T$6:$T$266,0)),"")</f>
        <v/>
      </c>
      <c r="H10" s="21">
        <f>IFERROR(INDEX('Tablero (To Do · Doing · Done)'!$B$6:$B$266,MATCH(5,'Tablero (To Do · Doing · Done)'!$U$6:$U$266,0)),"")</f>
        <v/>
      </c>
      <c r="I10" s="21">
        <f>IFERROR(INDEX('Tablero (To Do · Doing · Done)'!$F$6:$F$266,MATCH(5,'Tablero (To Do · Doing · Done)'!$U$6:$U$266,0))&amp;" · "&amp;INDEX('Tablero (To Do · Doing · Done)'!$G$6:$G$266,MATCH(5,'Tablero (To Do · Doing · Done)'!$U$6:$U$266,0)),"")</f>
        <v/>
      </c>
    </row>
    <row r="11">
      <c r="B11" s="21">
        <f>IFERROR(INDEX('Tablero (To Do · Doing · Done)'!$B$6:$B$266,MATCH(6,'Tablero (To Do · Doing · Done)'!$S$6:$S$266,0)),"")</f>
        <v/>
      </c>
      <c r="C11" s="21">
        <f>IFERROR(INDEX('Tablero (To Do · Doing · Done)'!$F$6:$F$266,MATCH(6,'Tablero (To Do · Doing · Done)'!$S$6:$S$266,0))&amp;" · "&amp;INDEX('Tablero (To Do · Doing · Done)'!$G$6:$G$266,MATCH(6,'Tablero (To Do · Doing · Done)'!$S$6:$S$266,0)),"")</f>
        <v/>
      </c>
      <c r="E11" s="21">
        <f>IFERROR(INDEX('Tablero (To Do · Doing · Done)'!$B$6:$B$266,MATCH(6,'Tablero (To Do · Doing · Done)'!$T$6:$T$266,0)),"")</f>
        <v/>
      </c>
      <c r="F11" s="21">
        <f>IFERROR(INDEX('Tablero (To Do · Doing · Done)'!$F$6:$F$266,MATCH(6,'Tablero (To Do · Doing · Done)'!$T$6:$T$266,0))&amp;" · "&amp;INDEX('Tablero (To Do · Doing · Done)'!$G$6:$G$266,MATCH(6,'Tablero (To Do · Doing · Done)'!$T$6:$T$266,0)),"")</f>
        <v/>
      </c>
      <c r="H11" s="21">
        <f>IFERROR(INDEX('Tablero (To Do · Doing · Done)'!$B$6:$B$266,MATCH(6,'Tablero (To Do · Doing · Done)'!$U$6:$U$266,0)),"")</f>
        <v/>
      </c>
      <c r="I11" s="21">
        <f>IFERROR(INDEX('Tablero (To Do · Doing · Done)'!$F$6:$F$266,MATCH(6,'Tablero (To Do · Doing · Done)'!$U$6:$U$266,0))&amp;" · "&amp;INDEX('Tablero (To Do · Doing · Done)'!$G$6:$G$266,MATCH(6,'Tablero (To Do · Doing · Done)'!$U$6:$U$266,0)),"")</f>
        <v/>
      </c>
    </row>
    <row r="12">
      <c r="B12" s="21">
        <f>IFERROR(INDEX('Tablero (To Do · Doing · Done)'!$B$6:$B$266,MATCH(7,'Tablero (To Do · Doing · Done)'!$S$6:$S$266,0)),"")</f>
        <v/>
      </c>
      <c r="C12" s="21">
        <f>IFERROR(INDEX('Tablero (To Do · Doing · Done)'!$F$6:$F$266,MATCH(7,'Tablero (To Do · Doing · Done)'!$S$6:$S$266,0))&amp;" · "&amp;INDEX('Tablero (To Do · Doing · Done)'!$G$6:$G$266,MATCH(7,'Tablero (To Do · Doing · Done)'!$S$6:$S$266,0)),"")</f>
        <v/>
      </c>
      <c r="E12" s="21">
        <f>IFERROR(INDEX('Tablero (To Do · Doing · Done)'!$B$6:$B$266,MATCH(7,'Tablero (To Do · Doing · Done)'!$T$6:$T$266,0)),"")</f>
        <v/>
      </c>
      <c r="F12" s="21">
        <f>IFERROR(INDEX('Tablero (To Do · Doing · Done)'!$F$6:$F$266,MATCH(7,'Tablero (To Do · Doing · Done)'!$T$6:$T$266,0))&amp;" · "&amp;INDEX('Tablero (To Do · Doing · Done)'!$G$6:$G$266,MATCH(7,'Tablero (To Do · Doing · Done)'!$T$6:$T$266,0)),"")</f>
        <v/>
      </c>
      <c r="H12" s="21">
        <f>IFERROR(INDEX('Tablero (To Do · Doing · Done)'!$B$6:$B$266,MATCH(7,'Tablero (To Do · Doing · Done)'!$U$6:$U$266,0)),"")</f>
        <v/>
      </c>
      <c r="I12" s="21">
        <f>IFERROR(INDEX('Tablero (To Do · Doing · Done)'!$F$6:$F$266,MATCH(7,'Tablero (To Do · Doing · Done)'!$U$6:$U$266,0))&amp;" · "&amp;INDEX('Tablero (To Do · Doing · Done)'!$G$6:$G$266,MATCH(7,'Tablero (To Do · Doing · Done)'!$U$6:$U$266,0)),"")</f>
        <v/>
      </c>
    </row>
    <row r="13">
      <c r="B13" s="21">
        <f>IFERROR(INDEX('Tablero (To Do · Doing · Done)'!$B$6:$B$266,MATCH(8,'Tablero (To Do · Doing · Done)'!$S$6:$S$266,0)),"")</f>
        <v/>
      </c>
      <c r="C13" s="21">
        <f>IFERROR(INDEX('Tablero (To Do · Doing · Done)'!$F$6:$F$266,MATCH(8,'Tablero (To Do · Doing · Done)'!$S$6:$S$266,0))&amp;" · "&amp;INDEX('Tablero (To Do · Doing · Done)'!$G$6:$G$266,MATCH(8,'Tablero (To Do · Doing · Done)'!$S$6:$S$266,0)),"")</f>
        <v/>
      </c>
      <c r="E13" s="21">
        <f>IFERROR(INDEX('Tablero (To Do · Doing · Done)'!$B$6:$B$266,MATCH(8,'Tablero (To Do · Doing · Done)'!$T$6:$T$266,0)),"")</f>
        <v/>
      </c>
      <c r="F13" s="21">
        <f>IFERROR(INDEX('Tablero (To Do · Doing · Done)'!$F$6:$F$266,MATCH(8,'Tablero (To Do · Doing · Done)'!$T$6:$T$266,0))&amp;" · "&amp;INDEX('Tablero (To Do · Doing · Done)'!$G$6:$G$266,MATCH(8,'Tablero (To Do · Doing · Done)'!$T$6:$T$266,0)),"")</f>
        <v/>
      </c>
      <c r="H13" s="21">
        <f>IFERROR(INDEX('Tablero (To Do · Doing · Done)'!$B$6:$B$266,MATCH(8,'Tablero (To Do · Doing · Done)'!$U$6:$U$266,0)),"")</f>
        <v/>
      </c>
      <c r="I13" s="21">
        <f>IFERROR(INDEX('Tablero (To Do · Doing · Done)'!$F$6:$F$266,MATCH(8,'Tablero (To Do · Doing · Done)'!$U$6:$U$266,0))&amp;" · "&amp;INDEX('Tablero (To Do · Doing · Done)'!$G$6:$G$266,MATCH(8,'Tablero (To Do · Doing · Done)'!$U$6:$U$266,0)),"")</f>
        <v/>
      </c>
    </row>
    <row r="14">
      <c r="B14" s="21">
        <f>IFERROR(INDEX('Tablero (To Do · Doing · Done)'!$B$6:$B$266,MATCH(9,'Tablero (To Do · Doing · Done)'!$S$6:$S$266,0)),"")</f>
        <v/>
      </c>
      <c r="C14" s="21">
        <f>IFERROR(INDEX('Tablero (To Do · Doing · Done)'!$F$6:$F$266,MATCH(9,'Tablero (To Do · Doing · Done)'!$S$6:$S$266,0))&amp;" · "&amp;INDEX('Tablero (To Do · Doing · Done)'!$G$6:$G$266,MATCH(9,'Tablero (To Do · Doing · Done)'!$S$6:$S$266,0)),"")</f>
        <v/>
      </c>
      <c r="E14" s="21">
        <f>IFERROR(INDEX('Tablero (To Do · Doing · Done)'!$B$6:$B$266,MATCH(9,'Tablero (To Do · Doing · Done)'!$T$6:$T$266,0)),"")</f>
        <v/>
      </c>
      <c r="F14" s="21">
        <f>IFERROR(INDEX('Tablero (To Do · Doing · Done)'!$F$6:$F$266,MATCH(9,'Tablero (To Do · Doing · Done)'!$T$6:$T$266,0))&amp;" · "&amp;INDEX('Tablero (To Do · Doing · Done)'!$G$6:$G$266,MATCH(9,'Tablero (To Do · Doing · Done)'!$T$6:$T$266,0)),"")</f>
        <v/>
      </c>
      <c r="H14" s="21">
        <f>IFERROR(INDEX('Tablero (To Do · Doing · Done)'!$B$6:$B$266,MATCH(9,'Tablero (To Do · Doing · Done)'!$U$6:$U$266,0)),"")</f>
        <v/>
      </c>
      <c r="I14" s="21">
        <f>IFERROR(INDEX('Tablero (To Do · Doing · Done)'!$F$6:$F$266,MATCH(9,'Tablero (To Do · Doing · Done)'!$U$6:$U$266,0))&amp;" · "&amp;INDEX('Tablero (To Do · Doing · Done)'!$G$6:$G$266,MATCH(9,'Tablero (To Do · Doing · Done)'!$U$6:$U$266,0)),"")</f>
        <v/>
      </c>
    </row>
    <row r="15">
      <c r="B15" s="21">
        <f>IFERROR(INDEX('Tablero (To Do · Doing · Done)'!$B$6:$B$266,MATCH(10,'Tablero (To Do · Doing · Done)'!$S$6:$S$266,0)),"")</f>
        <v/>
      </c>
      <c r="C15" s="21">
        <f>IFERROR(INDEX('Tablero (To Do · Doing · Done)'!$F$6:$F$266,MATCH(10,'Tablero (To Do · Doing · Done)'!$S$6:$S$266,0))&amp;" · "&amp;INDEX('Tablero (To Do · Doing · Done)'!$G$6:$G$266,MATCH(10,'Tablero (To Do · Doing · Done)'!$S$6:$S$266,0)),"")</f>
        <v/>
      </c>
      <c r="E15" s="21">
        <f>IFERROR(INDEX('Tablero (To Do · Doing · Done)'!$B$6:$B$266,MATCH(10,'Tablero (To Do · Doing · Done)'!$T$6:$T$266,0)),"")</f>
        <v/>
      </c>
      <c r="F15" s="21">
        <f>IFERROR(INDEX('Tablero (To Do · Doing · Done)'!$F$6:$F$266,MATCH(10,'Tablero (To Do · Doing · Done)'!$T$6:$T$266,0))&amp;" · "&amp;INDEX('Tablero (To Do · Doing · Done)'!$G$6:$G$266,MATCH(10,'Tablero (To Do · Doing · Done)'!$T$6:$T$266,0)),"")</f>
        <v/>
      </c>
      <c r="H15" s="21">
        <f>IFERROR(INDEX('Tablero (To Do · Doing · Done)'!$B$6:$B$266,MATCH(10,'Tablero (To Do · Doing · Done)'!$U$6:$U$266,0)),"")</f>
        <v/>
      </c>
      <c r="I15" s="21">
        <f>IFERROR(INDEX('Tablero (To Do · Doing · Done)'!$F$6:$F$266,MATCH(10,'Tablero (To Do · Doing · Done)'!$U$6:$U$266,0))&amp;" · "&amp;INDEX('Tablero (To Do · Doing · Done)'!$G$6:$G$266,MATCH(10,'Tablero (To Do · Doing · Done)'!$U$6:$U$266,0)),"")</f>
        <v/>
      </c>
    </row>
    <row r="16">
      <c r="B16" s="21">
        <f>IFERROR(INDEX('Tablero (To Do · Doing · Done)'!$B$6:$B$266,MATCH(11,'Tablero (To Do · Doing · Done)'!$S$6:$S$266,0)),"")</f>
        <v/>
      </c>
      <c r="C16" s="21">
        <f>IFERROR(INDEX('Tablero (To Do · Doing · Done)'!$F$6:$F$266,MATCH(11,'Tablero (To Do · Doing · Done)'!$S$6:$S$266,0))&amp;" · "&amp;INDEX('Tablero (To Do · Doing · Done)'!$G$6:$G$266,MATCH(11,'Tablero (To Do · Doing · Done)'!$S$6:$S$266,0)),"")</f>
        <v/>
      </c>
      <c r="E16" s="21">
        <f>IFERROR(INDEX('Tablero (To Do · Doing · Done)'!$B$6:$B$266,MATCH(11,'Tablero (To Do · Doing · Done)'!$T$6:$T$266,0)),"")</f>
        <v/>
      </c>
      <c r="F16" s="21">
        <f>IFERROR(INDEX('Tablero (To Do · Doing · Done)'!$F$6:$F$266,MATCH(11,'Tablero (To Do · Doing · Done)'!$T$6:$T$266,0))&amp;" · "&amp;INDEX('Tablero (To Do · Doing · Done)'!$G$6:$G$266,MATCH(11,'Tablero (To Do · Doing · Done)'!$T$6:$T$266,0)),"")</f>
        <v/>
      </c>
      <c r="H16" s="21">
        <f>IFERROR(INDEX('Tablero (To Do · Doing · Done)'!$B$6:$B$266,MATCH(11,'Tablero (To Do · Doing · Done)'!$U$6:$U$266,0)),"")</f>
        <v/>
      </c>
      <c r="I16" s="21">
        <f>IFERROR(INDEX('Tablero (To Do · Doing · Done)'!$F$6:$F$266,MATCH(11,'Tablero (To Do · Doing · Done)'!$U$6:$U$266,0))&amp;" · "&amp;INDEX('Tablero (To Do · Doing · Done)'!$G$6:$G$266,MATCH(11,'Tablero (To Do · Doing · Done)'!$U$6:$U$266,0)),"")</f>
        <v/>
      </c>
    </row>
    <row r="17">
      <c r="B17" s="21">
        <f>IFERROR(INDEX('Tablero (To Do · Doing · Done)'!$B$6:$B$266,MATCH(12,'Tablero (To Do · Doing · Done)'!$S$6:$S$266,0)),"")</f>
        <v/>
      </c>
      <c r="C17" s="21">
        <f>IFERROR(INDEX('Tablero (To Do · Doing · Done)'!$F$6:$F$266,MATCH(12,'Tablero (To Do · Doing · Done)'!$S$6:$S$266,0))&amp;" · "&amp;INDEX('Tablero (To Do · Doing · Done)'!$G$6:$G$266,MATCH(12,'Tablero (To Do · Doing · Done)'!$S$6:$S$266,0)),"")</f>
        <v/>
      </c>
      <c r="E17" s="21">
        <f>IFERROR(INDEX('Tablero (To Do · Doing · Done)'!$B$6:$B$266,MATCH(12,'Tablero (To Do · Doing · Done)'!$T$6:$T$266,0)),"")</f>
        <v/>
      </c>
      <c r="F17" s="21">
        <f>IFERROR(INDEX('Tablero (To Do · Doing · Done)'!$F$6:$F$266,MATCH(12,'Tablero (To Do · Doing · Done)'!$T$6:$T$266,0))&amp;" · "&amp;INDEX('Tablero (To Do · Doing · Done)'!$G$6:$G$266,MATCH(12,'Tablero (To Do · Doing · Done)'!$T$6:$T$266,0)),"")</f>
        <v/>
      </c>
      <c r="H17" s="21">
        <f>IFERROR(INDEX('Tablero (To Do · Doing · Done)'!$B$6:$B$266,MATCH(12,'Tablero (To Do · Doing · Done)'!$U$6:$U$266,0)),"")</f>
        <v/>
      </c>
      <c r="I17" s="21">
        <f>IFERROR(INDEX('Tablero (To Do · Doing · Done)'!$F$6:$F$266,MATCH(12,'Tablero (To Do · Doing · Done)'!$U$6:$U$266,0))&amp;" · "&amp;INDEX('Tablero (To Do · Doing · Done)'!$G$6:$G$266,MATCH(12,'Tablero (To Do · Doing · Done)'!$U$6:$U$266,0)),"")</f>
        <v/>
      </c>
    </row>
    <row r="18">
      <c r="B18" s="21">
        <f>IFERROR(INDEX('Tablero (To Do · Doing · Done)'!$B$6:$B$266,MATCH(13,'Tablero (To Do · Doing · Done)'!$S$6:$S$266,0)),"")</f>
        <v/>
      </c>
      <c r="C18" s="21">
        <f>IFERROR(INDEX('Tablero (To Do · Doing · Done)'!$F$6:$F$266,MATCH(13,'Tablero (To Do · Doing · Done)'!$S$6:$S$266,0))&amp;" · "&amp;INDEX('Tablero (To Do · Doing · Done)'!$G$6:$G$266,MATCH(13,'Tablero (To Do · Doing · Done)'!$S$6:$S$266,0)),"")</f>
        <v/>
      </c>
      <c r="E18" s="21">
        <f>IFERROR(INDEX('Tablero (To Do · Doing · Done)'!$B$6:$B$266,MATCH(13,'Tablero (To Do · Doing · Done)'!$T$6:$T$266,0)),"")</f>
        <v/>
      </c>
      <c r="F18" s="21">
        <f>IFERROR(INDEX('Tablero (To Do · Doing · Done)'!$F$6:$F$266,MATCH(13,'Tablero (To Do · Doing · Done)'!$T$6:$T$266,0))&amp;" · "&amp;INDEX('Tablero (To Do · Doing · Done)'!$G$6:$G$266,MATCH(13,'Tablero (To Do · Doing · Done)'!$T$6:$T$266,0)),"")</f>
        <v/>
      </c>
      <c r="H18" s="21">
        <f>IFERROR(INDEX('Tablero (To Do · Doing · Done)'!$B$6:$B$266,MATCH(13,'Tablero (To Do · Doing · Done)'!$U$6:$U$266,0)),"")</f>
        <v/>
      </c>
      <c r="I18" s="21">
        <f>IFERROR(INDEX('Tablero (To Do · Doing · Done)'!$F$6:$F$266,MATCH(13,'Tablero (To Do · Doing · Done)'!$U$6:$U$266,0))&amp;" · "&amp;INDEX('Tablero (To Do · Doing · Done)'!$G$6:$G$266,MATCH(13,'Tablero (To Do · Doing · Done)'!$U$6:$U$266,0)),"")</f>
        <v/>
      </c>
    </row>
    <row r="19">
      <c r="B19" s="21">
        <f>IFERROR(INDEX('Tablero (To Do · Doing · Done)'!$B$6:$B$266,MATCH(14,'Tablero (To Do · Doing · Done)'!$S$6:$S$266,0)),"")</f>
        <v/>
      </c>
      <c r="C19" s="21">
        <f>IFERROR(INDEX('Tablero (To Do · Doing · Done)'!$F$6:$F$266,MATCH(14,'Tablero (To Do · Doing · Done)'!$S$6:$S$266,0))&amp;" · "&amp;INDEX('Tablero (To Do · Doing · Done)'!$G$6:$G$266,MATCH(14,'Tablero (To Do · Doing · Done)'!$S$6:$S$266,0)),"")</f>
        <v/>
      </c>
      <c r="E19" s="21">
        <f>IFERROR(INDEX('Tablero (To Do · Doing · Done)'!$B$6:$B$266,MATCH(14,'Tablero (To Do · Doing · Done)'!$T$6:$T$266,0)),"")</f>
        <v/>
      </c>
      <c r="F19" s="21">
        <f>IFERROR(INDEX('Tablero (To Do · Doing · Done)'!$F$6:$F$266,MATCH(14,'Tablero (To Do · Doing · Done)'!$T$6:$T$266,0))&amp;" · "&amp;INDEX('Tablero (To Do · Doing · Done)'!$G$6:$G$266,MATCH(14,'Tablero (To Do · Doing · Done)'!$T$6:$T$266,0)),"")</f>
        <v/>
      </c>
      <c r="H19" s="21">
        <f>IFERROR(INDEX('Tablero (To Do · Doing · Done)'!$B$6:$B$266,MATCH(14,'Tablero (To Do · Doing · Done)'!$U$6:$U$266,0)),"")</f>
        <v/>
      </c>
      <c r="I19" s="21">
        <f>IFERROR(INDEX('Tablero (To Do · Doing · Done)'!$F$6:$F$266,MATCH(14,'Tablero (To Do · Doing · Done)'!$U$6:$U$266,0))&amp;" · "&amp;INDEX('Tablero (To Do · Doing · Done)'!$G$6:$G$266,MATCH(14,'Tablero (To Do · Doing · Done)'!$U$6:$U$266,0)),"")</f>
        <v/>
      </c>
    </row>
    <row r="20">
      <c r="B20" s="21">
        <f>IFERROR(INDEX('Tablero (To Do · Doing · Done)'!$B$6:$B$266,MATCH(15,'Tablero (To Do · Doing · Done)'!$S$6:$S$266,0)),"")</f>
        <v/>
      </c>
      <c r="C20" s="21">
        <f>IFERROR(INDEX('Tablero (To Do · Doing · Done)'!$F$6:$F$266,MATCH(15,'Tablero (To Do · Doing · Done)'!$S$6:$S$266,0))&amp;" · "&amp;INDEX('Tablero (To Do · Doing · Done)'!$G$6:$G$266,MATCH(15,'Tablero (To Do · Doing · Done)'!$S$6:$S$266,0)),"")</f>
        <v/>
      </c>
      <c r="E20" s="21">
        <f>IFERROR(INDEX('Tablero (To Do · Doing · Done)'!$B$6:$B$266,MATCH(15,'Tablero (To Do · Doing · Done)'!$T$6:$T$266,0)),"")</f>
        <v/>
      </c>
      <c r="F20" s="21">
        <f>IFERROR(INDEX('Tablero (To Do · Doing · Done)'!$F$6:$F$266,MATCH(15,'Tablero (To Do · Doing · Done)'!$T$6:$T$266,0))&amp;" · "&amp;INDEX('Tablero (To Do · Doing · Done)'!$G$6:$G$266,MATCH(15,'Tablero (To Do · Doing · Done)'!$T$6:$T$266,0)),"")</f>
        <v/>
      </c>
      <c r="H20" s="21">
        <f>IFERROR(INDEX('Tablero (To Do · Doing · Done)'!$B$6:$B$266,MATCH(15,'Tablero (To Do · Doing · Done)'!$U$6:$U$266,0)),"")</f>
        <v/>
      </c>
      <c r="I20" s="21">
        <f>IFERROR(INDEX('Tablero (To Do · Doing · Done)'!$F$6:$F$266,MATCH(15,'Tablero (To Do · Doing · Done)'!$U$6:$U$266,0))&amp;" · "&amp;INDEX('Tablero (To Do · Doing · Done)'!$G$6:$G$266,MATCH(15,'Tablero (To Do · Doing · Done)'!$U$6:$U$266,0)),"")</f>
        <v/>
      </c>
    </row>
    <row r="21">
      <c r="B21" s="21">
        <f>IFERROR(INDEX('Tablero (To Do · Doing · Done)'!$B$6:$B$266,MATCH(16,'Tablero (To Do · Doing · Done)'!$S$6:$S$266,0)),"")</f>
        <v/>
      </c>
      <c r="C21" s="21">
        <f>IFERROR(INDEX('Tablero (To Do · Doing · Done)'!$F$6:$F$266,MATCH(16,'Tablero (To Do · Doing · Done)'!$S$6:$S$266,0))&amp;" · "&amp;INDEX('Tablero (To Do · Doing · Done)'!$G$6:$G$266,MATCH(16,'Tablero (To Do · Doing · Done)'!$S$6:$S$266,0)),"")</f>
        <v/>
      </c>
      <c r="E21" s="21">
        <f>IFERROR(INDEX('Tablero (To Do · Doing · Done)'!$B$6:$B$266,MATCH(16,'Tablero (To Do · Doing · Done)'!$T$6:$T$266,0)),"")</f>
        <v/>
      </c>
      <c r="F21" s="21">
        <f>IFERROR(INDEX('Tablero (To Do · Doing · Done)'!$F$6:$F$266,MATCH(16,'Tablero (To Do · Doing · Done)'!$T$6:$T$266,0))&amp;" · "&amp;INDEX('Tablero (To Do · Doing · Done)'!$G$6:$G$266,MATCH(16,'Tablero (To Do · Doing · Done)'!$T$6:$T$266,0)),"")</f>
        <v/>
      </c>
      <c r="H21" s="21">
        <f>IFERROR(INDEX('Tablero (To Do · Doing · Done)'!$B$6:$B$266,MATCH(16,'Tablero (To Do · Doing · Done)'!$U$6:$U$266,0)),"")</f>
        <v/>
      </c>
      <c r="I21" s="21">
        <f>IFERROR(INDEX('Tablero (To Do · Doing · Done)'!$F$6:$F$266,MATCH(16,'Tablero (To Do · Doing · Done)'!$U$6:$U$266,0))&amp;" · "&amp;INDEX('Tablero (To Do · Doing · Done)'!$G$6:$G$266,MATCH(16,'Tablero (To Do · Doing · Done)'!$U$6:$U$266,0)),"")</f>
        <v/>
      </c>
    </row>
    <row r="22">
      <c r="B22" s="21">
        <f>IFERROR(INDEX('Tablero (To Do · Doing · Done)'!$B$6:$B$266,MATCH(17,'Tablero (To Do · Doing · Done)'!$S$6:$S$266,0)),"")</f>
        <v/>
      </c>
      <c r="C22" s="21">
        <f>IFERROR(INDEX('Tablero (To Do · Doing · Done)'!$F$6:$F$266,MATCH(17,'Tablero (To Do · Doing · Done)'!$S$6:$S$266,0))&amp;" · "&amp;INDEX('Tablero (To Do · Doing · Done)'!$G$6:$G$266,MATCH(17,'Tablero (To Do · Doing · Done)'!$S$6:$S$266,0)),"")</f>
        <v/>
      </c>
      <c r="E22" s="21">
        <f>IFERROR(INDEX('Tablero (To Do · Doing · Done)'!$B$6:$B$266,MATCH(17,'Tablero (To Do · Doing · Done)'!$T$6:$T$266,0)),"")</f>
        <v/>
      </c>
      <c r="F22" s="21">
        <f>IFERROR(INDEX('Tablero (To Do · Doing · Done)'!$F$6:$F$266,MATCH(17,'Tablero (To Do · Doing · Done)'!$T$6:$T$266,0))&amp;" · "&amp;INDEX('Tablero (To Do · Doing · Done)'!$G$6:$G$266,MATCH(17,'Tablero (To Do · Doing · Done)'!$T$6:$T$266,0)),"")</f>
        <v/>
      </c>
      <c r="H22" s="21">
        <f>IFERROR(INDEX('Tablero (To Do · Doing · Done)'!$B$6:$B$266,MATCH(17,'Tablero (To Do · Doing · Done)'!$U$6:$U$266,0)),"")</f>
        <v/>
      </c>
      <c r="I22" s="21">
        <f>IFERROR(INDEX('Tablero (To Do · Doing · Done)'!$F$6:$F$266,MATCH(17,'Tablero (To Do · Doing · Done)'!$U$6:$U$266,0))&amp;" · "&amp;INDEX('Tablero (To Do · Doing · Done)'!$G$6:$G$266,MATCH(17,'Tablero (To Do · Doing · Done)'!$U$6:$U$266,0)),"")</f>
        <v/>
      </c>
    </row>
    <row r="23">
      <c r="B23" s="21">
        <f>IFERROR(INDEX('Tablero (To Do · Doing · Done)'!$B$6:$B$266,MATCH(18,'Tablero (To Do · Doing · Done)'!$S$6:$S$266,0)),"")</f>
        <v/>
      </c>
      <c r="C23" s="21">
        <f>IFERROR(INDEX('Tablero (To Do · Doing · Done)'!$F$6:$F$266,MATCH(18,'Tablero (To Do · Doing · Done)'!$S$6:$S$266,0))&amp;" · "&amp;INDEX('Tablero (To Do · Doing · Done)'!$G$6:$G$266,MATCH(18,'Tablero (To Do · Doing · Done)'!$S$6:$S$266,0)),"")</f>
        <v/>
      </c>
      <c r="E23" s="21">
        <f>IFERROR(INDEX('Tablero (To Do · Doing · Done)'!$B$6:$B$266,MATCH(18,'Tablero (To Do · Doing · Done)'!$T$6:$T$266,0)),"")</f>
        <v/>
      </c>
      <c r="F23" s="21">
        <f>IFERROR(INDEX('Tablero (To Do · Doing · Done)'!$F$6:$F$266,MATCH(18,'Tablero (To Do · Doing · Done)'!$T$6:$T$266,0))&amp;" · "&amp;INDEX('Tablero (To Do · Doing · Done)'!$G$6:$G$266,MATCH(18,'Tablero (To Do · Doing · Done)'!$T$6:$T$266,0)),"")</f>
        <v/>
      </c>
      <c r="H23" s="21">
        <f>IFERROR(INDEX('Tablero (To Do · Doing · Done)'!$B$6:$B$266,MATCH(18,'Tablero (To Do · Doing · Done)'!$U$6:$U$266,0)),"")</f>
        <v/>
      </c>
      <c r="I23" s="21">
        <f>IFERROR(INDEX('Tablero (To Do · Doing · Done)'!$F$6:$F$266,MATCH(18,'Tablero (To Do · Doing · Done)'!$U$6:$U$266,0))&amp;" · "&amp;INDEX('Tablero (To Do · Doing · Done)'!$G$6:$G$266,MATCH(18,'Tablero (To Do · Doing · Done)'!$U$6:$U$266,0)),"")</f>
        <v/>
      </c>
    </row>
    <row r="24">
      <c r="B24" s="21">
        <f>IFERROR(INDEX('Tablero (To Do · Doing · Done)'!$B$6:$B$266,MATCH(19,'Tablero (To Do · Doing · Done)'!$S$6:$S$266,0)),"")</f>
        <v/>
      </c>
      <c r="C24" s="21">
        <f>IFERROR(INDEX('Tablero (To Do · Doing · Done)'!$F$6:$F$266,MATCH(19,'Tablero (To Do · Doing · Done)'!$S$6:$S$266,0))&amp;" · "&amp;INDEX('Tablero (To Do · Doing · Done)'!$G$6:$G$266,MATCH(19,'Tablero (To Do · Doing · Done)'!$S$6:$S$266,0)),"")</f>
        <v/>
      </c>
      <c r="E24" s="21">
        <f>IFERROR(INDEX('Tablero (To Do · Doing · Done)'!$B$6:$B$266,MATCH(19,'Tablero (To Do · Doing · Done)'!$T$6:$T$266,0)),"")</f>
        <v/>
      </c>
      <c r="F24" s="21">
        <f>IFERROR(INDEX('Tablero (To Do · Doing · Done)'!$F$6:$F$266,MATCH(19,'Tablero (To Do · Doing · Done)'!$T$6:$T$266,0))&amp;" · "&amp;INDEX('Tablero (To Do · Doing · Done)'!$G$6:$G$266,MATCH(19,'Tablero (To Do · Doing · Done)'!$T$6:$T$266,0)),"")</f>
        <v/>
      </c>
      <c r="H24" s="21">
        <f>IFERROR(INDEX('Tablero (To Do · Doing · Done)'!$B$6:$B$266,MATCH(19,'Tablero (To Do · Doing · Done)'!$U$6:$U$266,0)),"")</f>
        <v/>
      </c>
      <c r="I24" s="21">
        <f>IFERROR(INDEX('Tablero (To Do · Doing · Done)'!$F$6:$F$266,MATCH(19,'Tablero (To Do · Doing · Done)'!$U$6:$U$266,0))&amp;" · "&amp;INDEX('Tablero (To Do · Doing · Done)'!$G$6:$G$266,MATCH(19,'Tablero (To Do · Doing · Done)'!$U$6:$U$266,0)),"")</f>
        <v/>
      </c>
    </row>
    <row r="25">
      <c r="B25" s="21">
        <f>IFERROR(INDEX('Tablero (To Do · Doing · Done)'!$B$6:$B$266,MATCH(20,'Tablero (To Do · Doing · Done)'!$S$6:$S$266,0)),"")</f>
        <v/>
      </c>
      <c r="C25" s="21">
        <f>IFERROR(INDEX('Tablero (To Do · Doing · Done)'!$F$6:$F$266,MATCH(20,'Tablero (To Do · Doing · Done)'!$S$6:$S$266,0))&amp;" · "&amp;INDEX('Tablero (To Do · Doing · Done)'!$G$6:$G$266,MATCH(20,'Tablero (To Do · Doing · Done)'!$S$6:$S$266,0)),"")</f>
        <v/>
      </c>
      <c r="E25" s="21">
        <f>IFERROR(INDEX('Tablero (To Do · Doing · Done)'!$B$6:$B$266,MATCH(20,'Tablero (To Do · Doing · Done)'!$T$6:$T$266,0)),"")</f>
        <v/>
      </c>
      <c r="F25" s="21">
        <f>IFERROR(INDEX('Tablero (To Do · Doing · Done)'!$F$6:$F$266,MATCH(20,'Tablero (To Do · Doing · Done)'!$T$6:$T$266,0))&amp;" · "&amp;INDEX('Tablero (To Do · Doing · Done)'!$G$6:$G$266,MATCH(20,'Tablero (To Do · Doing · Done)'!$T$6:$T$266,0)),"")</f>
        <v/>
      </c>
      <c r="H25" s="21">
        <f>IFERROR(INDEX('Tablero (To Do · Doing · Done)'!$B$6:$B$266,MATCH(20,'Tablero (To Do · Doing · Done)'!$U$6:$U$266,0)),"")</f>
        <v/>
      </c>
      <c r="I25" s="21">
        <f>IFERROR(INDEX('Tablero (To Do · Doing · Done)'!$F$6:$F$266,MATCH(20,'Tablero (To Do · Doing · Done)'!$U$6:$U$266,0))&amp;" · "&amp;INDEX('Tablero (To Do · Doing · Done)'!$G$6:$G$266,MATCH(20,'Tablero (To Do · Doing · Done)'!$U$6:$U$266,0)),"")</f>
        <v/>
      </c>
    </row>
    <row r="26">
      <c r="B26" s="21">
        <f>IFERROR(INDEX('Tablero (To Do · Doing · Done)'!$B$6:$B$266,MATCH(21,'Tablero (To Do · Doing · Done)'!$S$6:$S$266,0)),"")</f>
        <v/>
      </c>
      <c r="C26" s="21">
        <f>IFERROR(INDEX('Tablero (To Do · Doing · Done)'!$F$6:$F$266,MATCH(21,'Tablero (To Do · Doing · Done)'!$S$6:$S$266,0))&amp;" · "&amp;INDEX('Tablero (To Do · Doing · Done)'!$G$6:$G$266,MATCH(21,'Tablero (To Do · Doing · Done)'!$S$6:$S$266,0)),"")</f>
        <v/>
      </c>
      <c r="E26" s="21">
        <f>IFERROR(INDEX('Tablero (To Do · Doing · Done)'!$B$6:$B$266,MATCH(21,'Tablero (To Do · Doing · Done)'!$T$6:$T$266,0)),"")</f>
        <v/>
      </c>
      <c r="F26" s="21">
        <f>IFERROR(INDEX('Tablero (To Do · Doing · Done)'!$F$6:$F$266,MATCH(21,'Tablero (To Do · Doing · Done)'!$T$6:$T$266,0))&amp;" · "&amp;INDEX('Tablero (To Do · Doing · Done)'!$G$6:$G$266,MATCH(21,'Tablero (To Do · Doing · Done)'!$T$6:$T$266,0)),"")</f>
        <v/>
      </c>
      <c r="H26" s="21">
        <f>IFERROR(INDEX('Tablero (To Do · Doing · Done)'!$B$6:$B$266,MATCH(21,'Tablero (To Do · Doing · Done)'!$U$6:$U$266,0)),"")</f>
        <v/>
      </c>
      <c r="I26" s="21">
        <f>IFERROR(INDEX('Tablero (To Do · Doing · Done)'!$F$6:$F$266,MATCH(21,'Tablero (To Do · Doing · Done)'!$U$6:$U$266,0))&amp;" · "&amp;INDEX('Tablero (To Do · Doing · Done)'!$G$6:$G$266,MATCH(21,'Tablero (To Do · Doing · Done)'!$U$6:$U$266,0)),"")</f>
        <v/>
      </c>
    </row>
    <row r="27">
      <c r="B27" s="21">
        <f>IFERROR(INDEX('Tablero (To Do · Doing · Done)'!$B$6:$B$266,MATCH(22,'Tablero (To Do · Doing · Done)'!$S$6:$S$266,0)),"")</f>
        <v/>
      </c>
      <c r="C27" s="21">
        <f>IFERROR(INDEX('Tablero (To Do · Doing · Done)'!$F$6:$F$266,MATCH(22,'Tablero (To Do · Doing · Done)'!$S$6:$S$266,0))&amp;" · "&amp;INDEX('Tablero (To Do · Doing · Done)'!$G$6:$G$266,MATCH(22,'Tablero (To Do · Doing · Done)'!$S$6:$S$266,0)),"")</f>
        <v/>
      </c>
      <c r="E27" s="21">
        <f>IFERROR(INDEX('Tablero (To Do · Doing · Done)'!$B$6:$B$266,MATCH(22,'Tablero (To Do · Doing · Done)'!$T$6:$T$266,0)),"")</f>
        <v/>
      </c>
      <c r="F27" s="21">
        <f>IFERROR(INDEX('Tablero (To Do · Doing · Done)'!$F$6:$F$266,MATCH(22,'Tablero (To Do · Doing · Done)'!$T$6:$T$266,0))&amp;" · "&amp;INDEX('Tablero (To Do · Doing · Done)'!$G$6:$G$266,MATCH(22,'Tablero (To Do · Doing · Done)'!$T$6:$T$266,0)),"")</f>
        <v/>
      </c>
      <c r="H27" s="21">
        <f>IFERROR(INDEX('Tablero (To Do · Doing · Done)'!$B$6:$B$266,MATCH(22,'Tablero (To Do · Doing · Done)'!$U$6:$U$266,0)),"")</f>
        <v/>
      </c>
      <c r="I27" s="21">
        <f>IFERROR(INDEX('Tablero (To Do · Doing · Done)'!$F$6:$F$266,MATCH(22,'Tablero (To Do · Doing · Done)'!$U$6:$U$266,0))&amp;" · "&amp;INDEX('Tablero (To Do · Doing · Done)'!$G$6:$G$266,MATCH(22,'Tablero (To Do · Doing · Done)'!$U$6:$U$266,0)),"")</f>
        <v/>
      </c>
    </row>
    <row r="28">
      <c r="B28" s="21">
        <f>IFERROR(INDEX('Tablero (To Do · Doing · Done)'!$B$6:$B$266,MATCH(23,'Tablero (To Do · Doing · Done)'!$S$6:$S$266,0)),"")</f>
        <v/>
      </c>
      <c r="C28" s="21">
        <f>IFERROR(INDEX('Tablero (To Do · Doing · Done)'!$F$6:$F$266,MATCH(23,'Tablero (To Do · Doing · Done)'!$S$6:$S$266,0))&amp;" · "&amp;INDEX('Tablero (To Do · Doing · Done)'!$G$6:$G$266,MATCH(23,'Tablero (To Do · Doing · Done)'!$S$6:$S$266,0)),"")</f>
        <v/>
      </c>
      <c r="E28" s="21">
        <f>IFERROR(INDEX('Tablero (To Do · Doing · Done)'!$B$6:$B$266,MATCH(23,'Tablero (To Do · Doing · Done)'!$T$6:$T$266,0)),"")</f>
        <v/>
      </c>
      <c r="F28" s="21">
        <f>IFERROR(INDEX('Tablero (To Do · Doing · Done)'!$F$6:$F$266,MATCH(23,'Tablero (To Do · Doing · Done)'!$T$6:$T$266,0))&amp;" · "&amp;INDEX('Tablero (To Do · Doing · Done)'!$G$6:$G$266,MATCH(23,'Tablero (To Do · Doing · Done)'!$T$6:$T$266,0)),"")</f>
        <v/>
      </c>
      <c r="H28" s="21">
        <f>IFERROR(INDEX('Tablero (To Do · Doing · Done)'!$B$6:$B$266,MATCH(23,'Tablero (To Do · Doing · Done)'!$U$6:$U$266,0)),"")</f>
        <v/>
      </c>
      <c r="I28" s="21">
        <f>IFERROR(INDEX('Tablero (To Do · Doing · Done)'!$F$6:$F$266,MATCH(23,'Tablero (To Do · Doing · Done)'!$U$6:$U$266,0))&amp;" · "&amp;INDEX('Tablero (To Do · Doing · Done)'!$G$6:$G$266,MATCH(23,'Tablero (To Do · Doing · Done)'!$U$6:$U$266,0)),"")</f>
        <v/>
      </c>
    </row>
    <row r="29">
      <c r="B29" s="21">
        <f>IFERROR(INDEX('Tablero (To Do · Doing · Done)'!$B$6:$B$266,MATCH(24,'Tablero (To Do · Doing · Done)'!$S$6:$S$266,0)),"")</f>
        <v/>
      </c>
      <c r="C29" s="21">
        <f>IFERROR(INDEX('Tablero (To Do · Doing · Done)'!$F$6:$F$266,MATCH(24,'Tablero (To Do · Doing · Done)'!$S$6:$S$266,0))&amp;" · "&amp;INDEX('Tablero (To Do · Doing · Done)'!$G$6:$G$266,MATCH(24,'Tablero (To Do · Doing · Done)'!$S$6:$S$266,0)),"")</f>
        <v/>
      </c>
      <c r="E29" s="21">
        <f>IFERROR(INDEX('Tablero (To Do · Doing · Done)'!$B$6:$B$266,MATCH(24,'Tablero (To Do · Doing · Done)'!$T$6:$T$266,0)),"")</f>
        <v/>
      </c>
      <c r="F29" s="21">
        <f>IFERROR(INDEX('Tablero (To Do · Doing · Done)'!$F$6:$F$266,MATCH(24,'Tablero (To Do · Doing · Done)'!$T$6:$T$266,0))&amp;" · "&amp;INDEX('Tablero (To Do · Doing · Done)'!$G$6:$G$266,MATCH(24,'Tablero (To Do · Doing · Done)'!$T$6:$T$266,0)),"")</f>
        <v/>
      </c>
      <c r="H29" s="21">
        <f>IFERROR(INDEX('Tablero (To Do · Doing · Done)'!$B$6:$B$266,MATCH(24,'Tablero (To Do · Doing · Done)'!$U$6:$U$266,0)),"")</f>
        <v/>
      </c>
      <c r="I29" s="21">
        <f>IFERROR(INDEX('Tablero (To Do · Doing · Done)'!$F$6:$F$266,MATCH(24,'Tablero (To Do · Doing · Done)'!$U$6:$U$266,0))&amp;" · "&amp;INDEX('Tablero (To Do · Doing · Done)'!$G$6:$G$266,MATCH(24,'Tablero (To Do · Doing · Done)'!$U$6:$U$266,0)),"")</f>
        <v/>
      </c>
    </row>
    <row r="30">
      <c r="B30" s="21">
        <f>IFERROR(INDEX('Tablero (To Do · Doing · Done)'!$B$6:$B$266,MATCH(25,'Tablero (To Do · Doing · Done)'!$S$6:$S$266,0)),"")</f>
        <v/>
      </c>
      <c r="C30" s="21">
        <f>IFERROR(INDEX('Tablero (To Do · Doing · Done)'!$F$6:$F$266,MATCH(25,'Tablero (To Do · Doing · Done)'!$S$6:$S$266,0))&amp;" · "&amp;INDEX('Tablero (To Do · Doing · Done)'!$G$6:$G$266,MATCH(25,'Tablero (To Do · Doing · Done)'!$S$6:$S$266,0)),"")</f>
        <v/>
      </c>
      <c r="E30" s="21">
        <f>IFERROR(INDEX('Tablero (To Do · Doing · Done)'!$B$6:$B$266,MATCH(25,'Tablero (To Do · Doing · Done)'!$T$6:$T$266,0)),"")</f>
        <v/>
      </c>
      <c r="F30" s="21">
        <f>IFERROR(INDEX('Tablero (To Do · Doing · Done)'!$F$6:$F$266,MATCH(25,'Tablero (To Do · Doing · Done)'!$T$6:$T$266,0))&amp;" · "&amp;INDEX('Tablero (To Do · Doing · Done)'!$G$6:$G$266,MATCH(25,'Tablero (To Do · Doing · Done)'!$T$6:$T$266,0)),"")</f>
        <v/>
      </c>
      <c r="H30" s="21">
        <f>IFERROR(INDEX('Tablero (To Do · Doing · Done)'!$B$6:$B$266,MATCH(25,'Tablero (To Do · Doing · Done)'!$U$6:$U$266,0)),"")</f>
        <v/>
      </c>
      <c r="I30" s="21">
        <f>IFERROR(INDEX('Tablero (To Do · Doing · Done)'!$F$6:$F$266,MATCH(25,'Tablero (To Do · Doing · Done)'!$U$6:$U$266,0))&amp;" · "&amp;INDEX('Tablero (To Do · Doing · Done)'!$G$6:$G$266,MATCH(25,'Tablero (To Do · Doing · Done)'!$U$6:$U$266,0)),"")</f>
        <v/>
      </c>
    </row>
    <row r="31">
      <c r="B31" s="21">
        <f>IFERROR(INDEX('Tablero (To Do · Doing · Done)'!$B$6:$B$266,MATCH(26,'Tablero (To Do · Doing · Done)'!$S$6:$S$266,0)),"")</f>
        <v/>
      </c>
      <c r="C31" s="21">
        <f>IFERROR(INDEX('Tablero (To Do · Doing · Done)'!$F$6:$F$266,MATCH(26,'Tablero (To Do · Doing · Done)'!$S$6:$S$266,0))&amp;" · "&amp;INDEX('Tablero (To Do · Doing · Done)'!$G$6:$G$266,MATCH(26,'Tablero (To Do · Doing · Done)'!$S$6:$S$266,0)),"")</f>
        <v/>
      </c>
      <c r="E31" s="21">
        <f>IFERROR(INDEX('Tablero (To Do · Doing · Done)'!$B$6:$B$266,MATCH(26,'Tablero (To Do · Doing · Done)'!$T$6:$T$266,0)),"")</f>
        <v/>
      </c>
      <c r="F31" s="21">
        <f>IFERROR(INDEX('Tablero (To Do · Doing · Done)'!$F$6:$F$266,MATCH(26,'Tablero (To Do · Doing · Done)'!$T$6:$T$266,0))&amp;" · "&amp;INDEX('Tablero (To Do · Doing · Done)'!$G$6:$G$266,MATCH(26,'Tablero (To Do · Doing · Done)'!$T$6:$T$266,0)),"")</f>
        <v/>
      </c>
      <c r="H31" s="21">
        <f>IFERROR(INDEX('Tablero (To Do · Doing · Done)'!$B$6:$B$266,MATCH(26,'Tablero (To Do · Doing · Done)'!$U$6:$U$266,0)),"")</f>
        <v/>
      </c>
      <c r="I31" s="21">
        <f>IFERROR(INDEX('Tablero (To Do · Doing · Done)'!$F$6:$F$266,MATCH(26,'Tablero (To Do · Doing · Done)'!$U$6:$U$266,0))&amp;" · "&amp;INDEX('Tablero (To Do · Doing · Done)'!$G$6:$G$266,MATCH(26,'Tablero (To Do · Doing · Done)'!$U$6:$U$266,0)),"")</f>
        <v/>
      </c>
    </row>
    <row r="32">
      <c r="B32" s="21">
        <f>IFERROR(INDEX('Tablero (To Do · Doing · Done)'!$B$6:$B$266,MATCH(27,'Tablero (To Do · Doing · Done)'!$S$6:$S$266,0)),"")</f>
        <v/>
      </c>
      <c r="C32" s="21">
        <f>IFERROR(INDEX('Tablero (To Do · Doing · Done)'!$F$6:$F$266,MATCH(27,'Tablero (To Do · Doing · Done)'!$S$6:$S$266,0))&amp;" · "&amp;INDEX('Tablero (To Do · Doing · Done)'!$G$6:$G$266,MATCH(27,'Tablero (To Do · Doing · Done)'!$S$6:$S$266,0)),"")</f>
        <v/>
      </c>
      <c r="E32" s="21">
        <f>IFERROR(INDEX('Tablero (To Do · Doing · Done)'!$B$6:$B$266,MATCH(27,'Tablero (To Do · Doing · Done)'!$T$6:$T$266,0)),"")</f>
        <v/>
      </c>
      <c r="F32" s="21">
        <f>IFERROR(INDEX('Tablero (To Do · Doing · Done)'!$F$6:$F$266,MATCH(27,'Tablero (To Do · Doing · Done)'!$T$6:$T$266,0))&amp;" · "&amp;INDEX('Tablero (To Do · Doing · Done)'!$G$6:$G$266,MATCH(27,'Tablero (To Do · Doing · Done)'!$T$6:$T$266,0)),"")</f>
        <v/>
      </c>
      <c r="H32" s="21">
        <f>IFERROR(INDEX('Tablero (To Do · Doing · Done)'!$B$6:$B$266,MATCH(27,'Tablero (To Do · Doing · Done)'!$U$6:$U$266,0)),"")</f>
        <v/>
      </c>
      <c r="I32" s="21">
        <f>IFERROR(INDEX('Tablero (To Do · Doing · Done)'!$F$6:$F$266,MATCH(27,'Tablero (To Do · Doing · Done)'!$U$6:$U$266,0))&amp;" · "&amp;INDEX('Tablero (To Do · Doing · Done)'!$G$6:$G$266,MATCH(27,'Tablero (To Do · Doing · Done)'!$U$6:$U$266,0)),"")</f>
        <v/>
      </c>
    </row>
    <row r="33">
      <c r="B33" s="21">
        <f>IFERROR(INDEX('Tablero (To Do · Doing · Done)'!$B$6:$B$266,MATCH(28,'Tablero (To Do · Doing · Done)'!$S$6:$S$266,0)),"")</f>
        <v/>
      </c>
      <c r="C33" s="21">
        <f>IFERROR(INDEX('Tablero (To Do · Doing · Done)'!$F$6:$F$266,MATCH(28,'Tablero (To Do · Doing · Done)'!$S$6:$S$266,0))&amp;" · "&amp;INDEX('Tablero (To Do · Doing · Done)'!$G$6:$G$266,MATCH(28,'Tablero (To Do · Doing · Done)'!$S$6:$S$266,0)),"")</f>
        <v/>
      </c>
      <c r="E33" s="21">
        <f>IFERROR(INDEX('Tablero (To Do · Doing · Done)'!$B$6:$B$266,MATCH(28,'Tablero (To Do · Doing · Done)'!$T$6:$T$266,0)),"")</f>
        <v/>
      </c>
      <c r="F33" s="21">
        <f>IFERROR(INDEX('Tablero (To Do · Doing · Done)'!$F$6:$F$266,MATCH(28,'Tablero (To Do · Doing · Done)'!$T$6:$T$266,0))&amp;" · "&amp;INDEX('Tablero (To Do · Doing · Done)'!$G$6:$G$266,MATCH(28,'Tablero (To Do · Doing · Done)'!$T$6:$T$266,0)),"")</f>
        <v/>
      </c>
      <c r="H33" s="21">
        <f>IFERROR(INDEX('Tablero (To Do · Doing · Done)'!$B$6:$B$266,MATCH(28,'Tablero (To Do · Doing · Done)'!$U$6:$U$266,0)),"")</f>
        <v/>
      </c>
      <c r="I33" s="21">
        <f>IFERROR(INDEX('Tablero (To Do · Doing · Done)'!$F$6:$F$266,MATCH(28,'Tablero (To Do · Doing · Done)'!$U$6:$U$266,0))&amp;" · "&amp;INDEX('Tablero (To Do · Doing · Done)'!$G$6:$G$266,MATCH(28,'Tablero (To Do · Doing · Done)'!$U$6:$U$266,0)),"")</f>
        <v/>
      </c>
    </row>
    <row r="34">
      <c r="B34" s="21">
        <f>IFERROR(INDEX('Tablero (To Do · Doing · Done)'!$B$6:$B$266,MATCH(29,'Tablero (To Do · Doing · Done)'!$S$6:$S$266,0)),"")</f>
        <v/>
      </c>
      <c r="C34" s="21">
        <f>IFERROR(INDEX('Tablero (To Do · Doing · Done)'!$F$6:$F$266,MATCH(29,'Tablero (To Do · Doing · Done)'!$S$6:$S$266,0))&amp;" · "&amp;INDEX('Tablero (To Do · Doing · Done)'!$G$6:$G$266,MATCH(29,'Tablero (To Do · Doing · Done)'!$S$6:$S$266,0)),"")</f>
        <v/>
      </c>
      <c r="E34" s="21">
        <f>IFERROR(INDEX('Tablero (To Do · Doing · Done)'!$B$6:$B$266,MATCH(29,'Tablero (To Do · Doing · Done)'!$T$6:$T$266,0)),"")</f>
        <v/>
      </c>
      <c r="F34" s="21">
        <f>IFERROR(INDEX('Tablero (To Do · Doing · Done)'!$F$6:$F$266,MATCH(29,'Tablero (To Do · Doing · Done)'!$T$6:$T$266,0))&amp;" · "&amp;INDEX('Tablero (To Do · Doing · Done)'!$G$6:$G$266,MATCH(29,'Tablero (To Do · Doing · Done)'!$T$6:$T$266,0)),"")</f>
        <v/>
      </c>
      <c r="H34" s="21">
        <f>IFERROR(INDEX('Tablero (To Do · Doing · Done)'!$B$6:$B$266,MATCH(29,'Tablero (To Do · Doing · Done)'!$U$6:$U$266,0)),"")</f>
        <v/>
      </c>
      <c r="I34" s="21">
        <f>IFERROR(INDEX('Tablero (To Do · Doing · Done)'!$F$6:$F$266,MATCH(29,'Tablero (To Do · Doing · Done)'!$U$6:$U$266,0))&amp;" · "&amp;INDEX('Tablero (To Do · Doing · Done)'!$G$6:$G$266,MATCH(29,'Tablero (To Do · Doing · Done)'!$U$6:$U$266,0)),"")</f>
        <v/>
      </c>
    </row>
    <row r="35">
      <c r="B35" s="21">
        <f>IFERROR(INDEX('Tablero (To Do · Doing · Done)'!$B$6:$B$266,MATCH(30,'Tablero (To Do · Doing · Done)'!$S$6:$S$266,0)),"")</f>
        <v/>
      </c>
      <c r="C35" s="21">
        <f>IFERROR(INDEX('Tablero (To Do · Doing · Done)'!$F$6:$F$266,MATCH(30,'Tablero (To Do · Doing · Done)'!$S$6:$S$266,0))&amp;" · "&amp;INDEX('Tablero (To Do · Doing · Done)'!$G$6:$G$266,MATCH(30,'Tablero (To Do · Doing · Done)'!$S$6:$S$266,0)),"")</f>
        <v/>
      </c>
      <c r="E35" s="21">
        <f>IFERROR(INDEX('Tablero (To Do · Doing · Done)'!$B$6:$B$266,MATCH(30,'Tablero (To Do · Doing · Done)'!$T$6:$T$266,0)),"")</f>
        <v/>
      </c>
      <c r="F35" s="21">
        <f>IFERROR(INDEX('Tablero (To Do · Doing · Done)'!$F$6:$F$266,MATCH(30,'Tablero (To Do · Doing · Done)'!$T$6:$T$266,0))&amp;" · "&amp;INDEX('Tablero (To Do · Doing · Done)'!$G$6:$G$266,MATCH(30,'Tablero (To Do · Doing · Done)'!$T$6:$T$266,0)),"")</f>
        <v/>
      </c>
      <c r="H35" s="21">
        <f>IFERROR(INDEX('Tablero (To Do · Doing · Done)'!$B$6:$B$266,MATCH(30,'Tablero (To Do · Doing · Done)'!$U$6:$U$266,0)),"")</f>
        <v/>
      </c>
      <c r="I35" s="21">
        <f>IFERROR(INDEX('Tablero (To Do · Doing · Done)'!$F$6:$F$266,MATCH(30,'Tablero (To Do · Doing · Done)'!$U$6:$U$266,0))&amp;" · "&amp;INDEX('Tablero (To Do · Doing · Done)'!$G$6:$G$266,MATCH(30,'Tablero (To Do · Doing · Done)'!$U$6:$U$266,0)),"")</f>
        <v/>
      </c>
    </row>
    <row r="36">
      <c r="B36" s="21">
        <f>IFERROR(INDEX('Tablero (To Do · Doing · Done)'!$B$6:$B$266,MATCH(31,'Tablero (To Do · Doing · Done)'!$S$6:$S$266,0)),"")</f>
        <v/>
      </c>
      <c r="C36" s="21">
        <f>IFERROR(INDEX('Tablero (To Do · Doing · Done)'!$F$6:$F$266,MATCH(31,'Tablero (To Do · Doing · Done)'!$S$6:$S$266,0))&amp;" · "&amp;INDEX('Tablero (To Do · Doing · Done)'!$G$6:$G$266,MATCH(31,'Tablero (To Do · Doing · Done)'!$S$6:$S$266,0)),"")</f>
        <v/>
      </c>
      <c r="E36" s="21">
        <f>IFERROR(INDEX('Tablero (To Do · Doing · Done)'!$B$6:$B$266,MATCH(31,'Tablero (To Do · Doing · Done)'!$T$6:$T$266,0)),"")</f>
        <v/>
      </c>
      <c r="F36" s="21">
        <f>IFERROR(INDEX('Tablero (To Do · Doing · Done)'!$F$6:$F$266,MATCH(31,'Tablero (To Do · Doing · Done)'!$T$6:$T$266,0))&amp;" · "&amp;INDEX('Tablero (To Do · Doing · Done)'!$G$6:$G$266,MATCH(31,'Tablero (To Do · Doing · Done)'!$T$6:$T$266,0)),"")</f>
        <v/>
      </c>
      <c r="H36" s="21">
        <f>IFERROR(INDEX('Tablero (To Do · Doing · Done)'!$B$6:$B$266,MATCH(31,'Tablero (To Do · Doing · Done)'!$U$6:$U$266,0)),"")</f>
        <v/>
      </c>
      <c r="I36" s="21">
        <f>IFERROR(INDEX('Tablero (To Do · Doing · Done)'!$F$6:$F$266,MATCH(31,'Tablero (To Do · Doing · Done)'!$U$6:$U$266,0))&amp;" · "&amp;INDEX('Tablero (To Do · Doing · Done)'!$G$6:$G$266,MATCH(31,'Tablero (To Do · Doing · Done)'!$U$6:$U$266,0)),"")</f>
        <v/>
      </c>
    </row>
    <row r="37">
      <c r="B37" s="21">
        <f>IFERROR(INDEX('Tablero (To Do · Doing · Done)'!$B$6:$B$266,MATCH(32,'Tablero (To Do · Doing · Done)'!$S$6:$S$266,0)),"")</f>
        <v/>
      </c>
      <c r="C37" s="21">
        <f>IFERROR(INDEX('Tablero (To Do · Doing · Done)'!$F$6:$F$266,MATCH(32,'Tablero (To Do · Doing · Done)'!$S$6:$S$266,0))&amp;" · "&amp;INDEX('Tablero (To Do · Doing · Done)'!$G$6:$G$266,MATCH(32,'Tablero (To Do · Doing · Done)'!$S$6:$S$266,0)),"")</f>
        <v/>
      </c>
      <c r="E37" s="21">
        <f>IFERROR(INDEX('Tablero (To Do · Doing · Done)'!$B$6:$B$266,MATCH(32,'Tablero (To Do · Doing · Done)'!$T$6:$T$266,0)),"")</f>
        <v/>
      </c>
      <c r="F37" s="21">
        <f>IFERROR(INDEX('Tablero (To Do · Doing · Done)'!$F$6:$F$266,MATCH(32,'Tablero (To Do · Doing · Done)'!$T$6:$T$266,0))&amp;" · "&amp;INDEX('Tablero (To Do · Doing · Done)'!$G$6:$G$266,MATCH(32,'Tablero (To Do · Doing · Done)'!$T$6:$T$266,0)),"")</f>
        <v/>
      </c>
      <c r="H37" s="21">
        <f>IFERROR(INDEX('Tablero (To Do · Doing · Done)'!$B$6:$B$266,MATCH(32,'Tablero (To Do · Doing · Done)'!$U$6:$U$266,0)),"")</f>
        <v/>
      </c>
      <c r="I37" s="21">
        <f>IFERROR(INDEX('Tablero (To Do · Doing · Done)'!$F$6:$F$266,MATCH(32,'Tablero (To Do · Doing · Done)'!$U$6:$U$266,0))&amp;" · "&amp;INDEX('Tablero (To Do · Doing · Done)'!$G$6:$G$266,MATCH(32,'Tablero (To Do · Doing · Done)'!$U$6:$U$266,0)),"")</f>
        <v/>
      </c>
    </row>
    <row r="38">
      <c r="B38" s="21">
        <f>IFERROR(INDEX('Tablero (To Do · Doing · Done)'!$B$6:$B$266,MATCH(33,'Tablero (To Do · Doing · Done)'!$S$6:$S$266,0)),"")</f>
        <v/>
      </c>
      <c r="C38" s="21">
        <f>IFERROR(INDEX('Tablero (To Do · Doing · Done)'!$F$6:$F$266,MATCH(33,'Tablero (To Do · Doing · Done)'!$S$6:$S$266,0))&amp;" · "&amp;INDEX('Tablero (To Do · Doing · Done)'!$G$6:$G$266,MATCH(33,'Tablero (To Do · Doing · Done)'!$S$6:$S$266,0)),"")</f>
        <v/>
      </c>
      <c r="E38" s="21">
        <f>IFERROR(INDEX('Tablero (To Do · Doing · Done)'!$B$6:$B$266,MATCH(33,'Tablero (To Do · Doing · Done)'!$T$6:$T$266,0)),"")</f>
        <v/>
      </c>
      <c r="F38" s="21">
        <f>IFERROR(INDEX('Tablero (To Do · Doing · Done)'!$F$6:$F$266,MATCH(33,'Tablero (To Do · Doing · Done)'!$T$6:$T$266,0))&amp;" · "&amp;INDEX('Tablero (To Do · Doing · Done)'!$G$6:$G$266,MATCH(33,'Tablero (To Do · Doing · Done)'!$T$6:$T$266,0)),"")</f>
        <v/>
      </c>
      <c r="H38" s="21">
        <f>IFERROR(INDEX('Tablero (To Do · Doing · Done)'!$B$6:$B$266,MATCH(33,'Tablero (To Do · Doing · Done)'!$U$6:$U$266,0)),"")</f>
        <v/>
      </c>
      <c r="I38" s="21">
        <f>IFERROR(INDEX('Tablero (To Do · Doing · Done)'!$F$6:$F$266,MATCH(33,'Tablero (To Do · Doing · Done)'!$U$6:$U$266,0))&amp;" · "&amp;INDEX('Tablero (To Do · Doing · Done)'!$G$6:$G$266,MATCH(33,'Tablero (To Do · Doing · Done)'!$U$6:$U$266,0)),"")</f>
        <v/>
      </c>
    </row>
    <row r="39">
      <c r="B39" s="21">
        <f>IFERROR(INDEX('Tablero (To Do · Doing · Done)'!$B$6:$B$266,MATCH(34,'Tablero (To Do · Doing · Done)'!$S$6:$S$266,0)),"")</f>
        <v/>
      </c>
      <c r="C39" s="21">
        <f>IFERROR(INDEX('Tablero (To Do · Doing · Done)'!$F$6:$F$266,MATCH(34,'Tablero (To Do · Doing · Done)'!$S$6:$S$266,0))&amp;" · "&amp;INDEX('Tablero (To Do · Doing · Done)'!$G$6:$G$266,MATCH(34,'Tablero (To Do · Doing · Done)'!$S$6:$S$266,0)),"")</f>
        <v/>
      </c>
      <c r="E39" s="21">
        <f>IFERROR(INDEX('Tablero (To Do · Doing · Done)'!$B$6:$B$266,MATCH(34,'Tablero (To Do · Doing · Done)'!$T$6:$T$266,0)),"")</f>
        <v/>
      </c>
      <c r="F39" s="21">
        <f>IFERROR(INDEX('Tablero (To Do · Doing · Done)'!$F$6:$F$266,MATCH(34,'Tablero (To Do · Doing · Done)'!$T$6:$T$266,0))&amp;" · "&amp;INDEX('Tablero (To Do · Doing · Done)'!$G$6:$G$266,MATCH(34,'Tablero (To Do · Doing · Done)'!$T$6:$T$266,0)),"")</f>
        <v/>
      </c>
      <c r="H39" s="21">
        <f>IFERROR(INDEX('Tablero (To Do · Doing · Done)'!$B$6:$B$266,MATCH(34,'Tablero (To Do · Doing · Done)'!$U$6:$U$266,0)),"")</f>
        <v/>
      </c>
      <c r="I39" s="21">
        <f>IFERROR(INDEX('Tablero (To Do · Doing · Done)'!$F$6:$F$266,MATCH(34,'Tablero (To Do · Doing · Done)'!$U$6:$U$266,0))&amp;" · "&amp;INDEX('Tablero (To Do · Doing · Done)'!$G$6:$G$266,MATCH(34,'Tablero (To Do · Doing · Done)'!$U$6:$U$266,0)),"")</f>
        <v/>
      </c>
    </row>
    <row r="40">
      <c r="B40" s="21">
        <f>IFERROR(INDEX('Tablero (To Do · Doing · Done)'!$B$6:$B$266,MATCH(35,'Tablero (To Do · Doing · Done)'!$S$6:$S$266,0)),"")</f>
        <v/>
      </c>
      <c r="C40" s="21">
        <f>IFERROR(INDEX('Tablero (To Do · Doing · Done)'!$F$6:$F$266,MATCH(35,'Tablero (To Do · Doing · Done)'!$S$6:$S$266,0))&amp;" · "&amp;INDEX('Tablero (To Do · Doing · Done)'!$G$6:$G$266,MATCH(35,'Tablero (To Do · Doing · Done)'!$S$6:$S$266,0)),"")</f>
        <v/>
      </c>
      <c r="E40" s="21">
        <f>IFERROR(INDEX('Tablero (To Do · Doing · Done)'!$B$6:$B$266,MATCH(35,'Tablero (To Do · Doing · Done)'!$T$6:$T$266,0)),"")</f>
        <v/>
      </c>
      <c r="F40" s="21">
        <f>IFERROR(INDEX('Tablero (To Do · Doing · Done)'!$F$6:$F$266,MATCH(35,'Tablero (To Do · Doing · Done)'!$T$6:$T$266,0))&amp;" · "&amp;INDEX('Tablero (To Do · Doing · Done)'!$G$6:$G$266,MATCH(35,'Tablero (To Do · Doing · Done)'!$T$6:$T$266,0)),"")</f>
        <v/>
      </c>
      <c r="H40" s="21">
        <f>IFERROR(INDEX('Tablero (To Do · Doing · Done)'!$B$6:$B$266,MATCH(35,'Tablero (To Do · Doing · Done)'!$U$6:$U$266,0)),"")</f>
        <v/>
      </c>
      <c r="I40" s="21">
        <f>IFERROR(INDEX('Tablero (To Do · Doing · Done)'!$F$6:$F$266,MATCH(35,'Tablero (To Do · Doing · Done)'!$U$6:$U$266,0))&amp;" · "&amp;INDEX('Tablero (To Do · Doing · Done)'!$G$6:$G$266,MATCH(35,'Tablero (To Do · Doing · Done)'!$U$6:$U$266,0)),"")</f>
        <v/>
      </c>
    </row>
    <row r="41">
      <c r="B41" s="21">
        <f>IFERROR(INDEX('Tablero (To Do · Doing · Done)'!$B$6:$B$266,MATCH(36,'Tablero (To Do · Doing · Done)'!$S$6:$S$266,0)),"")</f>
        <v/>
      </c>
      <c r="C41" s="21">
        <f>IFERROR(INDEX('Tablero (To Do · Doing · Done)'!$F$6:$F$266,MATCH(36,'Tablero (To Do · Doing · Done)'!$S$6:$S$266,0))&amp;" · "&amp;INDEX('Tablero (To Do · Doing · Done)'!$G$6:$G$266,MATCH(36,'Tablero (To Do · Doing · Done)'!$S$6:$S$266,0)),"")</f>
        <v/>
      </c>
      <c r="E41" s="21">
        <f>IFERROR(INDEX('Tablero (To Do · Doing · Done)'!$B$6:$B$266,MATCH(36,'Tablero (To Do · Doing · Done)'!$T$6:$T$266,0)),"")</f>
        <v/>
      </c>
      <c r="F41" s="21">
        <f>IFERROR(INDEX('Tablero (To Do · Doing · Done)'!$F$6:$F$266,MATCH(36,'Tablero (To Do · Doing · Done)'!$T$6:$T$266,0))&amp;" · "&amp;INDEX('Tablero (To Do · Doing · Done)'!$G$6:$G$266,MATCH(36,'Tablero (To Do · Doing · Done)'!$T$6:$T$266,0)),"")</f>
        <v/>
      </c>
      <c r="H41" s="21">
        <f>IFERROR(INDEX('Tablero (To Do · Doing · Done)'!$B$6:$B$266,MATCH(36,'Tablero (To Do · Doing · Done)'!$U$6:$U$266,0)),"")</f>
        <v/>
      </c>
      <c r="I41" s="21">
        <f>IFERROR(INDEX('Tablero (To Do · Doing · Done)'!$F$6:$F$266,MATCH(36,'Tablero (To Do · Doing · Done)'!$U$6:$U$266,0))&amp;" · "&amp;INDEX('Tablero (To Do · Doing · Done)'!$G$6:$G$266,MATCH(36,'Tablero (To Do · Doing · Done)'!$U$6:$U$266,0)),"")</f>
        <v/>
      </c>
    </row>
    <row r="42">
      <c r="B42" s="21">
        <f>IFERROR(INDEX('Tablero (To Do · Doing · Done)'!$B$6:$B$266,MATCH(37,'Tablero (To Do · Doing · Done)'!$S$6:$S$266,0)),"")</f>
        <v/>
      </c>
      <c r="C42" s="21">
        <f>IFERROR(INDEX('Tablero (To Do · Doing · Done)'!$F$6:$F$266,MATCH(37,'Tablero (To Do · Doing · Done)'!$S$6:$S$266,0))&amp;" · "&amp;INDEX('Tablero (To Do · Doing · Done)'!$G$6:$G$266,MATCH(37,'Tablero (To Do · Doing · Done)'!$S$6:$S$266,0)),"")</f>
        <v/>
      </c>
      <c r="E42" s="21">
        <f>IFERROR(INDEX('Tablero (To Do · Doing · Done)'!$B$6:$B$266,MATCH(37,'Tablero (To Do · Doing · Done)'!$T$6:$T$266,0)),"")</f>
        <v/>
      </c>
      <c r="F42" s="21">
        <f>IFERROR(INDEX('Tablero (To Do · Doing · Done)'!$F$6:$F$266,MATCH(37,'Tablero (To Do · Doing · Done)'!$T$6:$T$266,0))&amp;" · "&amp;INDEX('Tablero (To Do · Doing · Done)'!$G$6:$G$266,MATCH(37,'Tablero (To Do · Doing · Done)'!$T$6:$T$266,0)),"")</f>
        <v/>
      </c>
      <c r="H42" s="21">
        <f>IFERROR(INDEX('Tablero (To Do · Doing · Done)'!$B$6:$B$266,MATCH(37,'Tablero (To Do · Doing · Done)'!$U$6:$U$266,0)),"")</f>
        <v/>
      </c>
      <c r="I42" s="21">
        <f>IFERROR(INDEX('Tablero (To Do · Doing · Done)'!$F$6:$F$266,MATCH(37,'Tablero (To Do · Doing · Done)'!$U$6:$U$266,0))&amp;" · "&amp;INDEX('Tablero (To Do · Doing · Done)'!$G$6:$G$266,MATCH(37,'Tablero (To Do · Doing · Done)'!$U$6:$U$266,0)),"")</f>
        <v/>
      </c>
    </row>
    <row r="43">
      <c r="B43" s="21">
        <f>IFERROR(INDEX('Tablero (To Do · Doing · Done)'!$B$6:$B$266,MATCH(38,'Tablero (To Do · Doing · Done)'!$S$6:$S$266,0)),"")</f>
        <v/>
      </c>
      <c r="C43" s="21">
        <f>IFERROR(INDEX('Tablero (To Do · Doing · Done)'!$F$6:$F$266,MATCH(38,'Tablero (To Do · Doing · Done)'!$S$6:$S$266,0))&amp;" · "&amp;INDEX('Tablero (To Do · Doing · Done)'!$G$6:$G$266,MATCH(38,'Tablero (To Do · Doing · Done)'!$S$6:$S$266,0)),"")</f>
        <v/>
      </c>
      <c r="E43" s="21">
        <f>IFERROR(INDEX('Tablero (To Do · Doing · Done)'!$B$6:$B$266,MATCH(38,'Tablero (To Do · Doing · Done)'!$T$6:$T$266,0)),"")</f>
        <v/>
      </c>
      <c r="F43" s="21">
        <f>IFERROR(INDEX('Tablero (To Do · Doing · Done)'!$F$6:$F$266,MATCH(38,'Tablero (To Do · Doing · Done)'!$T$6:$T$266,0))&amp;" · "&amp;INDEX('Tablero (To Do · Doing · Done)'!$G$6:$G$266,MATCH(38,'Tablero (To Do · Doing · Done)'!$T$6:$T$266,0)),"")</f>
        <v/>
      </c>
      <c r="H43" s="21">
        <f>IFERROR(INDEX('Tablero (To Do · Doing · Done)'!$B$6:$B$266,MATCH(38,'Tablero (To Do · Doing · Done)'!$U$6:$U$266,0)),"")</f>
        <v/>
      </c>
      <c r="I43" s="21">
        <f>IFERROR(INDEX('Tablero (To Do · Doing · Done)'!$F$6:$F$266,MATCH(38,'Tablero (To Do · Doing · Done)'!$U$6:$U$266,0))&amp;" · "&amp;INDEX('Tablero (To Do · Doing · Done)'!$G$6:$G$266,MATCH(38,'Tablero (To Do · Doing · Done)'!$U$6:$U$266,0)),"")</f>
        <v/>
      </c>
    </row>
    <row r="44">
      <c r="B44" s="21">
        <f>IFERROR(INDEX('Tablero (To Do · Doing · Done)'!$B$6:$B$266,MATCH(39,'Tablero (To Do · Doing · Done)'!$S$6:$S$266,0)),"")</f>
        <v/>
      </c>
      <c r="C44" s="21">
        <f>IFERROR(INDEX('Tablero (To Do · Doing · Done)'!$F$6:$F$266,MATCH(39,'Tablero (To Do · Doing · Done)'!$S$6:$S$266,0))&amp;" · "&amp;INDEX('Tablero (To Do · Doing · Done)'!$G$6:$G$266,MATCH(39,'Tablero (To Do · Doing · Done)'!$S$6:$S$266,0)),"")</f>
        <v/>
      </c>
      <c r="E44" s="21">
        <f>IFERROR(INDEX('Tablero (To Do · Doing · Done)'!$B$6:$B$266,MATCH(39,'Tablero (To Do · Doing · Done)'!$T$6:$T$266,0)),"")</f>
        <v/>
      </c>
      <c r="F44" s="21">
        <f>IFERROR(INDEX('Tablero (To Do · Doing · Done)'!$F$6:$F$266,MATCH(39,'Tablero (To Do · Doing · Done)'!$T$6:$T$266,0))&amp;" · "&amp;INDEX('Tablero (To Do · Doing · Done)'!$G$6:$G$266,MATCH(39,'Tablero (To Do · Doing · Done)'!$T$6:$T$266,0)),"")</f>
        <v/>
      </c>
      <c r="H44" s="21">
        <f>IFERROR(INDEX('Tablero (To Do · Doing · Done)'!$B$6:$B$266,MATCH(39,'Tablero (To Do · Doing · Done)'!$U$6:$U$266,0)),"")</f>
        <v/>
      </c>
      <c r="I44" s="21">
        <f>IFERROR(INDEX('Tablero (To Do · Doing · Done)'!$F$6:$F$266,MATCH(39,'Tablero (To Do · Doing · Done)'!$U$6:$U$266,0))&amp;" · "&amp;INDEX('Tablero (To Do · Doing · Done)'!$G$6:$G$266,MATCH(39,'Tablero (To Do · Doing · Done)'!$U$6:$U$266,0)),"")</f>
        <v/>
      </c>
    </row>
    <row r="45">
      <c r="B45" s="21">
        <f>IFERROR(INDEX('Tablero (To Do · Doing · Done)'!$B$6:$B$266,MATCH(40,'Tablero (To Do · Doing · Done)'!$S$6:$S$266,0)),"")</f>
        <v/>
      </c>
      <c r="C45" s="21">
        <f>IFERROR(INDEX('Tablero (To Do · Doing · Done)'!$F$6:$F$266,MATCH(40,'Tablero (To Do · Doing · Done)'!$S$6:$S$266,0))&amp;" · "&amp;INDEX('Tablero (To Do · Doing · Done)'!$G$6:$G$266,MATCH(40,'Tablero (To Do · Doing · Done)'!$S$6:$S$266,0)),"")</f>
        <v/>
      </c>
      <c r="E45" s="21">
        <f>IFERROR(INDEX('Tablero (To Do · Doing · Done)'!$B$6:$B$266,MATCH(40,'Tablero (To Do · Doing · Done)'!$T$6:$T$266,0)),"")</f>
        <v/>
      </c>
      <c r="F45" s="21">
        <f>IFERROR(INDEX('Tablero (To Do · Doing · Done)'!$F$6:$F$266,MATCH(40,'Tablero (To Do · Doing · Done)'!$T$6:$T$266,0))&amp;" · "&amp;INDEX('Tablero (To Do · Doing · Done)'!$G$6:$G$266,MATCH(40,'Tablero (To Do · Doing · Done)'!$T$6:$T$266,0)),"")</f>
        <v/>
      </c>
      <c r="H45" s="21">
        <f>IFERROR(INDEX('Tablero (To Do · Doing · Done)'!$B$6:$B$266,MATCH(40,'Tablero (To Do · Doing · Done)'!$U$6:$U$266,0)),"")</f>
        <v/>
      </c>
      <c r="I45" s="21">
        <f>IFERROR(INDEX('Tablero (To Do · Doing · Done)'!$F$6:$F$266,MATCH(40,'Tablero (To Do · Doing · Done)'!$U$6:$U$266,0))&amp;" · "&amp;INDEX('Tablero (To Do · Doing · Done)'!$G$6:$G$266,MATCH(40,'Tablero (To Do · Doing · Done)'!$U$6:$U$266,0)),"")</f>
        <v/>
      </c>
    </row>
    <row r="46">
      <c r="B46" s="21">
        <f>IFERROR(INDEX('Tablero (To Do · Doing · Done)'!$B$6:$B$266,MATCH(41,'Tablero (To Do · Doing · Done)'!$S$6:$S$266,0)),"")</f>
        <v/>
      </c>
      <c r="C46" s="21">
        <f>IFERROR(INDEX('Tablero (To Do · Doing · Done)'!$F$6:$F$266,MATCH(41,'Tablero (To Do · Doing · Done)'!$S$6:$S$266,0))&amp;" · "&amp;INDEX('Tablero (To Do · Doing · Done)'!$G$6:$G$266,MATCH(41,'Tablero (To Do · Doing · Done)'!$S$6:$S$266,0)),"")</f>
        <v/>
      </c>
      <c r="E46" s="21">
        <f>IFERROR(INDEX('Tablero (To Do · Doing · Done)'!$B$6:$B$266,MATCH(41,'Tablero (To Do · Doing · Done)'!$T$6:$T$266,0)),"")</f>
        <v/>
      </c>
      <c r="F46" s="21">
        <f>IFERROR(INDEX('Tablero (To Do · Doing · Done)'!$F$6:$F$266,MATCH(41,'Tablero (To Do · Doing · Done)'!$T$6:$T$266,0))&amp;" · "&amp;INDEX('Tablero (To Do · Doing · Done)'!$G$6:$G$266,MATCH(41,'Tablero (To Do · Doing · Done)'!$T$6:$T$266,0)),"")</f>
        <v/>
      </c>
      <c r="H46" s="21">
        <f>IFERROR(INDEX('Tablero (To Do · Doing · Done)'!$B$6:$B$266,MATCH(41,'Tablero (To Do · Doing · Done)'!$U$6:$U$266,0)),"")</f>
        <v/>
      </c>
      <c r="I46" s="21">
        <f>IFERROR(INDEX('Tablero (To Do · Doing · Done)'!$F$6:$F$266,MATCH(41,'Tablero (To Do · Doing · Done)'!$U$6:$U$266,0))&amp;" · "&amp;INDEX('Tablero (To Do · Doing · Done)'!$G$6:$G$266,MATCH(41,'Tablero (To Do · Doing · Done)'!$U$6:$U$266,0)),"")</f>
        <v/>
      </c>
    </row>
    <row r="47">
      <c r="B47" s="21">
        <f>IFERROR(INDEX('Tablero (To Do · Doing · Done)'!$B$6:$B$266,MATCH(42,'Tablero (To Do · Doing · Done)'!$S$6:$S$266,0)),"")</f>
        <v/>
      </c>
      <c r="C47" s="21">
        <f>IFERROR(INDEX('Tablero (To Do · Doing · Done)'!$F$6:$F$266,MATCH(42,'Tablero (To Do · Doing · Done)'!$S$6:$S$266,0))&amp;" · "&amp;INDEX('Tablero (To Do · Doing · Done)'!$G$6:$G$266,MATCH(42,'Tablero (To Do · Doing · Done)'!$S$6:$S$266,0)),"")</f>
        <v/>
      </c>
      <c r="E47" s="21">
        <f>IFERROR(INDEX('Tablero (To Do · Doing · Done)'!$B$6:$B$266,MATCH(42,'Tablero (To Do · Doing · Done)'!$T$6:$T$266,0)),"")</f>
        <v/>
      </c>
      <c r="F47" s="21">
        <f>IFERROR(INDEX('Tablero (To Do · Doing · Done)'!$F$6:$F$266,MATCH(42,'Tablero (To Do · Doing · Done)'!$T$6:$T$266,0))&amp;" · "&amp;INDEX('Tablero (To Do · Doing · Done)'!$G$6:$G$266,MATCH(42,'Tablero (To Do · Doing · Done)'!$T$6:$T$266,0)),"")</f>
        <v/>
      </c>
      <c r="H47" s="21">
        <f>IFERROR(INDEX('Tablero (To Do · Doing · Done)'!$B$6:$B$266,MATCH(42,'Tablero (To Do · Doing · Done)'!$U$6:$U$266,0)),"")</f>
        <v/>
      </c>
      <c r="I47" s="21">
        <f>IFERROR(INDEX('Tablero (To Do · Doing · Done)'!$F$6:$F$266,MATCH(42,'Tablero (To Do · Doing · Done)'!$U$6:$U$266,0))&amp;" · "&amp;INDEX('Tablero (To Do · Doing · Done)'!$G$6:$G$266,MATCH(42,'Tablero (To Do · Doing · Done)'!$U$6:$U$266,0)),"")</f>
        <v/>
      </c>
    </row>
    <row r="48">
      <c r="B48" s="21">
        <f>IFERROR(INDEX('Tablero (To Do · Doing · Done)'!$B$6:$B$266,MATCH(43,'Tablero (To Do · Doing · Done)'!$S$6:$S$266,0)),"")</f>
        <v/>
      </c>
      <c r="C48" s="21">
        <f>IFERROR(INDEX('Tablero (To Do · Doing · Done)'!$F$6:$F$266,MATCH(43,'Tablero (To Do · Doing · Done)'!$S$6:$S$266,0))&amp;" · "&amp;INDEX('Tablero (To Do · Doing · Done)'!$G$6:$G$266,MATCH(43,'Tablero (To Do · Doing · Done)'!$S$6:$S$266,0)),"")</f>
        <v/>
      </c>
      <c r="E48" s="21">
        <f>IFERROR(INDEX('Tablero (To Do · Doing · Done)'!$B$6:$B$266,MATCH(43,'Tablero (To Do · Doing · Done)'!$T$6:$T$266,0)),"")</f>
        <v/>
      </c>
      <c r="F48" s="21">
        <f>IFERROR(INDEX('Tablero (To Do · Doing · Done)'!$F$6:$F$266,MATCH(43,'Tablero (To Do · Doing · Done)'!$T$6:$T$266,0))&amp;" · "&amp;INDEX('Tablero (To Do · Doing · Done)'!$G$6:$G$266,MATCH(43,'Tablero (To Do · Doing · Done)'!$T$6:$T$266,0)),"")</f>
        <v/>
      </c>
      <c r="H48" s="21">
        <f>IFERROR(INDEX('Tablero (To Do · Doing · Done)'!$B$6:$B$266,MATCH(43,'Tablero (To Do · Doing · Done)'!$U$6:$U$266,0)),"")</f>
        <v/>
      </c>
      <c r="I48" s="21">
        <f>IFERROR(INDEX('Tablero (To Do · Doing · Done)'!$F$6:$F$266,MATCH(43,'Tablero (To Do · Doing · Done)'!$U$6:$U$266,0))&amp;" · "&amp;INDEX('Tablero (To Do · Doing · Done)'!$G$6:$G$266,MATCH(43,'Tablero (To Do · Doing · Done)'!$U$6:$U$266,0)),"")</f>
        <v/>
      </c>
    </row>
    <row r="49">
      <c r="B49" s="21">
        <f>IFERROR(INDEX('Tablero (To Do · Doing · Done)'!$B$6:$B$266,MATCH(44,'Tablero (To Do · Doing · Done)'!$S$6:$S$266,0)),"")</f>
        <v/>
      </c>
      <c r="C49" s="21">
        <f>IFERROR(INDEX('Tablero (To Do · Doing · Done)'!$F$6:$F$266,MATCH(44,'Tablero (To Do · Doing · Done)'!$S$6:$S$266,0))&amp;" · "&amp;INDEX('Tablero (To Do · Doing · Done)'!$G$6:$G$266,MATCH(44,'Tablero (To Do · Doing · Done)'!$S$6:$S$266,0)),"")</f>
        <v/>
      </c>
      <c r="E49" s="21">
        <f>IFERROR(INDEX('Tablero (To Do · Doing · Done)'!$B$6:$B$266,MATCH(44,'Tablero (To Do · Doing · Done)'!$T$6:$T$266,0)),"")</f>
        <v/>
      </c>
      <c r="F49" s="21">
        <f>IFERROR(INDEX('Tablero (To Do · Doing · Done)'!$F$6:$F$266,MATCH(44,'Tablero (To Do · Doing · Done)'!$T$6:$T$266,0))&amp;" · "&amp;INDEX('Tablero (To Do · Doing · Done)'!$G$6:$G$266,MATCH(44,'Tablero (To Do · Doing · Done)'!$T$6:$T$266,0)),"")</f>
        <v/>
      </c>
      <c r="H49" s="21">
        <f>IFERROR(INDEX('Tablero (To Do · Doing · Done)'!$B$6:$B$266,MATCH(44,'Tablero (To Do · Doing · Done)'!$U$6:$U$266,0)),"")</f>
        <v/>
      </c>
      <c r="I49" s="21">
        <f>IFERROR(INDEX('Tablero (To Do · Doing · Done)'!$F$6:$F$266,MATCH(44,'Tablero (To Do · Doing · Done)'!$U$6:$U$266,0))&amp;" · "&amp;INDEX('Tablero (To Do · Doing · Done)'!$G$6:$G$266,MATCH(44,'Tablero (To Do · Doing · Done)'!$U$6:$U$266,0)),"")</f>
        <v/>
      </c>
    </row>
    <row r="50">
      <c r="B50" s="21">
        <f>IFERROR(INDEX('Tablero (To Do · Doing · Done)'!$B$6:$B$266,MATCH(45,'Tablero (To Do · Doing · Done)'!$S$6:$S$266,0)),"")</f>
        <v/>
      </c>
      <c r="C50" s="21">
        <f>IFERROR(INDEX('Tablero (To Do · Doing · Done)'!$F$6:$F$266,MATCH(45,'Tablero (To Do · Doing · Done)'!$S$6:$S$266,0))&amp;" · "&amp;INDEX('Tablero (To Do · Doing · Done)'!$G$6:$G$266,MATCH(45,'Tablero (To Do · Doing · Done)'!$S$6:$S$266,0)),"")</f>
        <v/>
      </c>
      <c r="E50" s="21">
        <f>IFERROR(INDEX('Tablero (To Do · Doing · Done)'!$B$6:$B$266,MATCH(45,'Tablero (To Do · Doing · Done)'!$T$6:$T$266,0)),"")</f>
        <v/>
      </c>
      <c r="F50" s="21">
        <f>IFERROR(INDEX('Tablero (To Do · Doing · Done)'!$F$6:$F$266,MATCH(45,'Tablero (To Do · Doing · Done)'!$T$6:$T$266,0))&amp;" · "&amp;INDEX('Tablero (To Do · Doing · Done)'!$G$6:$G$266,MATCH(45,'Tablero (To Do · Doing · Done)'!$T$6:$T$266,0)),"")</f>
        <v/>
      </c>
      <c r="H50" s="21">
        <f>IFERROR(INDEX('Tablero (To Do · Doing · Done)'!$B$6:$B$266,MATCH(45,'Tablero (To Do · Doing · Done)'!$U$6:$U$266,0)),"")</f>
        <v/>
      </c>
      <c r="I50" s="21">
        <f>IFERROR(INDEX('Tablero (To Do · Doing · Done)'!$F$6:$F$266,MATCH(45,'Tablero (To Do · Doing · Done)'!$U$6:$U$266,0))&amp;" · "&amp;INDEX('Tablero (To Do · Doing · Done)'!$G$6:$G$266,MATCH(45,'Tablero (To Do · Doing · Done)'!$U$6:$U$266,0)),"")</f>
        <v/>
      </c>
    </row>
    <row r="51">
      <c r="B51" s="21">
        <f>IFERROR(INDEX('Tablero (To Do · Doing · Done)'!$B$6:$B$266,MATCH(46,'Tablero (To Do · Doing · Done)'!$S$6:$S$266,0)),"")</f>
        <v/>
      </c>
      <c r="C51" s="21">
        <f>IFERROR(INDEX('Tablero (To Do · Doing · Done)'!$F$6:$F$266,MATCH(46,'Tablero (To Do · Doing · Done)'!$S$6:$S$266,0))&amp;" · "&amp;INDEX('Tablero (To Do · Doing · Done)'!$G$6:$G$266,MATCH(46,'Tablero (To Do · Doing · Done)'!$S$6:$S$266,0)),"")</f>
        <v/>
      </c>
      <c r="E51" s="21">
        <f>IFERROR(INDEX('Tablero (To Do · Doing · Done)'!$B$6:$B$266,MATCH(46,'Tablero (To Do · Doing · Done)'!$T$6:$T$266,0)),"")</f>
        <v/>
      </c>
      <c r="F51" s="21">
        <f>IFERROR(INDEX('Tablero (To Do · Doing · Done)'!$F$6:$F$266,MATCH(46,'Tablero (To Do · Doing · Done)'!$T$6:$T$266,0))&amp;" · "&amp;INDEX('Tablero (To Do · Doing · Done)'!$G$6:$G$266,MATCH(46,'Tablero (To Do · Doing · Done)'!$T$6:$T$266,0)),"")</f>
        <v/>
      </c>
      <c r="H51" s="21">
        <f>IFERROR(INDEX('Tablero (To Do · Doing · Done)'!$B$6:$B$266,MATCH(46,'Tablero (To Do · Doing · Done)'!$U$6:$U$266,0)),"")</f>
        <v/>
      </c>
      <c r="I51" s="21">
        <f>IFERROR(INDEX('Tablero (To Do · Doing · Done)'!$F$6:$F$266,MATCH(46,'Tablero (To Do · Doing · Done)'!$U$6:$U$266,0))&amp;" · "&amp;INDEX('Tablero (To Do · Doing · Done)'!$G$6:$G$266,MATCH(46,'Tablero (To Do · Doing · Done)'!$U$6:$U$266,0)),"")</f>
        <v/>
      </c>
    </row>
    <row r="52">
      <c r="B52" s="21">
        <f>IFERROR(INDEX('Tablero (To Do · Doing · Done)'!$B$6:$B$266,MATCH(47,'Tablero (To Do · Doing · Done)'!$S$6:$S$266,0)),"")</f>
        <v/>
      </c>
      <c r="C52" s="21">
        <f>IFERROR(INDEX('Tablero (To Do · Doing · Done)'!$F$6:$F$266,MATCH(47,'Tablero (To Do · Doing · Done)'!$S$6:$S$266,0))&amp;" · "&amp;INDEX('Tablero (To Do · Doing · Done)'!$G$6:$G$266,MATCH(47,'Tablero (To Do · Doing · Done)'!$S$6:$S$266,0)),"")</f>
        <v/>
      </c>
      <c r="E52" s="21">
        <f>IFERROR(INDEX('Tablero (To Do · Doing · Done)'!$B$6:$B$266,MATCH(47,'Tablero (To Do · Doing · Done)'!$T$6:$T$266,0)),"")</f>
        <v/>
      </c>
      <c r="F52" s="21">
        <f>IFERROR(INDEX('Tablero (To Do · Doing · Done)'!$F$6:$F$266,MATCH(47,'Tablero (To Do · Doing · Done)'!$T$6:$T$266,0))&amp;" · "&amp;INDEX('Tablero (To Do · Doing · Done)'!$G$6:$G$266,MATCH(47,'Tablero (To Do · Doing · Done)'!$T$6:$T$266,0)),"")</f>
        <v/>
      </c>
      <c r="H52" s="21">
        <f>IFERROR(INDEX('Tablero (To Do · Doing · Done)'!$B$6:$B$266,MATCH(47,'Tablero (To Do · Doing · Done)'!$U$6:$U$266,0)),"")</f>
        <v/>
      </c>
      <c r="I52" s="21">
        <f>IFERROR(INDEX('Tablero (To Do · Doing · Done)'!$F$6:$F$266,MATCH(47,'Tablero (To Do · Doing · Done)'!$U$6:$U$266,0))&amp;" · "&amp;INDEX('Tablero (To Do · Doing · Done)'!$G$6:$G$266,MATCH(47,'Tablero (To Do · Doing · Done)'!$U$6:$U$266,0)),"")</f>
        <v/>
      </c>
    </row>
    <row r="53">
      <c r="B53" s="21">
        <f>IFERROR(INDEX('Tablero (To Do · Doing · Done)'!$B$6:$B$266,MATCH(48,'Tablero (To Do · Doing · Done)'!$S$6:$S$266,0)),"")</f>
        <v/>
      </c>
      <c r="C53" s="21">
        <f>IFERROR(INDEX('Tablero (To Do · Doing · Done)'!$F$6:$F$266,MATCH(48,'Tablero (To Do · Doing · Done)'!$S$6:$S$266,0))&amp;" · "&amp;INDEX('Tablero (To Do · Doing · Done)'!$G$6:$G$266,MATCH(48,'Tablero (To Do · Doing · Done)'!$S$6:$S$266,0)),"")</f>
        <v/>
      </c>
      <c r="E53" s="21">
        <f>IFERROR(INDEX('Tablero (To Do · Doing · Done)'!$B$6:$B$266,MATCH(48,'Tablero (To Do · Doing · Done)'!$T$6:$T$266,0)),"")</f>
        <v/>
      </c>
      <c r="F53" s="21">
        <f>IFERROR(INDEX('Tablero (To Do · Doing · Done)'!$F$6:$F$266,MATCH(48,'Tablero (To Do · Doing · Done)'!$T$6:$T$266,0))&amp;" · "&amp;INDEX('Tablero (To Do · Doing · Done)'!$G$6:$G$266,MATCH(48,'Tablero (To Do · Doing · Done)'!$T$6:$T$266,0)),"")</f>
        <v/>
      </c>
      <c r="H53" s="21">
        <f>IFERROR(INDEX('Tablero (To Do · Doing · Done)'!$B$6:$B$266,MATCH(48,'Tablero (To Do · Doing · Done)'!$U$6:$U$266,0)),"")</f>
        <v/>
      </c>
      <c r="I53" s="21">
        <f>IFERROR(INDEX('Tablero (To Do · Doing · Done)'!$F$6:$F$266,MATCH(48,'Tablero (To Do · Doing · Done)'!$U$6:$U$266,0))&amp;" · "&amp;INDEX('Tablero (To Do · Doing · Done)'!$G$6:$G$266,MATCH(48,'Tablero (To Do · Doing · Done)'!$U$6:$U$266,0)),"")</f>
        <v/>
      </c>
    </row>
    <row r="54">
      <c r="B54" s="21">
        <f>IFERROR(INDEX('Tablero (To Do · Doing · Done)'!$B$6:$B$266,MATCH(49,'Tablero (To Do · Doing · Done)'!$S$6:$S$266,0)),"")</f>
        <v/>
      </c>
      <c r="C54" s="21">
        <f>IFERROR(INDEX('Tablero (To Do · Doing · Done)'!$F$6:$F$266,MATCH(49,'Tablero (To Do · Doing · Done)'!$S$6:$S$266,0))&amp;" · "&amp;INDEX('Tablero (To Do · Doing · Done)'!$G$6:$G$266,MATCH(49,'Tablero (To Do · Doing · Done)'!$S$6:$S$266,0)),"")</f>
        <v/>
      </c>
      <c r="E54" s="21">
        <f>IFERROR(INDEX('Tablero (To Do · Doing · Done)'!$B$6:$B$266,MATCH(49,'Tablero (To Do · Doing · Done)'!$T$6:$T$266,0)),"")</f>
        <v/>
      </c>
      <c r="F54" s="21">
        <f>IFERROR(INDEX('Tablero (To Do · Doing · Done)'!$F$6:$F$266,MATCH(49,'Tablero (To Do · Doing · Done)'!$T$6:$T$266,0))&amp;" · "&amp;INDEX('Tablero (To Do · Doing · Done)'!$G$6:$G$266,MATCH(49,'Tablero (To Do · Doing · Done)'!$T$6:$T$266,0)),"")</f>
        <v/>
      </c>
      <c r="H54" s="21">
        <f>IFERROR(INDEX('Tablero (To Do · Doing · Done)'!$B$6:$B$266,MATCH(49,'Tablero (To Do · Doing · Done)'!$U$6:$U$266,0)),"")</f>
        <v/>
      </c>
      <c r="I54" s="21">
        <f>IFERROR(INDEX('Tablero (To Do · Doing · Done)'!$F$6:$F$266,MATCH(49,'Tablero (To Do · Doing · Done)'!$U$6:$U$266,0))&amp;" · "&amp;INDEX('Tablero (To Do · Doing · Done)'!$G$6:$G$266,MATCH(49,'Tablero (To Do · Doing · Done)'!$U$6:$U$266,0)),"")</f>
        <v/>
      </c>
    </row>
    <row r="55">
      <c r="B55" s="21">
        <f>IFERROR(INDEX('Tablero (To Do · Doing · Done)'!$B$6:$B$266,MATCH(50,'Tablero (To Do · Doing · Done)'!$S$6:$S$266,0)),"")</f>
        <v/>
      </c>
      <c r="C55" s="21">
        <f>IFERROR(INDEX('Tablero (To Do · Doing · Done)'!$F$6:$F$266,MATCH(50,'Tablero (To Do · Doing · Done)'!$S$6:$S$266,0))&amp;" · "&amp;INDEX('Tablero (To Do · Doing · Done)'!$G$6:$G$266,MATCH(50,'Tablero (To Do · Doing · Done)'!$S$6:$S$266,0)),"")</f>
        <v/>
      </c>
      <c r="E55" s="21">
        <f>IFERROR(INDEX('Tablero (To Do · Doing · Done)'!$B$6:$B$266,MATCH(50,'Tablero (To Do · Doing · Done)'!$T$6:$T$266,0)),"")</f>
        <v/>
      </c>
      <c r="F55" s="21">
        <f>IFERROR(INDEX('Tablero (To Do · Doing · Done)'!$F$6:$F$266,MATCH(50,'Tablero (To Do · Doing · Done)'!$T$6:$T$266,0))&amp;" · "&amp;INDEX('Tablero (To Do · Doing · Done)'!$G$6:$G$266,MATCH(50,'Tablero (To Do · Doing · Done)'!$T$6:$T$266,0)),"")</f>
        <v/>
      </c>
      <c r="H55" s="21">
        <f>IFERROR(INDEX('Tablero (To Do · Doing · Done)'!$B$6:$B$266,MATCH(50,'Tablero (To Do · Doing · Done)'!$U$6:$U$266,0)),"")</f>
        <v/>
      </c>
      <c r="I55" s="21">
        <f>IFERROR(INDEX('Tablero (To Do · Doing · Done)'!$F$6:$F$266,MATCH(50,'Tablero (To Do · Doing · Done)'!$U$6:$U$266,0))&amp;" · "&amp;INDEX('Tablero (To Do · Doing · Done)'!$G$6:$G$266,MATCH(50,'Tablero (To Do · Doing · Done)'!$U$6:$U$266,0)),"")</f>
        <v/>
      </c>
    </row>
    <row r="56">
      <c r="B56" s="21">
        <f>IFERROR(INDEX('Tablero (To Do · Doing · Done)'!$B$6:$B$266,MATCH(51,'Tablero (To Do · Doing · Done)'!$S$6:$S$266,0)),"")</f>
        <v/>
      </c>
      <c r="C56" s="21">
        <f>IFERROR(INDEX('Tablero (To Do · Doing · Done)'!$F$6:$F$266,MATCH(51,'Tablero (To Do · Doing · Done)'!$S$6:$S$266,0))&amp;" · "&amp;INDEX('Tablero (To Do · Doing · Done)'!$G$6:$G$266,MATCH(51,'Tablero (To Do · Doing · Done)'!$S$6:$S$266,0)),"")</f>
        <v/>
      </c>
      <c r="E56" s="21">
        <f>IFERROR(INDEX('Tablero (To Do · Doing · Done)'!$B$6:$B$266,MATCH(51,'Tablero (To Do · Doing · Done)'!$T$6:$T$266,0)),"")</f>
        <v/>
      </c>
      <c r="F56" s="21">
        <f>IFERROR(INDEX('Tablero (To Do · Doing · Done)'!$F$6:$F$266,MATCH(51,'Tablero (To Do · Doing · Done)'!$T$6:$T$266,0))&amp;" · "&amp;INDEX('Tablero (To Do · Doing · Done)'!$G$6:$G$266,MATCH(51,'Tablero (To Do · Doing · Done)'!$T$6:$T$266,0)),"")</f>
        <v/>
      </c>
      <c r="H56" s="21">
        <f>IFERROR(INDEX('Tablero (To Do · Doing · Done)'!$B$6:$B$266,MATCH(51,'Tablero (To Do · Doing · Done)'!$U$6:$U$266,0)),"")</f>
        <v/>
      </c>
      <c r="I56" s="21">
        <f>IFERROR(INDEX('Tablero (To Do · Doing · Done)'!$F$6:$F$266,MATCH(51,'Tablero (To Do · Doing · Done)'!$U$6:$U$266,0))&amp;" · "&amp;INDEX('Tablero (To Do · Doing · Done)'!$G$6:$G$266,MATCH(51,'Tablero (To Do · Doing · Done)'!$U$6:$U$266,0)),"")</f>
        <v/>
      </c>
    </row>
    <row r="57">
      <c r="B57" s="21">
        <f>IFERROR(INDEX('Tablero (To Do · Doing · Done)'!$B$6:$B$266,MATCH(52,'Tablero (To Do · Doing · Done)'!$S$6:$S$266,0)),"")</f>
        <v/>
      </c>
      <c r="C57" s="21">
        <f>IFERROR(INDEX('Tablero (To Do · Doing · Done)'!$F$6:$F$266,MATCH(52,'Tablero (To Do · Doing · Done)'!$S$6:$S$266,0))&amp;" · "&amp;INDEX('Tablero (To Do · Doing · Done)'!$G$6:$G$266,MATCH(52,'Tablero (To Do · Doing · Done)'!$S$6:$S$266,0)),"")</f>
        <v/>
      </c>
      <c r="E57" s="21">
        <f>IFERROR(INDEX('Tablero (To Do · Doing · Done)'!$B$6:$B$266,MATCH(52,'Tablero (To Do · Doing · Done)'!$T$6:$T$266,0)),"")</f>
        <v/>
      </c>
      <c r="F57" s="21">
        <f>IFERROR(INDEX('Tablero (To Do · Doing · Done)'!$F$6:$F$266,MATCH(52,'Tablero (To Do · Doing · Done)'!$T$6:$T$266,0))&amp;" · "&amp;INDEX('Tablero (To Do · Doing · Done)'!$G$6:$G$266,MATCH(52,'Tablero (To Do · Doing · Done)'!$T$6:$T$266,0)),"")</f>
        <v/>
      </c>
      <c r="H57" s="21">
        <f>IFERROR(INDEX('Tablero (To Do · Doing · Done)'!$B$6:$B$266,MATCH(52,'Tablero (To Do · Doing · Done)'!$U$6:$U$266,0)),"")</f>
        <v/>
      </c>
      <c r="I57" s="21">
        <f>IFERROR(INDEX('Tablero (To Do · Doing · Done)'!$F$6:$F$266,MATCH(52,'Tablero (To Do · Doing · Done)'!$U$6:$U$266,0))&amp;" · "&amp;INDEX('Tablero (To Do · Doing · Done)'!$G$6:$G$266,MATCH(52,'Tablero (To Do · Doing · Done)'!$U$6:$U$266,0)),"")</f>
        <v/>
      </c>
    </row>
    <row r="58">
      <c r="B58" s="21">
        <f>IFERROR(INDEX('Tablero (To Do · Doing · Done)'!$B$6:$B$266,MATCH(53,'Tablero (To Do · Doing · Done)'!$S$6:$S$266,0)),"")</f>
        <v/>
      </c>
      <c r="C58" s="21">
        <f>IFERROR(INDEX('Tablero (To Do · Doing · Done)'!$F$6:$F$266,MATCH(53,'Tablero (To Do · Doing · Done)'!$S$6:$S$266,0))&amp;" · "&amp;INDEX('Tablero (To Do · Doing · Done)'!$G$6:$G$266,MATCH(53,'Tablero (To Do · Doing · Done)'!$S$6:$S$266,0)),"")</f>
        <v/>
      </c>
      <c r="E58" s="21">
        <f>IFERROR(INDEX('Tablero (To Do · Doing · Done)'!$B$6:$B$266,MATCH(53,'Tablero (To Do · Doing · Done)'!$T$6:$T$266,0)),"")</f>
        <v/>
      </c>
      <c r="F58" s="21">
        <f>IFERROR(INDEX('Tablero (To Do · Doing · Done)'!$F$6:$F$266,MATCH(53,'Tablero (To Do · Doing · Done)'!$T$6:$T$266,0))&amp;" · "&amp;INDEX('Tablero (To Do · Doing · Done)'!$G$6:$G$266,MATCH(53,'Tablero (To Do · Doing · Done)'!$T$6:$T$266,0)),"")</f>
        <v/>
      </c>
      <c r="H58" s="21">
        <f>IFERROR(INDEX('Tablero (To Do · Doing · Done)'!$B$6:$B$266,MATCH(53,'Tablero (To Do · Doing · Done)'!$U$6:$U$266,0)),"")</f>
        <v/>
      </c>
      <c r="I58" s="21">
        <f>IFERROR(INDEX('Tablero (To Do · Doing · Done)'!$F$6:$F$266,MATCH(53,'Tablero (To Do · Doing · Done)'!$U$6:$U$266,0))&amp;" · "&amp;INDEX('Tablero (To Do · Doing · Done)'!$G$6:$G$266,MATCH(53,'Tablero (To Do · Doing · Done)'!$U$6:$U$266,0)),"")</f>
        <v/>
      </c>
    </row>
    <row r="59">
      <c r="B59" s="21">
        <f>IFERROR(INDEX('Tablero (To Do · Doing · Done)'!$B$6:$B$266,MATCH(54,'Tablero (To Do · Doing · Done)'!$S$6:$S$266,0)),"")</f>
        <v/>
      </c>
      <c r="C59" s="21">
        <f>IFERROR(INDEX('Tablero (To Do · Doing · Done)'!$F$6:$F$266,MATCH(54,'Tablero (To Do · Doing · Done)'!$S$6:$S$266,0))&amp;" · "&amp;INDEX('Tablero (To Do · Doing · Done)'!$G$6:$G$266,MATCH(54,'Tablero (To Do · Doing · Done)'!$S$6:$S$266,0)),"")</f>
        <v/>
      </c>
      <c r="E59" s="21">
        <f>IFERROR(INDEX('Tablero (To Do · Doing · Done)'!$B$6:$B$266,MATCH(54,'Tablero (To Do · Doing · Done)'!$T$6:$T$266,0)),"")</f>
        <v/>
      </c>
      <c r="F59" s="21">
        <f>IFERROR(INDEX('Tablero (To Do · Doing · Done)'!$F$6:$F$266,MATCH(54,'Tablero (To Do · Doing · Done)'!$T$6:$T$266,0))&amp;" · "&amp;INDEX('Tablero (To Do · Doing · Done)'!$G$6:$G$266,MATCH(54,'Tablero (To Do · Doing · Done)'!$T$6:$T$266,0)),"")</f>
        <v/>
      </c>
      <c r="H59" s="21">
        <f>IFERROR(INDEX('Tablero (To Do · Doing · Done)'!$B$6:$B$266,MATCH(54,'Tablero (To Do · Doing · Done)'!$U$6:$U$266,0)),"")</f>
        <v/>
      </c>
      <c r="I59" s="21">
        <f>IFERROR(INDEX('Tablero (To Do · Doing · Done)'!$F$6:$F$266,MATCH(54,'Tablero (To Do · Doing · Done)'!$U$6:$U$266,0))&amp;" · "&amp;INDEX('Tablero (To Do · Doing · Done)'!$G$6:$G$266,MATCH(54,'Tablero (To Do · Doing · Done)'!$U$6:$U$266,0)),"")</f>
        <v/>
      </c>
    </row>
    <row r="60">
      <c r="B60" s="21">
        <f>IFERROR(INDEX('Tablero (To Do · Doing · Done)'!$B$6:$B$266,MATCH(55,'Tablero (To Do · Doing · Done)'!$S$6:$S$266,0)),"")</f>
        <v/>
      </c>
      <c r="C60" s="21">
        <f>IFERROR(INDEX('Tablero (To Do · Doing · Done)'!$F$6:$F$266,MATCH(55,'Tablero (To Do · Doing · Done)'!$S$6:$S$266,0))&amp;" · "&amp;INDEX('Tablero (To Do · Doing · Done)'!$G$6:$G$266,MATCH(55,'Tablero (To Do · Doing · Done)'!$S$6:$S$266,0)),"")</f>
        <v/>
      </c>
      <c r="E60" s="21">
        <f>IFERROR(INDEX('Tablero (To Do · Doing · Done)'!$B$6:$B$266,MATCH(55,'Tablero (To Do · Doing · Done)'!$T$6:$T$266,0)),"")</f>
        <v/>
      </c>
      <c r="F60" s="21">
        <f>IFERROR(INDEX('Tablero (To Do · Doing · Done)'!$F$6:$F$266,MATCH(55,'Tablero (To Do · Doing · Done)'!$T$6:$T$266,0))&amp;" · "&amp;INDEX('Tablero (To Do · Doing · Done)'!$G$6:$G$266,MATCH(55,'Tablero (To Do · Doing · Done)'!$T$6:$T$266,0)),"")</f>
        <v/>
      </c>
      <c r="H60" s="21">
        <f>IFERROR(INDEX('Tablero (To Do · Doing · Done)'!$B$6:$B$266,MATCH(55,'Tablero (To Do · Doing · Done)'!$U$6:$U$266,0)),"")</f>
        <v/>
      </c>
      <c r="I60" s="21">
        <f>IFERROR(INDEX('Tablero (To Do · Doing · Done)'!$F$6:$F$266,MATCH(55,'Tablero (To Do · Doing · Done)'!$U$6:$U$266,0))&amp;" · "&amp;INDEX('Tablero (To Do · Doing · Done)'!$G$6:$G$266,MATCH(55,'Tablero (To Do · Doing · Done)'!$U$6:$U$266,0)),"")</f>
        <v/>
      </c>
    </row>
    <row r="61">
      <c r="B61" s="21">
        <f>IFERROR(INDEX('Tablero (To Do · Doing · Done)'!$B$6:$B$266,MATCH(56,'Tablero (To Do · Doing · Done)'!$S$6:$S$266,0)),"")</f>
        <v/>
      </c>
      <c r="C61" s="21">
        <f>IFERROR(INDEX('Tablero (To Do · Doing · Done)'!$F$6:$F$266,MATCH(56,'Tablero (To Do · Doing · Done)'!$S$6:$S$266,0))&amp;" · "&amp;INDEX('Tablero (To Do · Doing · Done)'!$G$6:$G$266,MATCH(56,'Tablero (To Do · Doing · Done)'!$S$6:$S$266,0)),"")</f>
        <v/>
      </c>
      <c r="E61" s="21">
        <f>IFERROR(INDEX('Tablero (To Do · Doing · Done)'!$B$6:$B$266,MATCH(56,'Tablero (To Do · Doing · Done)'!$T$6:$T$266,0)),"")</f>
        <v/>
      </c>
      <c r="F61" s="21">
        <f>IFERROR(INDEX('Tablero (To Do · Doing · Done)'!$F$6:$F$266,MATCH(56,'Tablero (To Do · Doing · Done)'!$T$6:$T$266,0))&amp;" · "&amp;INDEX('Tablero (To Do · Doing · Done)'!$G$6:$G$266,MATCH(56,'Tablero (To Do · Doing · Done)'!$T$6:$T$266,0)),"")</f>
        <v/>
      </c>
      <c r="H61" s="21">
        <f>IFERROR(INDEX('Tablero (To Do · Doing · Done)'!$B$6:$B$266,MATCH(56,'Tablero (To Do · Doing · Done)'!$U$6:$U$266,0)),"")</f>
        <v/>
      </c>
      <c r="I61" s="21">
        <f>IFERROR(INDEX('Tablero (To Do · Doing · Done)'!$F$6:$F$266,MATCH(56,'Tablero (To Do · Doing · Done)'!$U$6:$U$266,0))&amp;" · "&amp;INDEX('Tablero (To Do · Doing · Done)'!$G$6:$G$266,MATCH(56,'Tablero (To Do · Doing · Done)'!$U$6:$U$266,0)),"")</f>
        <v/>
      </c>
    </row>
    <row r="62">
      <c r="B62" s="21">
        <f>IFERROR(INDEX('Tablero (To Do · Doing · Done)'!$B$6:$B$266,MATCH(57,'Tablero (To Do · Doing · Done)'!$S$6:$S$266,0)),"")</f>
        <v/>
      </c>
      <c r="C62" s="21">
        <f>IFERROR(INDEX('Tablero (To Do · Doing · Done)'!$F$6:$F$266,MATCH(57,'Tablero (To Do · Doing · Done)'!$S$6:$S$266,0))&amp;" · "&amp;INDEX('Tablero (To Do · Doing · Done)'!$G$6:$G$266,MATCH(57,'Tablero (To Do · Doing · Done)'!$S$6:$S$266,0)),"")</f>
        <v/>
      </c>
      <c r="E62" s="21">
        <f>IFERROR(INDEX('Tablero (To Do · Doing · Done)'!$B$6:$B$266,MATCH(57,'Tablero (To Do · Doing · Done)'!$T$6:$T$266,0)),"")</f>
        <v/>
      </c>
      <c r="F62" s="21">
        <f>IFERROR(INDEX('Tablero (To Do · Doing · Done)'!$F$6:$F$266,MATCH(57,'Tablero (To Do · Doing · Done)'!$T$6:$T$266,0))&amp;" · "&amp;INDEX('Tablero (To Do · Doing · Done)'!$G$6:$G$266,MATCH(57,'Tablero (To Do · Doing · Done)'!$T$6:$T$266,0)),"")</f>
        <v/>
      </c>
      <c r="H62" s="21">
        <f>IFERROR(INDEX('Tablero (To Do · Doing · Done)'!$B$6:$B$266,MATCH(57,'Tablero (To Do · Doing · Done)'!$U$6:$U$266,0)),"")</f>
        <v/>
      </c>
      <c r="I62" s="21">
        <f>IFERROR(INDEX('Tablero (To Do · Doing · Done)'!$F$6:$F$266,MATCH(57,'Tablero (To Do · Doing · Done)'!$U$6:$U$266,0))&amp;" · "&amp;INDEX('Tablero (To Do · Doing · Done)'!$G$6:$G$266,MATCH(57,'Tablero (To Do · Doing · Done)'!$U$6:$U$266,0)),"")</f>
        <v/>
      </c>
    </row>
    <row r="63">
      <c r="B63" s="21">
        <f>IFERROR(INDEX('Tablero (To Do · Doing · Done)'!$B$6:$B$266,MATCH(58,'Tablero (To Do · Doing · Done)'!$S$6:$S$266,0)),"")</f>
        <v/>
      </c>
      <c r="C63" s="21">
        <f>IFERROR(INDEX('Tablero (To Do · Doing · Done)'!$F$6:$F$266,MATCH(58,'Tablero (To Do · Doing · Done)'!$S$6:$S$266,0))&amp;" · "&amp;INDEX('Tablero (To Do · Doing · Done)'!$G$6:$G$266,MATCH(58,'Tablero (To Do · Doing · Done)'!$S$6:$S$266,0)),"")</f>
        <v/>
      </c>
      <c r="E63" s="21">
        <f>IFERROR(INDEX('Tablero (To Do · Doing · Done)'!$B$6:$B$266,MATCH(58,'Tablero (To Do · Doing · Done)'!$T$6:$T$266,0)),"")</f>
        <v/>
      </c>
      <c r="F63" s="21">
        <f>IFERROR(INDEX('Tablero (To Do · Doing · Done)'!$F$6:$F$266,MATCH(58,'Tablero (To Do · Doing · Done)'!$T$6:$T$266,0))&amp;" · "&amp;INDEX('Tablero (To Do · Doing · Done)'!$G$6:$G$266,MATCH(58,'Tablero (To Do · Doing · Done)'!$T$6:$T$266,0)),"")</f>
        <v/>
      </c>
      <c r="H63" s="21">
        <f>IFERROR(INDEX('Tablero (To Do · Doing · Done)'!$B$6:$B$266,MATCH(58,'Tablero (To Do · Doing · Done)'!$U$6:$U$266,0)),"")</f>
        <v/>
      </c>
      <c r="I63" s="21">
        <f>IFERROR(INDEX('Tablero (To Do · Doing · Done)'!$F$6:$F$266,MATCH(58,'Tablero (To Do · Doing · Done)'!$U$6:$U$266,0))&amp;" · "&amp;INDEX('Tablero (To Do · Doing · Done)'!$G$6:$G$266,MATCH(58,'Tablero (To Do · Doing · Done)'!$U$6:$U$266,0)),"")</f>
        <v/>
      </c>
    </row>
    <row r="64">
      <c r="B64" s="21">
        <f>IFERROR(INDEX('Tablero (To Do · Doing · Done)'!$B$6:$B$266,MATCH(59,'Tablero (To Do · Doing · Done)'!$S$6:$S$266,0)),"")</f>
        <v/>
      </c>
      <c r="C64" s="21">
        <f>IFERROR(INDEX('Tablero (To Do · Doing · Done)'!$F$6:$F$266,MATCH(59,'Tablero (To Do · Doing · Done)'!$S$6:$S$266,0))&amp;" · "&amp;INDEX('Tablero (To Do · Doing · Done)'!$G$6:$G$266,MATCH(59,'Tablero (To Do · Doing · Done)'!$S$6:$S$266,0)),"")</f>
        <v/>
      </c>
      <c r="E64" s="21">
        <f>IFERROR(INDEX('Tablero (To Do · Doing · Done)'!$B$6:$B$266,MATCH(59,'Tablero (To Do · Doing · Done)'!$T$6:$T$266,0)),"")</f>
        <v/>
      </c>
      <c r="F64" s="21">
        <f>IFERROR(INDEX('Tablero (To Do · Doing · Done)'!$F$6:$F$266,MATCH(59,'Tablero (To Do · Doing · Done)'!$T$6:$T$266,0))&amp;" · "&amp;INDEX('Tablero (To Do · Doing · Done)'!$G$6:$G$266,MATCH(59,'Tablero (To Do · Doing · Done)'!$T$6:$T$266,0)),"")</f>
        <v/>
      </c>
      <c r="H64" s="21">
        <f>IFERROR(INDEX('Tablero (To Do · Doing · Done)'!$B$6:$B$266,MATCH(59,'Tablero (To Do · Doing · Done)'!$U$6:$U$266,0)),"")</f>
        <v/>
      </c>
      <c r="I64" s="21">
        <f>IFERROR(INDEX('Tablero (To Do · Doing · Done)'!$F$6:$F$266,MATCH(59,'Tablero (To Do · Doing · Done)'!$U$6:$U$266,0))&amp;" · "&amp;INDEX('Tablero (To Do · Doing · Done)'!$G$6:$G$266,MATCH(59,'Tablero (To Do · Doing · Done)'!$U$6:$U$266,0)),"")</f>
        <v/>
      </c>
    </row>
    <row r="65">
      <c r="B65" s="21">
        <f>IFERROR(INDEX('Tablero (To Do · Doing · Done)'!$B$6:$B$266,MATCH(60,'Tablero (To Do · Doing · Done)'!$S$6:$S$266,0)),"")</f>
        <v/>
      </c>
      <c r="C65" s="21">
        <f>IFERROR(INDEX('Tablero (To Do · Doing · Done)'!$F$6:$F$266,MATCH(60,'Tablero (To Do · Doing · Done)'!$S$6:$S$266,0))&amp;" · "&amp;INDEX('Tablero (To Do · Doing · Done)'!$G$6:$G$266,MATCH(60,'Tablero (To Do · Doing · Done)'!$S$6:$S$266,0)),"")</f>
        <v/>
      </c>
      <c r="E65" s="21">
        <f>IFERROR(INDEX('Tablero (To Do · Doing · Done)'!$B$6:$B$266,MATCH(60,'Tablero (To Do · Doing · Done)'!$T$6:$T$266,0)),"")</f>
        <v/>
      </c>
      <c r="F65" s="21">
        <f>IFERROR(INDEX('Tablero (To Do · Doing · Done)'!$F$6:$F$266,MATCH(60,'Tablero (To Do · Doing · Done)'!$T$6:$T$266,0))&amp;" · "&amp;INDEX('Tablero (To Do · Doing · Done)'!$G$6:$G$266,MATCH(60,'Tablero (To Do · Doing · Done)'!$T$6:$T$266,0)),"")</f>
        <v/>
      </c>
      <c r="H65" s="21">
        <f>IFERROR(INDEX('Tablero (To Do · Doing · Done)'!$B$6:$B$266,MATCH(60,'Tablero (To Do · Doing · Done)'!$U$6:$U$266,0)),"")</f>
        <v/>
      </c>
      <c r="I65" s="21">
        <f>IFERROR(INDEX('Tablero (To Do · Doing · Done)'!$F$6:$F$266,MATCH(60,'Tablero (To Do · Doing · Done)'!$U$6:$U$266,0))&amp;" · "&amp;INDEX('Tablero (To Do · Doing · Done)'!$G$6:$G$266,MATCH(60,'Tablero (To Do · Doing · Done)'!$U$6:$U$266,0)),"")</f>
        <v/>
      </c>
    </row>
    <row r="66">
      <c r="B66" s="21">
        <f>IFERROR(INDEX('Tablero (To Do · Doing · Done)'!$B$6:$B$266,MATCH(61,'Tablero (To Do · Doing · Done)'!$S$6:$S$266,0)),"")</f>
        <v/>
      </c>
      <c r="C66" s="21">
        <f>IFERROR(INDEX('Tablero (To Do · Doing · Done)'!$F$6:$F$266,MATCH(61,'Tablero (To Do · Doing · Done)'!$S$6:$S$266,0))&amp;" · "&amp;INDEX('Tablero (To Do · Doing · Done)'!$G$6:$G$266,MATCH(61,'Tablero (To Do · Doing · Done)'!$S$6:$S$266,0)),"")</f>
        <v/>
      </c>
      <c r="E66" s="21">
        <f>IFERROR(INDEX('Tablero (To Do · Doing · Done)'!$B$6:$B$266,MATCH(61,'Tablero (To Do · Doing · Done)'!$T$6:$T$266,0)),"")</f>
        <v/>
      </c>
      <c r="F66" s="21">
        <f>IFERROR(INDEX('Tablero (To Do · Doing · Done)'!$F$6:$F$266,MATCH(61,'Tablero (To Do · Doing · Done)'!$T$6:$T$266,0))&amp;" · "&amp;INDEX('Tablero (To Do · Doing · Done)'!$G$6:$G$266,MATCH(61,'Tablero (To Do · Doing · Done)'!$T$6:$T$266,0)),"")</f>
        <v/>
      </c>
      <c r="H66" s="21">
        <f>IFERROR(INDEX('Tablero (To Do · Doing · Done)'!$B$6:$B$266,MATCH(61,'Tablero (To Do · Doing · Done)'!$U$6:$U$266,0)),"")</f>
        <v/>
      </c>
      <c r="I66" s="21">
        <f>IFERROR(INDEX('Tablero (To Do · Doing · Done)'!$F$6:$F$266,MATCH(61,'Tablero (To Do · Doing · Done)'!$U$6:$U$266,0))&amp;" · "&amp;INDEX('Tablero (To Do · Doing · Done)'!$G$6:$G$266,MATCH(61,'Tablero (To Do · Doing · Done)'!$U$6:$U$266,0)),"")</f>
        <v/>
      </c>
    </row>
    <row r="67">
      <c r="B67" s="21">
        <f>IFERROR(INDEX('Tablero (To Do · Doing · Done)'!$B$6:$B$266,MATCH(62,'Tablero (To Do · Doing · Done)'!$S$6:$S$266,0)),"")</f>
        <v/>
      </c>
      <c r="C67" s="21">
        <f>IFERROR(INDEX('Tablero (To Do · Doing · Done)'!$F$6:$F$266,MATCH(62,'Tablero (To Do · Doing · Done)'!$S$6:$S$266,0))&amp;" · "&amp;INDEX('Tablero (To Do · Doing · Done)'!$G$6:$G$266,MATCH(62,'Tablero (To Do · Doing · Done)'!$S$6:$S$266,0)),"")</f>
        <v/>
      </c>
      <c r="E67" s="21">
        <f>IFERROR(INDEX('Tablero (To Do · Doing · Done)'!$B$6:$B$266,MATCH(62,'Tablero (To Do · Doing · Done)'!$T$6:$T$266,0)),"")</f>
        <v/>
      </c>
      <c r="F67" s="21">
        <f>IFERROR(INDEX('Tablero (To Do · Doing · Done)'!$F$6:$F$266,MATCH(62,'Tablero (To Do · Doing · Done)'!$T$6:$T$266,0))&amp;" · "&amp;INDEX('Tablero (To Do · Doing · Done)'!$G$6:$G$266,MATCH(62,'Tablero (To Do · Doing · Done)'!$T$6:$T$266,0)),"")</f>
        <v/>
      </c>
      <c r="H67" s="21">
        <f>IFERROR(INDEX('Tablero (To Do · Doing · Done)'!$B$6:$B$266,MATCH(62,'Tablero (To Do · Doing · Done)'!$U$6:$U$266,0)),"")</f>
        <v/>
      </c>
      <c r="I67" s="21">
        <f>IFERROR(INDEX('Tablero (To Do · Doing · Done)'!$F$6:$F$266,MATCH(62,'Tablero (To Do · Doing · Done)'!$U$6:$U$266,0))&amp;" · "&amp;INDEX('Tablero (To Do · Doing · Done)'!$G$6:$G$266,MATCH(62,'Tablero (To Do · Doing · Done)'!$U$6:$U$266,0)),"")</f>
        <v/>
      </c>
    </row>
    <row r="68">
      <c r="B68" s="21">
        <f>IFERROR(INDEX('Tablero (To Do · Doing · Done)'!$B$6:$B$266,MATCH(63,'Tablero (To Do · Doing · Done)'!$S$6:$S$266,0)),"")</f>
        <v/>
      </c>
      <c r="C68" s="21">
        <f>IFERROR(INDEX('Tablero (To Do · Doing · Done)'!$F$6:$F$266,MATCH(63,'Tablero (To Do · Doing · Done)'!$S$6:$S$266,0))&amp;" · "&amp;INDEX('Tablero (To Do · Doing · Done)'!$G$6:$G$266,MATCH(63,'Tablero (To Do · Doing · Done)'!$S$6:$S$266,0)),"")</f>
        <v/>
      </c>
      <c r="E68" s="21">
        <f>IFERROR(INDEX('Tablero (To Do · Doing · Done)'!$B$6:$B$266,MATCH(63,'Tablero (To Do · Doing · Done)'!$T$6:$T$266,0)),"")</f>
        <v/>
      </c>
      <c r="F68" s="21">
        <f>IFERROR(INDEX('Tablero (To Do · Doing · Done)'!$F$6:$F$266,MATCH(63,'Tablero (To Do · Doing · Done)'!$T$6:$T$266,0))&amp;" · "&amp;INDEX('Tablero (To Do · Doing · Done)'!$G$6:$G$266,MATCH(63,'Tablero (To Do · Doing · Done)'!$T$6:$T$266,0)),"")</f>
        <v/>
      </c>
      <c r="H68" s="21">
        <f>IFERROR(INDEX('Tablero (To Do · Doing · Done)'!$B$6:$B$266,MATCH(63,'Tablero (To Do · Doing · Done)'!$U$6:$U$266,0)),"")</f>
        <v/>
      </c>
      <c r="I68" s="21">
        <f>IFERROR(INDEX('Tablero (To Do · Doing · Done)'!$F$6:$F$266,MATCH(63,'Tablero (To Do · Doing · Done)'!$U$6:$U$266,0))&amp;" · "&amp;INDEX('Tablero (To Do · Doing · Done)'!$G$6:$G$266,MATCH(63,'Tablero (To Do · Doing · Done)'!$U$6:$U$266,0)),"")</f>
        <v/>
      </c>
    </row>
    <row r="69">
      <c r="B69" s="21">
        <f>IFERROR(INDEX('Tablero (To Do · Doing · Done)'!$B$6:$B$266,MATCH(64,'Tablero (To Do · Doing · Done)'!$S$6:$S$266,0)),"")</f>
        <v/>
      </c>
      <c r="C69" s="21">
        <f>IFERROR(INDEX('Tablero (To Do · Doing · Done)'!$F$6:$F$266,MATCH(64,'Tablero (To Do · Doing · Done)'!$S$6:$S$266,0))&amp;" · "&amp;INDEX('Tablero (To Do · Doing · Done)'!$G$6:$G$266,MATCH(64,'Tablero (To Do · Doing · Done)'!$S$6:$S$266,0)),"")</f>
        <v/>
      </c>
      <c r="E69" s="21">
        <f>IFERROR(INDEX('Tablero (To Do · Doing · Done)'!$B$6:$B$266,MATCH(64,'Tablero (To Do · Doing · Done)'!$T$6:$T$266,0)),"")</f>
        <v/>
      </c>
      <c r="F69" s="21">
        <f>IFERROR(INDEX('Tablero (To Do · Doing · Done)'!$F$6:$F$266,MATCH(64,'Tablero (To Do · Doing · Done)'!$T$6:$T$266,0))&amp;" · "&amp;INDEX('Tablero (To Do · Doing · Done)'!$G$6:$G$266,MATCH(64,'Tablero (To Do · Doing · Done)'!$T$6:$T$266,0)),"")</f>
        <v/>
      </c>
      <c r="H69" s="21">
        <f>IFERROR(INDEX('Tablero (To Do · Doing · Done)'!$B$6:$B$266,MATCH(64,'Tablero (To Do · Doing · Done)'!$U$6:$U$266,0)),"")</f>
        <v/>
      </c>
      <c r="I69" s="21">
        <f>IFERROR(INDEX('Tablero (To Do · Doing · Done)'!$F$6:$F$266,MATCH(64,'Tablero (To Do · Doing · Done)'!$U$6:$U$266,0))&amp;" · "&amp;INDEX('Tablero (To Do · Doing · Done)'!$G$6:$G$266,MATCH(64,'Tablero (To Do · Doing · Done)'!$U$6:$U$266,0)),"")</f>
        <v/>
      </c>
    </row>
    <row r="70">
      <c r="B70" s="21">
        <f>IFERROR(INDEX('Tablero (To Do · Doing · Done)'!$B$6:$B$266,MATCH(65,'Tablero (To Do · Doing · Done)'!$S$6:$S$266,0)),"")</f>
        <v/>
      </c>
      <c r="C70" s="21">
        <f>IFERROR(INDEX('Tablero (To Do · Doing · Done)'!$F$6:$F$266,MATCH(65,'Tablero (To Do · Doing · Done)'!$S$6:$S$266,0))&amp;" · "&amp;INDEX('Tablero (To Do · Doing · Done)'!$G$6:$G$266,MATCH(65,'Tablero (To Do · Doing · Done)'!$S$6:$S$266,0)),"")</f>
        <v/>
      </c>
      <c r="E70" s="21">
        <f>IFERROR(INDEX('Tablero (To Do · Doing · Done)'!$B$6:$B$266,MATCH(65,'Tablero (To Do · Doing · Done)'!$T$6:$T$266,0)),"")</f>
        <v/>
      </c>
      <c r="F70" s="21">
        <f>IFERROR(INDEX('Tablero (To Do · Doing · Done)'!$F$6:$F$266,MATCH(65,'Tablero (To Do · Doing · Done)'!$T$6:$T$266,0))&amp;" · "&amp;INDEX('Tablero (To Do · Doing · Done)'!$G$6:$G$266,MATCH(65,'Tablero (To Do · Doing · Done)'!$T$6:$T$266,0)),"")</f>
        <v/>
      </c>
      <c r="H70" s="21">
        <f>IFERROR(INDEX('Tablero (To Do · Doing · Done)'!$B$6:$B$266,MATCH(65,'Tablero (To Do · Doing · Done)'!$U$6:$U$266,0)),"")</f>
        <v/>
      </c>
      <c r="I70" s="21">
        <f>IFERROR(INDEX('Tablero (To Do · Doing · Done)'!$F$6:$F$266,MATCH(65,'Tablero (To Do · Doing · Done)'!$U$6:$U$266,0))&amp;" · "&amp;INDEX('Tablero (To Do · Doing · Done)'!$G$6:$G$266,MATCH(65,'Tablero (To Do · Doing · Done)'!$U$6:$U$266,0)),"")</f>
        <v/>
      </c>
    </row>
    <row r="71">
      <c r="B71" s="21">
        <f>IFERROR(INDEX('Tablero (To Do · Doing · Done)'!$B$6:$B$266,MATCH(66,'Tablero (To Do · Doing · Done)'!$S$6:$S$266,0)),"")</f>
        <v/>
      </c>
      <c r="C71" s="21">
        <f>IFERROR(INDEX('Tablero (To Do · Doing · Done)'!$F$6:$F$266,MATCH(66,'Tablero (To Do · Doing · Done)'!$S$6:$S$266,0))&amp;" · "&amp;INDEX('Tablero (To Do · Doing · Done)'!$G$6:$G$266,MATCH(66,'Tablero (To Do · Doing · Done)'!$S$6:$S$266,0)),"")</f>
        <v/>
      </c>
      <c r="E71" s="21">
        <f>IFERROR(INDEX('Tablero (To Do · Doing · Done)'!$B$6:$B$266,MATCH(66,'Tablero (To Do · Doing · Done)'!$T$6:$T$266,0)),"")</f>
        <v/>
      </c>
      <c r="F71" s="21">
        <f>IFERROR(INDEX('Tablero (To Do · Doing · Done)'!$F$6:$F$266,MATCH(66,'Tablero (To Do · Doing · Done)'!$T$6:$T$266,0))&amp;" · "&amp;INDEX('Tablero (To Do · Doing · Done)'!$G$6:$G$266,MATCH(66,'Tablero (To Do · Doing · Done)'!$T$6:$T$266,0)),"")</f>
        <v/>
      </c>
      <c r="H71" s="21">
        <f>IFERROR(INDEX('Tablero (To Do · Doing · Done)'!$B$6:$B$266,MATCH(66,'Tablero (To Do · Doing · Done)'!$U$6:$U$266,0)),"")</f>
        <v/>
      </c>
      <c r="I71" s="21">
        <f>IFERROR(INDEX('Tablero (To Do · Doing · Done)'!$F$6:$F$266,MATCH(66,'Tablero (To Do · Doing · Done)'!$U$6:$U$266,0))&amp;" · "&amp;INDEX('Tablero (To Do · Doing · Done)'!$G$6:$G$266,MATCH(66,'Tablero (To Do · Doing · Done)'!$U$6:$U$266,0)),"")</f>
        <v/>
      </c>
    </row>
    <row r="72">
      <c r="B72" s="21">
        <f>IFERROR(INDEX('Tablero (To Do · Doing · Done)'!$B$6:$B$266,MATCH(67,'Tablero (To Do · Doing · Done)'!$S$6:$S$266,0)),"")</f>
        <v/>
      </c>
      <c r="C72" s="21">
        <f>IFERROR(INDEX('Tablero (To Do · Doing · Done)'!$F$6:$F$266,MATCH(67,'Tablero (To Do · Doing · Done)'!$S$6:$S$266,0))&amp;" · "&amp;INDEX('Tablero (To Do · Doing · Done)'!$G$6:$G$266,MATCH(67,'Tablero (To Do · Doing · Done)'!$S$6:$S$266,0)),"")</f>
        <v/>
      </c>
      <c r="E72" s="21">
        <f>IFERROR(INDEX('Tablero (To Do · Doing · Done)'!$B$6:$B$266,MATCH(67,'Tablero (To Do · Doing · Done)'!$T$6:$T$266,0)),"")</f>
        <v/>
      </c>
      <c r="F72" s="21">
        <f>IFERROR(INDEX('Tablero (To Do · Doing · Done)'!$F$6:$F$266,MATCH(67,'Tablero (To Do · Doing · Done)'!$T$6:$T$266,0))&amp;" · "&amp;INDEX('Tablero (To Do · Doing · Done)'!$G$6:$G$266,MATCH(67,'Tablero (To Do · Doing · Done)'!$T$6:$T$266,0)),"")</f>
        <v/>
      </c>
      <c r="H72" s="21">
        <f>IFERROR(INDEX('Tablero (To Do · Doing · Done)'!$B$6:$B$266,MATCH(67,'Tablero (To Do · Doing · Done)'!$U$6:$U$266,0)),"")</f>
        <v/>
      </c>
      <c r="I72" s="21">
        <f>IFERROR(INDEX('Tablero (To Do · Doing · Done)'!$F$6:$F$266,MATCH(67,'Tablero (To Do · Doing · Done)'!$U$6:$U$266,0))&amp;" · "&amp;INDEX('Tablero (To Do · Doing · Done)'!$G$6:$G$266,MATCH(67,'Tablero (To Do · Doing · Done)'!$U$6:$U$266,0)),"")</f>
        <v/>
      </c>
    </row>
    <row r="73">
      <c r="B73" s="21">
        <f>IFERROR(INDEX('Tablero (To Do · Doing · Done)'!$B$6:$B$266,MATCH(68,'Tablero (To Do · Doing · Done)'!$S$6:$S$266,0)),"")</f>
        <v/>
      </c>
      <c r="C73" s="21">
        <f>IFERROR(INDEX('Tablero (To Do · Doing · Done)'!$F$6:$F$266,MATCH(68,'Tablero (To Do · Doing · Done)'!$S$6:$S$266,0))&amp;" · "&amp;INDEX('Tablero (To Do · Doing · Done)'!$G$6:$G$266,MATCH(68,'Tablero (To Do · Doing · Done)'!$S$6:$S$266,0)),"")</f>
        <v/>
      </c>
      <c r="E73" s="21">
        <f>IFERROR(INDEX('Tablero (To Do · Doing · Done)'!$B$6:$B$266,MATCH(68,'Tablero (To Do · Doing · Done)'!$T$6:$T$266,0)),"")</f>
        <v/>
      </c>
      <c r="F73" s="21">
        <f>IFERROR(INDEX('Tablero (To Do · Doing · Done)'!$F$6:$F$266,MATCH(68,'Tablero (To Do · Doing · Done)'!$T$6:$T$266,0))&amp;" · "&amp;INDEX('Tablero (To Do · Doing · Done)'!$G$6:$G$266,MATCH(68,'Tablero (To Do · Doing · Done)'!$T$6:$T$266,0)),"")</f>
        <v/>
      </c>
      <c r="H73" s="21">
        <f>IFERROR(INDEX('Tablero (To Do · Doing · Done)'!$B$6:$B$266,MATCH(68,'Tablero (To Do · Doing · Done)'!$U$6:$U$266,0)),"")</f>
        <v/>
      </c>
      <c r="I73" s="21">
        <f>IFERROR(INDEX('Tablero (To Do · Doing · Done)'!$F$6:$F$266,MATCH(68,'Tablero (To Do · Doing · Done)'!$U$6:$U$266,0))&amp;" · "&amp;INDEX('Tablero (To Do · Doing · Done)'!$G$6:$G$266,MATCH(68,'Tablero (To Do · Doing · Done)'!$U$6:$U$266,0)),"")</f>
        <v/>
      </c>
    </row>
    <row r="74">
      <c r="B74" s="21">
        <f>IFERROR(INDEX('Tablero (To Do · Doing · Done)'!$B$6:$B$266,MATCH(69,'Tablero (To Do · Doing · Done)'!$S$6:$S$266,0)),"")</f>
        <v/>
      </c>
      <c r="C74" s="21">
        <f>IFERROR(INDEX('Tablero (To Do · Doing · Done)'!$F$6:$F$266,MATCH(69,'Tablero (To Do · Doing · Done)'!$S$6:$S$266,0))&amp;" · "&amp;INDEX('Tablero (To Do · Doing · Done)'!$G$6:$G$266,MATCH(69,'Tablero (To Do · Doing · Done)'!$S$6:$S$266,0)),"")</f>
        <v/>
      </c>
      <c r="E74" s="21">
        <f>IFERROR(INDEX('Tablero (To Do · Doing · Done)'!$B$6:$B$266,MATCH(69,'Tablero (To Do · Doing · Done)'!$T$6:$T$266,0)),"")</f>
        <v/>
      </c>
      <c r="F74" s="21">
        <f>IFERROR(INDEX('Tablero (To Do · Doing · Done)'!$F$6:$F$266,MATCH(69,'Tablero (To Do · Doing · Done)'!$T$6:$T$266,0))&amp;" · "&amp;INDEX('Tablero (To Do · Doing · Done)'!$G$6:$G$266,MATCH(69,'Tablero (To Do · Doing · Done)'!$T$6:$T$266,0)),"")</f>
        <v/>
      </c>
      <c r="H74" s="21">
        <f>IFERROR(INDEX('Tablero (To Do · Doing · Done)'!$B$6:$B$266,MATCH(69,'Tablero (To Do · Doing · Done)'!$U$6:$U$266,0)),"")</f>
        <v/>
      </c>
      <c r="I74" s="21">
        <f>IFERROR(INDEX('Tablero (To Do · Doing · Done)'!$F$6:$F$266,MATCH(69,'Tablero (To Do · Doing · Done)'!$U$6:$U$266,0))&amp;" · "&amp;INDEX('Tablero (To Do · Doing · Done)'!$G$6:$G$266,MATCH(69,'Tablero (To Do · Doing · Done)'!$U$6:$U$266,0)),"")</f>
        <v/>
      </c>
    </row>
    <row r="75">
      <c r="B75" s="21">
        <f>IFERROR(INDEX('Tablero (To Do · Doing · Done)'!$B$6:$B$266,MATCH(70,'Tablero (To Do · Doing · Done)'!$S$6:$S$266,0)),"")</f>
        <v/>
      </c>
      <c r="C75" s="21">
        <f>IFERROR(INDEX('Tablero (To Do · Doing · Done)'!$F$6:$F$266,MATCH(70,'Tablero (To Do · Doing · Done)'!$S$6:$S$266,0))&amp;" · "&amp;INDEX('Tablero (To Do · Doing · Done)'!$G$6:$G$266,MATCH(70,'Tablero (To Do · Doing · Done)'!$S$6:$S$266,0)),"")</f>
        <v/>
      </c>
      <c r="E75" s="21">
        <f>IFERROR(INDEX('Tablero (To Do · Doing · Done)'!$B$6:$B$266,MATCH(70,'Tablero (To Do · Doing · Done)'!$T$6:$T$266,0)),"")</f>
        <v/>
      </c>
      <c r="F75" s="21">
        <f>IFERROR(INDEX('Tablero (To Do · Doing · Done)'!$F$6:$F$266,MATCH(70,'Tablero (To Do · Doing · Done)'!$T$6:$T$266,0))&amp;" · "&amp;INDEX('Tablero (To Do · Doing · Done)'!$G$6:$G$266,MATCH(70,'Tablero (To Do · Doing · Done)'!$T$6:$T$266,0)),"")</f>
        <v/>
      </c>
      <c r="H75" s="21">
        <f>IFERROR(INDEX('Tablero (To Do · Doing · Done)'!$B$6:$B$266,MATCH(70,'Tablero (To Do · Doing · Done)'!$U$6:$U$266,0)),"")</f>
        <v/>
      </c>
      <c r="I75" s="21">
        <f>IFERROR(INDEX('Tablero (To Do · Doing · Done)'!$F$6:$F$266,MATCH(70,'Tablero (To Do · Doing · Done)'!$U$6:$U$266,0))&amp;" · "&amp;INDEX('Tablero (To Do · Doing · Done)'!$G$6:$G$266,MATCH(70,'Tablero (To Do · Doing · Done)'!$U$6:$U$266,0)),"")</f>
        <v/>
      </c>
    </row>
    <row r="76">
      <c r="B76" s="21">
        <f>IFERROR(INDEX('Tablero (To Do · Doing · Done)'!$B$6:$B$266,MATCH(71,'Tablero (To Do · Doing · Done)'!$S$6:$S$266,0)),"")</f>
        <v/>
      </c>
      <c r="C76" s="21">
        <f>IFERROR(INDEX('Tablero (To Do · Doing · Done)'!$F$6:$F$266,MATCH(71,'Tablero (To Do · Doing · Done)'!$S$6:$S$266,0))&amp;" · "&amp;INDEX('Tablero (To Do · Doing · Done)'!$G$6:$G$266,MATCH(71,'Tablero (To Do · Doing · Done)'!$S$6:$S$266,0)),"")</f>
        <v/>
      </c>
      <c r="E76" s="21">
        <f>IFERROR(INDEX('Tablero (To Do · Doing · Done)'!$B$6:$B$266,MATCH(71,'Tablero (To Do · Doing · Done)'!$T$6:$T$266,0)),"")</f>
        <v/>
      </c>
      <c r="F76" s="21">
        <f>IFERROR(INDEX('Tablero (To Do · Doing · Done)'!$F$6:$F$266,MATCH(71,'Tablero (To Do · Doing · Done)'!$T$6:$T$266,0))&amp;" · "&amp;INDEX('Tablero (To Do · Doing · Done)'!$G$6:$G$266,MATCH(71,'Tablero (To Do · Doing · Done)'!$T$6:$T$266,0)),"")</f>
        <v/>
      </c>
      <c r="H76" s="21">
        <f>IFERROR(INDEX('Tablero (To Do · Doing · Done)'!$B$6:$B$266,MATCH(71,'Tablero (To Do · Doing · Done)'!$U$6:$U$266,0)),"")</f>
        <v/>
      </c>
      <c r="I76" s="21">
        <f>IFERROR(INDEX('Tablero (To Do · Doing · Done)'!$F$6:$F$266,MATCH(71,'Tablero (To Do · Doing · Done)'!$U$6:$U$266,0))&amp;" · "&amp;INDEX('Tablero (To Do · Doing · Done)'!$G$6:$G$266,MATCH(71,'Tablero (To Do · Doing · Done)'!$U$6:$U$266,0)),"")</f>
        <v/>
      </c>
    </row>
    <row r="77">
      <c r="B77" s="21">
        <f>IFERROR(INDEX('Tablero (To Do · Doing · Done)'!$B$6:$B$266,MATCH(72,'Tablero (To Do · Doing · Done)'!$S$6:$S$266,0)),"")</f>
        <v/>
      </c>
      <c r="C77" s="21">
        <f>IFERROR(INDEX('Tablero (To Do · Doing · Done)'!$F$6:$F$266,MATCH(72,'Tablero (To Do · Doing · Done)'!$S$6:$S$266,0))&amp;" · "&amp;INDEX('Tablero (To Do · Doing · Done)'!$G$6:$G$266,MATCH(72,'Tablero (To Do · Doing · Done)'!$S$6:$S$266,0)),"")</f>
        <v/>
      </c>
      <c r="E77" s="21">
        <f>IFERROR(INDEX('Tablero (To Do · Doing · Done)'!$B$6:$B$266,MATCH(72,'Tablero (To Do · Doing · Done)'!$T$6:$T$266,0)),"")</f>
        <v/>
      </c>
      <c r="F77" s="21">
        <f>IFERROR(INDEX('Tablero (To Do · Doing · Done)'!$F$6:$F$266,MATCH(72,'Tablero (To Do · Doing · Done)'!$T$6:$T$266,0))&amp;" · "&amp;INDEX('Tablero (To Do · Doing · Done)'!$G$6:$G$266,MATCH(72,'Tablero (To Do · Doing · Done)'!$T$6:$T$266,0)),"")</f>
        <v/>
      </c>
      <c r="H77" s="21">
        <f>IFERROR(INDEX('Tablero (To Do · Doing · Done)'!$B$6:$B$266,MATCH(72,'Tablero (To Do · Doing · Done)'!$U$6:$U$266,0)),"")</f>
        <v/>
      </c>
      <c r="I77" s="21">
        <f>IFERROR(INDEX('Tablero (To Do · Doing · Done)'!$F$6:$F$266,MATCH(72,'Tablero (To Do · Doing · Done)'!$U$6:$U$266,0))&amp;" · "&amp;INDEX('Tablero (To Do · Doing · Done)'!$G$6:$G$266,MATCH(72,'Tablero (To Do · Doing · Done)'!$U$6:$U$266,0)),"")</f>
        <v/>
      </c>
    </row>
    <row r="78">
      <c r="B78" s="21">
        <f>IFERROR(INDEX('Tablero (To Do · Doing · Done)'!$B$6:$B$266,MATCH(73,'Tablero (To Do · Doing · Done)'!$S$6:$S$266,0)),"")</f>
        <v/>
      </c>
      <c r="C78" s="21">
        <f>IFERROR(INDEX('Tablero (To Do · Doing · Done)'!$F$6:$F$266,MATCH(73,'Tablero (To Do · Doing · Done)'!$S$6:$S$266,0))&amp;" · "&amp;INDEX('Tablero (To Do · Doing · Done)'!$G$6:$G$266,MATCH(73,'Tablero (To Do · Doing · Done)'!$S$6:$S$266,0)),"")</f>
        <v/>
      </c>
      <c r="E78" s="21">
        <f>IFERROR(INDEX('Tablero (To Do · Doing · Done)'!$B$6:$B$266,MATCH(73,'Tablero (To Do · Doing · Done)'!$T$6:$T$266,0)),"")</f>
        <v/>
      </c>
      <c r="F78" s="21">
        <f>IFERROR(INDEX('Tablero (To Do · Doing · Done)'!$F$6:$F$266,MATCH(73,'Tablero (To Do · Doing · Done)'!$T$6:$T$266,0))&amp;" · "&amp;INDEX('Tablero (To Do · Doing · Done)'!$G$6:$G$266,MATCH(73,'Tablero (To Do · Doing · Done)'!$T$6:$T$266,0)),"")</f>
        <v/>
      </c>
      <c r="H78" s="21">
        <f>IFERROR(INDEX('Tablero (To Do · Doing · Done)'!$B$6:$B$266,MATCH(73,'Tablero (To Do · Doing · Done)'!$U$6:$U$266,0)),"")</f>
        <v/>
      </c>
      <c r="I78" s="21">
        <f>IFERROR(INDEX('Tablero (To Do · Doing · Done)'!$F$6:$F$266,MATCH(73,'Tablero (To Do · Doing · Done)'!$U$6:$U$266,0))&amp;" · "&amp;INDEX('Tablero (To Do · Doing · Done)'!$G$6:$G$266,MATCH(73,'Tablero (To Do · Doing · Done)'!$U$6:$U$266,0)),"")</f>
        <v/>
      </c>
    </row>
    <row r="79">
      <c r="B79" s="21">
        <f>IFERROR(INDEX('Tablero (To Do · Doing · Done)'!$B$6:$B$266,MATCH(74,'Tablero (To Do · Doing · Done)'!$S$6:$S$266,0)),"")</f>
        <v/>
      </c>
      <c r="C79" s="21">
        <f>IFERROR(INDEX('Tablero (To Do · Doing · Done)'!$F$6:$F$266,MATCH(74,'Tablero (To Do · Doing · Done)'!$S$6:$S$266,0))&amp;" · "&amp;INDEX('Tablero (To Do · Doing · Done)'!$G$6:$G$266,MATCH(74,'Tablero (To Do · Doing · Done)'!$S$6:$S$266,0)),"")</f>
        <v/>
      </c>
      <c r="E79" s="21">
        <f>IFERROR(INDEX('Tablero (To Do · Doing · Done)'!$B$6:$B$266,MATCH(74,'Tablero (To Do · Doing · Done)'!$T$6:$T$266,0)),"")</f>
        <v/>
      </c>
      <c r="F79" s="21">
        <f>IFERROR(INDEX('Tablero (To Do · Doing · Done)'!$F$6:$F$266,MATCH(74,'Tablero (To Do · Doing · Done)'!$T$6:$T$266,0))&amp;" · "&amp;INDEX('Tablero (To Do · Doing · Done)'!$G$6:$G$266,MATCH(74,'Tablero (To Do · Doing · Done)'!$T$6:$T$266,0)),"")</f>
        <v/>
      </c>
      <c r="H79" s="21">
        <f>IFERROR(INDEX('Tablero (To Do · Doing · Done)'!$B$6:$B$266,MATCH(74,'Tablero (To Do · Doing · Done)'!$U$6:$U$266,0)),"")</f>
        <v/>
      </c>
      <c r="I79" s="21">
        <f>IFERROR(INDEX('Tablero (To Do · Doing · Done)'!$F$6:$F$266,MATCH(74,'Tablero (To Do · Doing · Done)'!$U$6:$U$266,0))&amp;" · "&amp;INDEX('Tablero (To Do · Doing · Done)'!$G$6:$G$266,MATCH(74,'Tablero (To Do · Doing · Done)'!$U$6:$U$266,0)),"")</f>
        <v/>
      </c>
    </row>
    <row r="80">
      <c r="B80" s="21">
        <f>IFERROR(INDEX('Tablero (To Do · Doing · Done)'!$B$6:$B$266,MATCH(75,'Tablero (To Do · Doing · Done)'!$S$6:$S$266,0)),"")</f>
        <v/>
      </c>
      <c r="C80" s="21">
        <f>IFERROR(INDEX('Tablero (To Do · Doing · Done)'!$F$6:$F$266,MATCH(75,'Tablero (To Do · Doing · Done)'!$S$6:$S$266,0))&amp;" · "&amp;INDEX('Tablero (To Do · Doing · Done)'!$G$6:$G$266,MATCH(75,'Tablero (To Do · Doing · Done)'!$S$6:$S$266,0)),"")</f>
        <v/>
      </c>
      <c r="E80" s="21">
        <f>IFERROR(INDEX('Tablero (To Do · Doing · Done)'!$B$6:$B$266,MATCH(75,'Tablero (To Do · Doing · Done)'!$T$6:$T$266,0)),"")</f>
        <v/>
      </c>
      <c r="F80" s="21">
        <f>IFERROR(INDEX('Tablero (To Do · Doing · Done)'!$F$6:$F$266,MATCH(75,'Tablero (To Do · Doing · Done)'!$T$6:$T$266,0))&amp;" · "&amp;INDEX('Tablero (To Do · Doing · Done)'!$G$6:$G$266,MATCH(75,'Tablero (To Do · Doing · Done)'!$T$6:$T$266,0)),"")</f>
        <v/>
      </c>
      <c r="H80" s="21">
        <f>IFERROR(INDEX('Tablero (To Do · Doing · Done)'!$B$6:$B$266,MATCH(75,'Tablero (To Do · Doing · Done)'!$U$6:$U$266,0)),"")</f>
        <v/>
      </c>
      <c r="I80" s="21">
        <f>IFERROR(INDEX('Tablero (To Do · Doing · Done)'!$F$6:$F$266,MATCH(75,'Tablero (To Do · Doing · Done)'!$U$6:$U$266,0))&amp;" · "&amp;INDEX('Tablero (To Do · Doing · Done)'!$G$6:$G$266,MATCH(75,'Tablero (To Do · Doing · Done)'!$U$6:$U$266,0)),"")</f>
        <v/>
      </c>
    </row>
    <row r="81">
      <c r="B81" s="21">
        <f>IFERROR(INDEX('Tablero (To Do · Doing · Done)'!$B$6:$B$266,MATCH(76,'Tablero (To Do · Doing · Done)'!$S$6:$S$266,0)),"")</f>
        <v/>
      </c>
      <c r="C81" s="21">
        <f>IFERROR(INDEX('Tablero (To Do · Doing · Done)'!$F$6:$F$266,MATCH(76,'Tablero (To Do · Doing · Done)'!$S$6:$S$266,0))&amp;" · "&amp;INDEX('Tablero (To Do · Doing · Done)'!$G$6:$G$266,MATCH(76,'Tablero (To Do · Doing · Done)'!$S$6:$S$266,0)),"")</f>
        <v/>
      </c>
      <c r="E81" s="21">
        <f>IFERROR(INDEX('Tablero (To Do · Doing · Done)'!$B$6:$B$266,MATCH(76,'Tablero (To Do · Doing · Done)'!$T$6:$T$266,0)),"")</f>
        <v/>
      </c>
      <c r="F81" s="21">
        <f>IFERROR(INDEX('Tablero (To Do · Doing · Done)'!$F$6:$F$266,MATCH(76,'Tablero (To Do · Doing · Done)'!$T$6:$T$266,0))&amp;" · "&amp;INDEX('Tablero (To Do · Doing · Done)'!$G$6:$G$266,MATCH(76,'Tablero (To Do · Doing · Done)'!$T$6:$T$266,0)),"")</f>
        <v/>
      </c>
      <c r="H81" s="21">
        <f>IFERROR(INDEX('Tablero (To Do · Doing · Done)'!$B$6:$B$266,MATCH(76,'Tablero (To Do · Doing · Done)'!$U$6:$U$266,0)),"")</f>
        <v/>
      </c>
      <c r="I81" s="21">
        <f>IFERROR(INDEX('Tablero (To Do · Doing · Done)'!$F$6:$F$266,MATCH(76,'Tablero (To Do · Doing · Done)'!$U$6:$U$266,0))&amp;" · "&amp;INDEX('Tablero (To Do · Doing · Done)'!$G$6:$G$266,MATCH(76,'Tablero (To Do · Doing · Done)'!$U$6:$U$266,0)),"")</f>
        <v/>
      </c>
    </row>
    <row r="82">
      <c r="B82" s="21">
        <f>IFERROR(INDEX('Tablero (To Do · Doing · Done)'!$B$6:$B$266,MATCH(77,'Tablero (To Do · Doing · Done)'!$S$6:$S$266,0)),"")</f>
        <v/>
      </c>
      <c r="C82" s="21">
        <f>IFERROR(INDEX('Tablero (To Do · Doing · Done)'!$F$6:$F$266,MATCH(77,'Tablero (To Do · Doing · Done)'!$S$6:$S$266,0))&amp;" · "&amp;INDEX('Tablero (To Do · Doing · Done)'!$G$6:$G$266,MATCH(77,'Tablero (To Do · Doing · Done)'!$S$6:$S$266,0)),"")</f>
        <v/>
      </c>
      <c r="E82" s="21">
        <f>IFERROR(INDEX('Tablero (To Do · Doing · Done)'!$B$6:$B$266,MATCH(77,'Tablero (To Do · Doing · Done)'!$T$6:$T$266,0)),"")</f>
        <v/>
      </c>
      <c r="F82" s="21">
        <f>IFERROR(INDEX('Tablero (To Do · Doing · Done)'!$F$6:$F$266,MATCH(77,'Tablero (To Do · Doing · Done)'!$T$6:$T$266,0))&amp;" · "&amp;INDEX('Tablero (To Do · Doing · Done)'!$G$6:$G$266,MATCH(77,'Tablero (To Do · Doing · Done)'!$T$6:$T$266,0)),"")</f>
        <v/>
      </c>
      <c r="H82" s="21">
        <f>IFERROR(INDEX('Tablero (To Do · Doing · Done)'!$B$6:$B$266,MATCH(77,'Tablero (To Do · Doing · Done)'!$U$6:$U$266,0)),"")</f>
        <v/>
      </c>
      <c r="I82" s="21">
        <f>IFERROR(INDEX('Tablero (To Do · Doing · Done)'!$F$6:$F$266,MATCH(77,'Tablero (To Do · Doing · Done)'!$U$6:$U$266,0))&amp;" · "&amp;INDEX('Tablero (To Do · Doing · Done)'!$G$6:$G$266,MATCH(77,'Tablero (To Do · Doing · Done)'!$U$6:$U$266,0)),"")</f>
        <v/>
      </c>
    </row>
    <row r="83">
      <c r="B83" s="21">
        <f>IFERROR(INDEX('Tablero (To Do · Doing · Done)'!$B$6:$B$266,MATCH(78,'Tablero (To Do · Doing · Done)'!$S$6:$S$266,0)),"")</f>
        <v/>
      </c>
      <c r="C83" s="21">
        <f>IFERROR(INDEX('Tablero (To Do · Doing · Done)'!$F$6:$F$266,MATCH(78,'Tablero (To Do · Doing · Done)'!$S$6:$S$266,0))&amp;" · "&amp;INDEX('Tablero (To Do · Doing · Done)'!$G$6:$G$266,MATCH(78,'Tablero (To Do · Doing · Done)'!$S$6:$S$266,0)),"")</f>
        <v/>
      </c>
      <c r="E83" s="21">
        <f>IFERROR(INDEX('Tablero (To Do · Doing · Done)'!$B$6:$B$266,MATCH(78,'Tablero (To Do · Doing · Done)'!$T$6:$T$266,0)),"")</f>
        <v/>
      </c>
      <c r="F83" s="21">
        <f>IFERROR(INDEX('Tablero (To Do · Doing · Done)'!$F$6:$F$266,MATCH(78,'Tablero (To Do · Doing · Done)'!$T$6:$T$266,0))&amp;" · "&amp;INDEX('Tablero (To Do · Doing · Done)'!$G$6:$G$266,MATCH(78,'Tablero (To Do · Doing · Done)'!$T$6:$T$266,0)),"")</f>
        <v/>
      </c>
      <c r="H83" s="21">
        <f>IFERROR(INDEX('Tablero (To Do · Doing · Done)'!$B$6:$B$266,MATCH(78,'Tablero (To Do · Doing · Done)'!$U$6:$U$266,0)),"")</f>
        <v/>
      </c>
      <c r="I83" s="21">
        <f>IFERROR(INDEX('Tablero (To Do · Doing · Done)'!$F$6:$F$266,MATCH(78,'Tablero (To Do · Doing · Done)'!$U$6:$U$266,0))&amp;" · "&amp;INDEX('Tablero (To Do · Doing · Done)'!$G$6:$G$266,MATCH(78,'Tablero (To Do · Doing · Done)'!$U$6:$U$266,0)),"")</f>
        <v/>
      </c>
    </row>
    <row r="84">
      <c r="B84" s="21">
        <f>IFERROR(INDEX('Tablero (To Do · Doing · Done)'!$B$6:$B$266,MATCH(79,'Tablero (To Do · Doing · Done)'!$S$6:$S$266,0)),"")</f>
        <v/>
      </c>
      <c r="C84" s="21">
        <f>IFERROR(INDEX('Tablero (To Do · Doing · Done)'!$F$6:$F$266,MATCH(79,'Tablero (To Do · Doing · Done)'!$S$6:$S$266,0))&amp;" · "&amp;INDEX('Tablero (To Do · Doing · Done)'!$G$6:$G$266,MATCH(79,'Tablero (To Do · Doing · Done)'!$S$6:$S$266,0)),"")</f>
        <v/>
      </c>
      <c r="E84" s="21">
        <f>IFERROR(INDEX('Tablero (To Do · Doing · Done)'!$B$6:$B$266,MATCH(79,'Tablero (To Do · Doing · Done)'!$T$6:$T$266,0)),"")</f>
        <v/>
      </c>
      <c r="F84" s="21">
        <f>IFERROR(INDEX('Tablero (To Do · Doing · Done)'!$F$6:$F$266,MATCH(79,'Tablero (To Do · Doing · Done)'!$T$6:$T$266,0))&amp;" · "&amp;INDEX('Tablero (To Do · Doing · Done)'!$G$6:$G$266,MATCH(79,'Tablero (To Do · Doing · Done)'!$T$6:$T$266,0)),"")</f>
        <v/>
      </c>
      <c r="H84" s="21">
        <f>IFERROR(INDEX('Tablero (To Do · Doing · Done)'!$B$6:$B$266,MATCH(79,'Tablero (To Do · Doing · Done)'!$U$6:$U$266,0)),"")</f>
        <v/>
      </c>
      <c r="I84" s="21">
        <f>IFERROR(INDEX('Tablero (To Do · Doing · Done)'!$F$6:$F$266,MATCH(79,'Tablero (To Do · Doing · Done)'!$U$6:$U$266,0))&amp;" · "&amp;INDEX('Tablero (To Do · Doing · Done)'!$G$6:$G$266,MATCH(79,'Tablero (To Do · Doing · Done)'!$U$6:$U$266,0)),"")</f>
        <v/>
      </c>
    </row>
    <row r="85">
      <c r="B85" s="21">
        <f>IFERROR(INDEX('Tablero (To Do · Doing · Done)'!$B$6:$B$266,MATCH(80,'Tablero (To Do · Doing · Done)'!$S$6:$S$266,0)),"")</f>
        <v/>
      </c>
      <c r="C85" s="21">
        <f>IFERROR(INDEX('Tablero (To Do · Doing · Done)'!$F$6:$F$266,MATCH(80,'Tablero (To Do · Doing · Done)'!$S$6:$S$266,0))&amp;" · "&amp;INDEX('Tablero (To Do · Doing · Done)'!$G$6:$G$266,MATCH(80,'Tablero (To Do · Doing · Done)'!$S$6:$S$266,0)),"")</f>
        <v/>
      </c>
      <c r="E85" s="21">
        <f>IFERROR(INDEX('Tablero (To Do · Doing · Done)'!$B$6:$B$266,MATCH(80,'Tablero (To Do · Doing · Done)'!$T$6:$T$266,0)),"")</f>
        <v/>
      </c>
      <c r="F85" s="21">
        <f>IFERROR(INDEX('Tablero (To Do · Doing · Done)'!$F$6:$F$266,MATCH(80,'Tablero (To Do · Doing · Done)'!$T$6:$T$266,0))&amp;" · "&amp;INDEX('Tablero (To Do · Doing · Done)'!$G$6:$G$266,MATCH(80,'Tablero (To Do · Doing · Done)'!$T$6:$T$266,0)),"")</f>
        <v/>
      </c>
      <c r="H85" s="21">
        <f>IFERROR(INDEX('Tablero (To Do · Doing · Done)'!$B$6:$B$266,MATCH(80,'Tablero (To Do · Doing · Done)'!$U$6:$U$266,0)),"")</f>
        <v/>
      </c>
      <c r="I85" s="21">
        <f>IFERROR(INDEX('Tablero (To Do · Doing · Done)'!$F$6:$F$266,MATCH(80,'Tablero (To Do · Doing · Done)'!$U$6:$U$266,0))&amp;" · "&amp;INDEX('Tablero (To Do · Doing · Done)'!$G$6:$G$266,MATCH(80,'Tablero (To Do · Doing · Done)'!$U$6:$U$266,0)),"")</f>
        <v/>
      </c>
    </row>
    <row r="86">
      <c r="B86" s="21">
        <f>IFERROR(INDEX('Tablero (To Do · Doing · Done)'!$B$6:$B$266,MATCH(81,'Tablero (To Do · Doing · Done)'!$S$6:$S$266,0)),"")</f>
        <v/>
      </c>
      <c r="C86" s="21">
        <f>IFERROR(INDEX('Tablero (To Do · Doing · Done)'!$F$6:$F$266,MATCH(81,'Tablero (To Do · Doing · Done)'!$S$6:$S$266,0))&amp;" · "&amp;INDEX('Tablero (To Do · Doing · Done)'!$G$6:$G$266,MATCH(81,'Tablero (To Do · Doing · Done)'!$S$6:$S$266,0)),"")</f>
        <v/>
      </c>
      <c r="E86" s="21">
        <f>IFERROR(INDEX('Tablero (To Do · Doing · Done)'!$B$6:$B$266,MATCH(81,'Tablero (To Do · Doing · Done)'!$T$6:$T$266,0)),"")</f>
        <v/>
      </c>
      <c r="F86" s="21">
        <f>IFERROR(INDEX('Tablero (To Do · Doing · Done)'!$F$6:$F$266,MATCH(81,'Tablero (To Do · Doing · Done)'!$T$6:$T$266,0))&amp;" · "&amp;INDEX('Tablero (To Do · Doing · Done)'!$G$6:$G$266,MATCH(81,'Tablero (To Do · Doing · Done)'!$T$6:$T$266,0)),"")</f>
        <v/>
      </c>
      <c r="H86" s="21">
        <f>IFERROR(INDEX('Tablero (To Do · Doing · Done)'!$B$6:$B$266,MATCH(81,'Tablero (To Do · Doing · Done)'!$U$6:$U$266,0)),"")</f>
        <v/>
      </c>
      <c r="I86" s="21">
        <f>IFERROR(INDEX('Tablero (To Do · Doing · Done)'!$F$6:$F$266,MATCH(81,'Tablero (To Do · Doing · Done)'!$U$6:$U$266,0))&amp;" · "&amp;INDEX('Tablero (To Do · Doing · Done)'!$G$6:$G$266,MATCH(81,'Tablero (To Do · Doing · Done)'!$U$6:$U$266,0)),"")</f>
        <v/>
      </c>
    </row>
    <row r="87">
      <c r="B87" s="21">
        <f>IFERROR(INDEX('Tablero (To Do · Doing · Done)'!$B$6:$B$266,MATCH(82,'Tablero (To Do · Doing · Done)'!$S$6:$S$266,0)),"")</f>
        <v/>
      </c>
      <c r="C87" s="21">
        <f>IFERROR(INDEX('Tablero (To Do · Doing · Done)'!$F$6:$F$266,MATCH(82,'Tablero (To Do · Doing · Done)'!$S$6:$S$266,0))&amp;" · "&amp;INDEX('Tablero (To Do · Doing · Done)'!$G$6:$G$266,MATCH(82,'Tablero (To Do · Doing · Done)'!$S$6:$S$266,0)),"")</f>
        <v/>
      </c>
      <c r="E87" s="21">
        <f>IFERROR(INDEX('Tablero (To Do · Doing · Done)'!$B$6:$B$266,MATCH(82,'Tablero (To Do · Doing · Done)'!$T$6:$T$266,0)),"")</f>
        <v/>
      </c>
      <c r="F87" s="21">
        <f>IFERROR(INDEX('Tablero (To Do · Doing · Done)'!$F$6:$F$266,MATCH(82,'Tablero (To Do · Doing · Done)'!$T$6:$T$266,0))&amp;" · "&amp;INDEX('Tablero (To Do · Doing · Done)'!$G$6:$G$266,MATCH(82,'Tablero (To Do · Doing · Done)'!$T$6:$T$266,0)),"")</f>
        <v/>
      </c>
      <c r="H87" s="21">
        <f>IFERROR(INDEX('Tablero (To Do · Doing · Done)'!$B$6:$B$266,MATCH(82,'Tablero (To Do · Doing · Done)'!$U$6:$U$266,0)),"")</f>
        <v/>
      </c>
      <c r="I87" s="21">
        <f>IFERROR(INDEX('Tablero (To Do · Doing · Done)'!$F$6:$F$266,MATCH(82,'Tablero (To Do · Doing · Done)'!$U$6:$U$266,0))&amp;" · "&amp;INDEX('Tablero (To Do · Doing · Done)'!$G$6:$G$266,MATCH(82,'Tablero (To Do · Doing · Done)'!$U$6:$U$266,0)),"")</f>
        <v/>
      </c>
    </row>
    <row r="88">
      <c r="B88" s="21">
        <f>IFERROR(INDEX('Tablero (To Do · Doing · Done)'!$B$6:$B$266,MATCH(83,'Tablero (To Do · Doing · Done)'!$S$6:$S$266,0)),"")</f>
        <v/>
      </c>
      <c r="C88" s="21">
        <f>IFERROR(INDEX('Tablero (To Do · Doing · Done)'!$F$6:$F$266,MATCH(83,'Tablero (To Do · Doing · Done)'!$S$6:$S$266,0))&amp;" · "&amp;INDEX('Tablero (To Do · Doing · Done)'!$G$6:$G$266,MATCH(83,'Tablero (To Do · Doing · Done)'!$S$6:$S$266,0)),"")</f>
        <v/>
      </c>
      <c r="E88" s="21">
        <f>IFERROR(INDEX('Tablero (To Do · Doing · Done)'!$B$6:$B$266,MATCH(83,'Tablero (To Do · Doing · Done)'!$T$6:$T$266,0)),"")</f>
        <v/>
      </c>
      <c r="F88" s="21">
        <f>IFERROR(INDEX('Tablero (To Do · Doing · Done)'!$F$6:$F$266,MATCH(83,'Tablero (To Do · Doing · Done)'!$T$6:$T$266,0))&amp;" · "&amp;INDEX('Tablero (To Do · Doing · Done)'!$G$6:$G$266,MATCH(83,'Tablero (To Do · Doing · Done)'!$T$6:$T$266,0)),"")</f>
        <v/>
      </c>
      <c r="H88" s="21">
        <f>IFERROR(INDEX('Tablero (To Do · Doing · Done)'!$B$6:$B$266,MATCH(83,'Tablero (To Do · Doing · Done)'!$U$6:$U$266,0)),"")</f>
        <v/>
      </c>
      <c r="I88" s="21">
        <f>IFERROR(INDEX('Tablero (To Do · Doing · Done)'!$F$6:$F$266,MATCH(83,'Tablero (To Do · Doing · Done)'!$U$6:$U$266,0))&amp;" · "&amp;INDEX('Tablero (To Do · Doing · Done)'!$G$6:$G$266,MATCH(83,'Tablero (To Do · Doing · Done)'!$U$6:$U$266,0)),"")</f>
        <v/>
      </c>
    </row>
    <row r="89">
      <c r="B89" s="21">
        <f>IFERROR(INDEX('Tablero (To Do · Doing · Done)'!$B$6:$B$266,MATCH(84,'Tablero (To Do · Doing · Done)'!$S$6:$S$266,0)),"")</f>
        <v/>
      </c>
      <c r="C89" s="21">
        <f>IFERROR(INDEX('Tablero (To Do · Doing · Done)'!$F$6:$F$266,MATCH(84,'Tablero (To Do · Doing · Done)'!$S$6:$S$266,0))&amp;" · "&amp;INDEX('Tablero (To Do · Doing · Done)'!$G$6:$G$266,MATCH(84,'Tablero (To Do · Doing · Done)'!$S$6:$S$266,0)),"")</f>
        <v/>
      </c>
      <c r="E89" s="21">
        <f>IFERROR(INDEX('Tablero (To Do · Doing · Done)'!$B$6:$B$266,MATCH(84,'Tablero (To Do · Doing · Done)'!$T$6:$T$266,0)),"")</f>
        <v/>
      </c>
      <c r="F89" s="21">
        <f>IFERROR(INDEX('Tablero (To Do · Doing · Done)'!$F$6:$F$266,MATCH(84,'Tablero (To Do · Doing · Done)'!$T$6:$T$266,0))&amp;" · "&amp;INDEX('Tablero (To Do · Doing · Done)'!$G$6:$G$266,MATCH(84,'Tablero (To Do · Doing · Done)'!$T$6:$T$266,0)),"")</f>
        <v/>
      </c>
      <c r="H89" s="21">
        <f>IFERROR(INDEX('Tablero (To Do · Doing · Done)'!$B$6:$B$266,MATCH(84,'Tablero (To Do · Doing · Done)'!$U$6:$U$266,0)),"")</f>
        <v/>
      </c>
      <c r="I89" s="21">
        <f>IFERROR(INDEX('Tablero (To Do · Doing · Done)'!$F$6:$F$266,MATCH(84,'Tablero (To Do · Doing · Done)'!$U$6:$U$266,0))&amp;" · "&amp;INDEX('Tablero (To Do · Doing · Done)'!$G$6:$G$266,MATCH(84,'Tablero (To Do · Doing · Done)'!$U$6:$U$266,0)),"")</f>
        <v/>
      </c>
    </row>
    <row r="90">
      <c r="B90" s="21">
        <f>IFERROR(INDEX('Tablero (To Do · Doing · Done)'!$B$6:$B$266,MATCH(85,'Tablero (To Do · Doing · Done)'!$S$6:$S$266,0)),"")</f>
        <v/>
      </c>
      <c r="C90" s="21">
        <f>IFERROR(INDEX('Tablero (To Do · Doing · Done)'!$F$6:$F$266,MATCH(85,'Tablero (To Do · Doing · Done)'!$S$6:$S$266,0))&amp;" · "&amp;INDEX('Tablero (To Do · Doing · Done)'!$G$6:$G$266,MATCH(85,'Tablero (To Do · Doing · Done)'!$S$6:$S$266,0)),"")</f>
        <v/>
      </c>
      <c r="E90" s="21">
        <f>IFERROR(INDEX('Tablero (To Do · Doing · Done)'!$B$6:$B$266,MATCH(85,'Tablero (To Do · Doing · Done)'!$T$6:$T$266,0)),"")</f>
        <v/>
      </c>
      <c r="F90" s="21">
        <f>IFERROR(INDEX('Tablero (To Do · Doing · Done)'!$F$6:$F$266,MATCH(85,'Tablero (To Do · Doing · Done)'!$T$6:$T$266,0))&amp;" · "&amp;INDEX('Tablero (To Do · Doing · Done)'!$G$6:$G$266,MATCH(85,'Tablero (To Do · Doing · Done)'!$T$6:$T$266,0)),"")</f>
        <v/>
      </c>
      <c r="H90" s="21">
        <f>IFERROR(INDEX('Tablero (To Do · Doing · Done)'!$B$6:$B$266,MATCH(85,'Tablero (To Do · Doing · Done)'!$U$6:$U$266,0)),"")</f>
        <v/>
      </c>
      <c r="I90" s="21">
        <f>IFERROR(INDEX('Tablero (To Do · Doing · Done)'!$F$6:$F$266,MATCH(85,'Tablero (To Do · Doing · Done)'!$U$6:$U$266,0))&amp;" · "&amp;INDEX('Tablero (To Do · Doing · Done)'!$G$6:$G$266,MATCH(85,'Tablero (To Do · Doing · Done)'!$U$6:$U$266,0)),"")</f>
        <v/>
      </c>
    </row>
    <row r="91">
      <c r="B91" s="21">
        <f>IFERROR(INDEX('Tablero (To Do · Doing · Done)'!$B$6:$B$266,MATCH(86,'Tablero (To Do · Doing · Done)'!$S$6:$S$266,0)),"")</f>
        <v/>
      </c>
      <c r="C91" s="21">
        <f>IFERROR(INDEX('Tablero (To Do · Doing · Done)'!$F$6:$F$266,MATCH(86,'Tablero (To Do · Doing · Done)'!$S$6:$S$266,0))&amp;" · "&amp;INDEX('Tablero (To Do · Doing · Done)'!$G$6:$G$266,MATCH(86,'Tablero (To Do · Doing · Done)'!$S$6:$S$266,0)),"")</f>
        <v/>
      </c>
      <c r="E91" s="21">
        <f>IFERROR(INDEX('Tablero (To Do · Doing · Done)'!$B$6:$B$266,MATCH(86,'Tablero (To Do · Doing · Done)'!$T$6:$T$266,0)),"")</f>
        <v/>
      </c>
      <c r="F91" s="21">
        <f>IFERROR(INDEX('Tablero (To Do · Doing · Done)'!$F$6:$F$266,MATCH(86,'Tablero (To Do · Doing · Done)'!$T$6:$T$266,0))&amp;" · "&amp;INDEX('Tablero (To Do · Doing · Done)'!$G$6:$G$266,MATCH(86,'Tablero (To Do · Doing · Done)'!$T$6:$T$266,0)),"")</f>
        <v/>
      </c>
      <c r="H91" s="21">
        <f>IFERROR(INDEX('Tablero (To Do · Doing · Done)'!$B$6:$B$266,MATCH(86,'Tablero (To Do · Doing · Done)'!$U$6:$U$266,0)),"")</f>
        <v/>
      </c>
      <c r="I91" s="21">
        <f>IFERROR(INDEX('Tablero (To Do · Doing · Done)'!$F$6:$F$266,MATCH(86,'Tablero (To Do · Doing · Done)'!$U$6:$U$266,0))&amp;" · "&amp;INDEX('Tablero (To Do · Doing · Done)'!$G$6:$G$266,MATCH(86,'Tablero (To Do · Doing · Done)'!$U$6:$U$266,0)),"")</f>
        <v/>
      </c>
    </row>
    <row r="92">
      <c r="B92" s="21">
        <f>IFERROR(INDEX('Tablero (To Do · Doing · Done)'!$B$6:$B$266,MATCH(87,'Tablero (To Do · Doing · Done)'!$S$6:$S$266,0)),"")</f>
        <v/>
      </c>
      <c r="C92" s="21">
        <f>IFERROR(INDEX('Tablero (To Do · Doing · Done)'!$F$6:$F$266,MATCH(87,'Tablero (To Do · Doing · Done)'!$S$6:$S$266,0))&amp;" · "&amp;INDEX('Tablero (To Do · Doing · Done)'!$G$6:$G$266,MATCH(87,'Tablero (To Do · Doing · Done)'!$S$6:$S$266,0)),"")</f>
        <v/>
      </c>
      <c r="E92" s="21">
        <f>IFERROR(INDEX('Tablero (To Do · Doing · Done)'!$B$6:$B$266,MATCH(87,'Tablero (To Do · Doing · Done)'!$T$6:$T$266,0)),"")</f>
        <v/>
      </c>
      <c r="F92" s="21">
        <f>IFERROR(INDEX('Tablero (To Do · Doing · Done)'!$F$6:$F$266,MATCH(87,'Tablero (To Do · Doing · Done)'!$T$6:$T$266,0))&amp;" · "&amp;INDEX('Tablero (To Do · Doing · Done)'!$G$6:$G$266,MATCH(87,'Tablero (To Do · Doing · Done)'!$T$6:$T$266,0)),"")</f>
        <v/>
      </c>
      <c r="H92" s="21">
        <f>IFERROR(INDEX('Tablero (To Do · Doing · Done)'!$B$6:$B$266,MATCH(87,'Tablero (To Do · Doing · Done)'!$U$6:$U$266,0)),"")</f>
        <v/>
      </c>
      <c r="I92" s="21">
        <f>IFERROR(INDEX('Tablero (To Do · Doing · Done)'!$F$6:$F$266,MATCH(87,'Tablero (To Do · Doing · Done)'!$U$6:$U$266,0))&amp;" · "&amp;INDEX('Tablero (To Do · Doing · Done)'!$G$6:$G$266,MATCH(87,'Tablero (To Do · Doing · Done)'!$U$6:$U$266,0)),"")</f>
        <v/>
      </c>
    </row>
    <row r="93">
      <c r="B93" s="21">
        <f>IFERROR(INDEX('Tablero (To Do · Doing · Done)'!$B$6:$B$266,MATCH(88,'Tablero (To Do · Doing · Done)'!$S$6:$S$266,0)),"")</f>
        <v/>
      </c>
      <c r="C93" s="21">
        <f>IFERROR(INDEX('Tablero (To Do · Doing · Done)'!$F$6:$F$266,MATCH(88,'Tablero (To Do · Doing · Done)'!$S$6:$S$266,0))&amp;" · "&amp;INDEX('Tablero (To Do · Doing · Done)'!$G$6:$G$266,MATCH(88,'Tablero (To Do · Doing · Done)'!$S$6:$S$266,0)),"")</f>
        <v/>
      </c>
      <c r="E93" s="21">
        <f>IFERROR(INDEX('Tablero (To Do · Doing · Done)'!$B$6:$B$266,MATCH(88,'Tablero (To Do · Doing · Done)'!$T$6:$T$266,0)),"")</f>
        <v/>
      </c>
      <c r="F93" s="21">
        <f>IFERROR(INDEX('Tablero (To Do · Doing · Done)'!$F$6:$F$266,MATCH(88,'Tablero (To Do · Doing · Done)'!$T$6:$T$266,0))&amp;" · "&amp;INDEX('Tablero (To Do · Doing · Done)'!$G$6:$G$266,MATCH(88,'Tablero (To Do · Doing · Done)'!$T$6:$T$266,0)),"")</f>
        <v/>
      </c>
      <c r="H93" s="21">
        <f>IFERROR(INDEX('Tablero (To Do · Doing · Done)'!$B$6:$B$266,MATCH(88,'Tablero (To Do · Doing · Done)'!$U$6:$U$266,0)),"")</f>
        <v/>
      </c>
      <c r="I93" s="21">
        <f>IFERROR(INDEX('Tablero (To Do · Doing · Done)'!$F$6:$F$266,MATCH(88,'Tablero (To Do · Doing · Done)'!$U$6:$U$266,0))&amp;" · "&amp;INDEX('Tablero (To Do · Doing · Done)'!$G$6:$G$266,MATCH(88,'Tablero (To Do · Doing · Done)'!$U$6:$U$266,0)),"")</f>
        <v/>
      </c>
    </row>
    <row r="94">
      <c r="B94" s="21">
        <f>IFERROR(INDEX('Tablero (To Do · Doing · Done)'!$B$6:$B$266,MATCH(89,'Tablero (To Do · Doing · Done)'!$S$6:$S$266,0)),"")</f>
        <v/>
      </c>
      <c r="C94" s="21">
        <f>IFERROR(INDEX('Tablero (To Do · Doing · Done)'!$F$6:$F$266,MATCH(89,'Tablero (To Do · Doing · Done)'!$S$6:$S$266,0))&amp;" · "&amp;INDEX('Tablero (To Do · Doing · Done)'!$G$6:$G$266,MATCH(89,'Tablero (To Do · Doing · Done)'!$S$6:$S$266,0)),"")</f>
        <v/>
      </c>
      <c r="E94" s="21">
        <f>IFERROR(INDEX('Tablero (To Do · Doing · Done)'!$B$6:$B$266,MATCH(89,'Tablero (To Do · Doing · Done)'!$T$6:$T$266,0)),"")</f>
        <v/>
      </c>
      <c r="F94" s="21">
        <f>IFERROR(INDEX('Tablero (To Do · Doing · Done)'!$F$6:$F$266,MATCH(89,'Tablero (To Do · Doing · Done)'!$T$6:$T$266,0))&amp;" · "&amp;INDEX('Tablero (To Do · Doing · Done)'!$G$6:$G$266,MATCH(89,'Tablero (To Do · Doing · Done)'!$T$6:$T$266,0)),"")</f>
        <v/>
      </c>
      <c r="H94" s="21">
        <f>IFERROR(INDEX('Tablero (To Do · Doing · Done)'!$B$6:$B$266,MATCH(89,'Tablero (To Do · Doing · Done)'!$U$6:$U$266,0)),"")</f>
        <v/>
      </c>
      <c r="I94" s="21">
        <f>IFERROR(INDEX('Tablero (To Do · Doing · Done)'!$F$6:$F$266,MATCH(89,'Tablero (To Do · Doing · Done)'!$U$6:$U$266,0))&amp;" · "&amp;INDEX('Tablero (To Do · Doing · Done)'!$G$6:$G$266,MATCH(89,'Tablero (To Do · Doing · Done)'!$U$6:$U$266,0)),"")</f>
        <v/>
      </c>
    </row>
    <row r="95">
      <c r="B95" s="21">
        <f>IFERROR(INDEX('Tablero (To Do · Doing · Done)'!$B$6:$B$266,MATCH(90,'Tablero (To Do · Doing · Done)'!$S$6:$S$266,0)),"")</f>
        <v/>
      </c>
      <c r="C95" s="21">
        <f>IFERROR(INDEX('Tablero (To Do · Doing · Done)'!$F$6:$F$266,MATCH(90,'Tablero (To Do · Doing · Done)'!$S$6:$S$266,0))&amp;" · "&amp;INDEX('Tablero (To Do · Doing · Done)'!$G$6:$G$266,MATCH(90,'Tablero (To Do · Doing · Done)'!$S$6:$S$266,0)),"")</f>
        <v/>
      </c>
      <c r="E95" s="21">
        <f>IFERROR(INDEX('Tablero (To Do · Doing · Done)'!$B$6:$B$266,MATCH(90,'Tablero (To Do · Doing · Done)'!$T$6:$T$266,0)),"")</f>
        <v/>
      </c>
      <c r="F95" s="21">
        <f>IFERROR(INDEX('Tablero (To Do · Doing · Done)'!$F$6:$F$266,MATCH(90,'Tablero (To Do · Doing · Done)'!$T$6:$T$266,0))&amp;" · "&amp;INDEX('Tablero (To Do · Doing · Done)'!$G$6:$G$266,MATCH(90,'Tablero (To Do · Doing · Done)'!$T$6:$T$266,0)),"")</f>
        <v/>
      </c>
      <c r="H95" s="21">
        <f>IFERROR(INDEX('Tablero (To Do · Doing · Done)'!$B$6:$B$266,MATCH(90,'Tablero (To Do · Doing · Done)'!$U$6:$U$266,0)),"")</f>
        <v/>
      </c>
      <c r="I95" s="21">
        <f>IFERROR(INDEX('Tablero (To Do · Doing · Done)'!$F$6:$F$266,MATCH(90,'Tablero (To Do · Doing · Done)'!$U$6:$U$266,0))&amp;" · "&amp;INDEX('Tablero (To Do · Doing · Done)'!$G$6:$G$266,MATCH(90,'Tablero (To Do · Doing · Done)'!$U$6:$U$266,0)),"")</f>
        <v/>
      </c>
    </row>
    <row r="96">
      <c r="B96" s="21">
        <f>IFERROR(INDEX('Tablero (To Do · Doing · Done)'!$B$6:$B$266,MATCH(91,'Tablero (To Do · Doing · Done)'!$S$6:$S$266,0)),"")</f>
        <v/>
      </c>
      <c r="C96" s="21">
        <f>IFERROR(INDEX('Tablero (To Do · Doing · Done)'!$F$6:$F$266,MATCH(91,'Tablero (To Do · Doing · Done)'!$S$6:$S$266,0))&amp;" · "&amp;INDEX('Tablero (To Do · Doing · Done)'!$G$6:$G$266,MATCH(91,'Tablero (To Do · Doing · Done)'!$S$6:$S$266,0)),"")</f>
        <v/>
      </c>
      <c r="E96" s="21">
        <f>IFERROR(INDEX('Tablero (To Do · Doing · Done)'!$B$6:$B$266,MATCH(91,'Tablero (To Do · Doing · Done)'!$T$6:$T$266,0)),"")</f>
        <v/>
      </c>
      <c r="F96" s="21">
        <f>IFERROR(INDEX('Tablero (To Do · Doing · Done)'!$F$6:$F$266,MATCH(91,'Tablero (To Do · Doing · Done)'!$T$6:$T$266,0))&amp;" · "&amp;INDEX('Tablero (To Do · Doing · Done)'!$G$6:$G$266,MATCH(91,'Tablero (To Do · Doing · Done)'!$T$6:$T$266,0)),"")</f>
        <v/>
      </c>
      <c r="H96" s="21">
        <f>IFERROR(INDEX('Tablero (To Do · Doing · Done)'!$B$6:$B$266,MATCH(91,'Tablero (To Do · Doing · Done)'!$U$6:$U$266,0)),"")</f>
        <v/>
      </c>
      <c r="I96" s="21">
        <f>IFERROR(INDEX('Tablero (To Do · Doing · Done)'!$F$6:$F$266,MATCH(91,'Tablero (To Do · Doing · Done)'!$U$6:$U$266,0))&amp;" · "&amp;INDEX('Tablero (To Do · Doing · Done)'!$G$6:$G$266,MATCH(91,'Tablero (To Do · Doing · Done)'!$U$6:$U$266,0)),"")</f>
        <v/>
      </c>
    </row>
    <row r="97">
      <c r="B97" s="21">
        <f>IFERROR(INDEX('Tablero (To Do · Doing · Done)'!$B$6:$B$266,MATCH(92,'Tablero (To Do · Doing · Done)'!$S$6:$S$266,0)),"")</f>
        <v/>
      </c>
      <c r="C97" s="21">
        <f>IFERROR(INDEX('Tablero (To Do · Doing · Done)'!$F$6:$F$266,MATCH(92,'Tablero (To Do · Doing · Done)'!$S$6:$S$266,0))&amp;" · "&amp;INDEX('Tablero (To Do · Doing · Done)'!$G$6:$G$266,MATCH(92,'Tablero (To Do · Doing · Done)'!$S$6:$S$266,0)),"")</f>
        <v/>
      </c>
      <c r="E97" s="21">
        <f>IFERROR(INDEX('Tablero (To Do · Doing · Done)'!$B$6:$B$266,MATCH(92,'Tablero (To Do · Doing · Done)'!$T$6:$T$266,0)),"")</f>
        <v/>
      </c>
      <c r="F97" s="21">
        <f>IFERROR(INDEX('Tablero (To Do · Doing · Done)'!$F$6:$F$266,MATCH(92,'Tablero (To Do · Doing · Done)'!$T$6:$T$266,0))&amp;" · "&amp;INDEX('Tablero (To Do · Doing · Done)'!$G$6:$G$266,MATCH(92,'Tablero (To Do · Doing · Done)'!$T$6:$T$266,0)),"")</f>
        <v/>
      </c>
      <c r="H97" s="21">
        <f>IFERROR(INDEX('Tablero (To Do · Doing · Done)'!$B$6:$B$266,MATCH(92,'Tablero (To Do · Doing · Done)'!$U$6:$U$266,0)),"")</f>
        <v/>
      </c>
      <c r="I97" s="21">
        <f>IFERROR(INDEX('Tablero (To Do · Doing · Done)'!$F$6:$F$266,MATCH(92,'Tablero (To Do · Doing · Done)'!$U$6:$U$266,0))&amp;" · "&amp;INDEX('Tablero (To Do · Doing · Done)'!$G$6:$G$266,MATCH(92,'Tablero (To Do · Doing · Done)'!$U$6:$U$266,0)),"")</f>
        <v/>
      </c>
    </row>
    <row r="98">
      <c r="B98" s="21">
        <f>IFERROR(INDEX('Tablero (To Do · Doing · Done)'!$B$6:$B$266,MATCH(93,'Tablero (To Do · Doing · Done)'!$S$6:$S$266,0)),"")</f>
        <v/>
      </c>
      <c r="C98" s="21">
        <f>IFERROR(INDEX('Tablero (To Do · Doing · Done)'!$F$6:$F$266,MATCH(93,'Tablero (To Do · Doing · Done)'!$S$6:$S$266,0))&amp;" · "&amp;INDEX('Tablero (To Do · Doing · Done)'!$G$6:$G$266,MATCH(93,'Tablero (To Do · Doing · Done)'!$S$6:$S$266,0)),"")</f>
        <v/>
      </c>
      <c r="E98" s="21">
        <f>IFERROR(INDEX('Tablero (To Do · Doing · Done)'!$B$6:$B$266,MATCH(93,'Tablero (To Do · Doing · Done)'!$T$6:$T$266,0)),"")</f>
        <v/>
      </c>
      <c r="F98" s="21">
        <f>IFERROR(INDEX('Tablero (To Do · Doing · Done)'!$F$6:$F$266,MATCH(93,'Tablero (To Do · Doing · Done)'!$T$6:$T$266,0))&amp;" · "&amp;INDEX('Tablero (To Do · Doing · Done)'!$G$6:$G$266,MATCH(93,'Tablero (To Do · Doing · Done)'!$T$6:$T$266,0)),"")</f>
        <v/>
      </c>
      <c r="H98" s="21">
        <f>IFERROR(INDEX('Tablero (To Do · Doing · Done)'!$B$6:$B$266,MATCH(93,'Tablero (To Do · Doing · Done)'!$U$6:$U$266,0)),"")</f>
        <v/>
      </c>
      <c r="I98" s="21">
        <f>IFERROR(INDEX('Tablero (To Do · Doing · Done)'!$F$6:$F$266,MATCH(93,'Tablero (To Do · Doing · Done)'!$U$6:$U$266,0))&amp;" · "&amp;INDEX('Tablero (To Do · Doing · Done)'!$G$6:$G$266,MATCH(93,'Tablero (To Do · Doing · Done)'!$U$6:$U$266,0)),"")</f>
        <v/>
      </c>
    </row>
    <row r="99">
      <c r="B99" s="21">
        <f>IFERROR(INDEX('Tablero (To Do · Doing · Done)'!$B$6:$B$266,MATCH(94,'Tablero (To Do · Doing · Done)'!$S$6:$S$266,0)),"")</f>
        <v/>
      </c>
      <c r="C99" s="21">
        <f>IFERROR(INDEX('Tablero (To Do · Doing · Done)'!$F$6:$F$266,MATCH(94,'Tablero (To Do · Doing · Done)'!$S$6:$S$266,0))&amp;" · "&amp;INDEX('Tablero (To Do · Doing · Done)'!$G$6:$G$266,MATCH(94,'Tablero (To Do · Doing · Done)'!$S$6:$S$266,0)),"")</f>
        <v/>
      </c>
      <c r="E99" s="21">
        <f>IFERROR(INDEX('Tablero (To Do · Doing · Done)'!$B$6:$B$266,MATCH(94,'Tablero (To Do · Doing · Done)'!$T$6:$T$266,0)),"")</f>
        <v/>
      </c>
      <c r="F99" s="21">
        <f>IFERROR(INDEX('Tablero (To Do · Doing · Done)'!$F$6:$F$266,MATCH(94,'Tablero (To Do · Doing · Done)'!$T$6:$T$266,0))&amp;" · "&amp;INDEX('Tablero (To Do · Doing · Done)'!$G$6:$G$266,MATCH(94,'Tablero (To Do · Doing · Done)'!$T$6:$T$266,0)),"")</f>
        <v/>
      </c>
      <c r="H99" s="21">
        <f>IFERROR(INDEX('Tablero (To Do · Doing · Done)'!$B$6:$B$266,MATCH(94,'Tablero (To Do · Doing · Done)'!$U$6:$U$266,0)),"")</f>
        <v/>
      </c>
      <c r="I99" s="21">
        <f>IFERROR(INDEX('Tablero (To Do · Doing · Done)'!$F$6:$F$266,MATCH(94,'Tablero (To Do · Doing · Done)'!$U$6:$U$266,0))&amp;" · "&amp;INDEX('Tablero (To Do · Doing · Done)'!$G$6:$G$266,MATCH(94,'Tablero (To Do · Doing · Done)'!$U$6:$U$266,0)),"")</f>
        <v/>
      </c>
    </row>
    <row r="100">
      <c r="B100" s="21">
        <f>IFERROR(INDEX('Tablero (To Do · Doing · Done)'!$B$6:$B$266,MATCH(95,'Tablero (To Do · Doing · Done)'!$S$6:$S$266,0)),"")</f>
        <v/>
      </c>
      <c r="C100" s="21">
        <f>IFERROR(INDEX('Tablero (To Do · Doing · Done)'!$F$6:$F$266,MATCH(95,'Tablero (To Do · Doing · Done)'!$S$6:$S$266,0))&amp;" · "&amp;INDEX('Tablero (To Do · Doing · Done)'!$G$6:$G$266,MATCH(95,'Tablero (To Do · Doing · Done)'!$S$6:$S$266,0)),"")</f>
        <v/>
      </c>
      <c r="E100" s="21">
        <f>IFERROR(INDEX('Tablero (To Do · Doing · Done)'!$B$6:$B$266,MATCH(95,'Tablero (To Do · Doing · Done)'!$T$6:$T$266,0)),"")</f>
        <v/>
      </c>
      <c r="F100" s="21">
        <f>IFERROR(INDEX('Tablero (To Do · Doing · Done)'!$F$6:$F$266,MATCH(95,'Tablero (To Do · Doing · Done)'!$T$6:$T$266,0))&amp;" · "&amp;INDEX('Tablero (To Do · Doing · Done)'!$G$6:$G$266,MATCH(95,'Tablero (To Do · Doing · Done)'!$T$6:$T$266,0)),"")</f>
        <v/>
      </c>
      <c r="H100" s="21">
        <f>IFERROR(INDEX('Tablero (To Do · Doing · Done)'!$B$6:$B$266,MATCH(95,'Tablero (To Do · Doing · Done)'!$U$6:$U$266,0)),"")</f>
        <v/>
      </c>
      <c r="I100" s="21">
        <f>IFERROR(INDEX('Tablero (To Do · Doing · Done)'!$F$6:$F$266,MATCH(95,'Tablero (To Do · Doing · Done)'!$U$6:$U$266,0))&amp;" · "&amp;INDEX('Tablero (To Do · Doing · Done)'!$G$6:$G$266,MATCH(95,'Tablero (To Do · Doing · Done)'!$U$6:$U$266,0)),"")</f>
        <v/>
      </c>
    </row>
    <row r="101">
      <c r="B101" s="21">
        <f>IFERROR(INDEX('Tablero (To Do · Doing · Done)'!$B$6:$B$266,MATCH(96,'Tablero (To Do · Doing · Done)'!$S$6:$S$266,0)),"")</f>
        <v/>
      </c>
      <c r="C101" s="21">
        <f>IFERROR(INDEX('Tablero (To Do · Doing · Done)'!$F$6:$F$266,MATCH(96,'Tablero (To Do · Doing · Done)'!$S$6:$S$266,0))&amp;" · "&amp;INDEX('Tablero (To Do · Doing · Done)'!$G$6:$G$266,MATCH(96,'Tablero (To Do · Doing · Done)'!$S$6:$S$266,0)),"")</f>
        <v/>
      </c>
      <c r="E101" s="21">
        <f>IFERROR(INDEX('Tablero (To Do · Doing · Done)'!$B$6:$B$266,MATCH(96,'Tablero (To Do · Doing · Done)'!$T$6:$T$266,0)),"")</f>
        <v/>
      </c>
      <c r="F101" s="21">
        <f>IFERROR(INDEX('Tablero (To Do · Doing · Done)'!$F$6:$F$266,MATCH(96,'Tablero (To Do · Doing · Done)'!$T$6:$T$266,0))&amp;" · "&amp;INDEX('Tablero (To Do · Doing · Done)'!$G$6:$G$266,MATCH(96,'Tablero (To Do · Doing · Done)'!$T$6:$T$266,0)),"")</f>
        <v/>
      </c>
      <c r="H101" s="21">
        <f>IFERROR(INDEX('Tablero (To Do · Doing · Done)'!$B$6:$B$266,MATCH(96,'Tablero (To Do · Doing · Done)'!$U$6:$U$266,0)),"")</f>
        <v/>
      </c>
      <c r="I101" s="21">
        <f>IFERROR(INDEX('Tablero (To Do · Doing · Done)'!$F$6:$F$266,MATCH(96,'Tablero (To Do · Doing · Done)'!$U$6:$U$266,0))&amp;" · "&amp;INDEX('Tablero (To Do · Doing · Done)'!$G$6:$G$266,MATCH(96,'Tablero (To Do · Doing · Done)'!$U$6:$U$266,0)),"")</f>
        <v/>
      </c>
    </row>
    <row r="102">
      <c r="B102" s="21">
        <f>IFERROR(INDEX('Tablero (To Do · Doing · Done)'!$B$6:$B$266,MATCH(97,'Tablero (To Do · Doing · Done)'!$S$6:$S$266,0)),"")</f>
        <v/>
      </c>
      <c r="C102" s="21">
        <f>IFERROR(INDEX('Tablero (To Do · Doing · Done)'!$F$6:$F$266,MATCH(97,'Tablero (To Do · Doing · Done)'!$S$6:$S$266,0))&amp;" · "&amp;INDEX('Tablero (To Do · Doing · Done)'!$G$6:$G$266,MATCH(97,'Tablero (To Do · Doing · Done)'!$S$6:$S$266,0)),"")</f>
        <v/>
      </c>
      <c r="E102" s="21">
        <f>IFERROR(INDEX('Tablero (To Do · Doing · Done)'!$B$6:$B$266,MATCH(97,'Tablero (To Do · Doing · Done)'!$T$6:$T$266,0)),"")</f>
        <v/>
      </c>
      <c r="F102" s="21">
        <f>IFERROR(INDEX('Tablero (To Do · Doing · Done)'!$F$6:$F$266,MATCH(97,'Tablero (To Do · Doing · Done)'!$T$6:$T$266,0))&amp;" · "&amp;INDEX('Tablero (To Do · Doing · Done)'!$G$6:$G$266,MATCH(97,'Tablero (To Do · Doing · Done)'!$T$6:$T$266,0)),"")</f>
        <v/>
      </c>
      <c r="H102" s="21">
        <f>IFERROR(INDEX('Tablero (To Do · Doing · Done)'!$B$6:$B$266,MATCH(97,'Tablero (To Do · Doing · Done)'!$U$6:$U$266,0)),"")</f>
        <v/>
      </c>
      <c r="I102" s="21">
        <f>IFERROR(INDEX('Tablero (To Do · Doing · Done)'!$F$6:$F$266,MATCH(97,'Tablero (To Do · Doing · Done)'!$U$6:$U$266,0))&amp;" · "&amp;INDEX('Tablero (To Do · Doing · Done)'!$G$6:$G$266,MATCH(97,'Tablero (To Do · Doing · Done)'!$U$6:$U$266,0)),"")</f>
        <v/>
      </c>
    </row>
    <row r="103">
      <c r="B103" s="21">
        <f>IFERROR(INDEX('Tablero (To Do · Doing · Done)'!$B$6:$B$266,MATCH(98,'Tablero (To Do · Doing · Done)'!$S$6:$S$266,0)),"")</f>
        <v/>
      </c>
      <c r="C103" s="21">
        <f>IFERROR(INDEX('Tablero (To Do · Doing · Done)'!$F$6:$F$266,MATCH(98,'Tablero (To Do · Doing · Done)'!$S$6:$S$266,0))&amp;" · "&amp;INDEX('Tablero (To Do · Doing · Done)'!$G$6:$G$266,MATCH(98,'Tablero (To Do · Doing · Done)'!$S$6:$S$266,0)),"")</f>
        <v/>
      </c>
      <c r="E103" s="21">
        <f>IFERROR(INDEX('Tablero (To Do · Doing · Done)'!$B$6:$B$266,MATCH(98,'Tablero (To Do · Doing · Done)'!$T$6:$T$266,0)),"")</f>
        <v/>
      </c>
      <c r="F103" s="21">
        <f>IFERROR(INDEX('Tablero (To Do · Doing · Done)'!$F$6:$F$266,MATCH(98,'Tablero (To Do · Doing · Done)'!$T$6:$T$266,0))&amp;" · "&amp;INDEX('Tablero (To Do · Doing · Done)'!$G$6:$G$266,MATCH(98,'Tablero (To Do · Doing · Done)'!$T$6:$T$266,0)),"")</f>
        <v/>
      </c>
      <c r="H103" s="21">
        <f>IFERROR(INDEX('Tablero (To Do · Doing · Done)'!$B$6:$B$266,MATCH(98,'Tablero (To Do · Doing · Done)'!$U$6:$U$266,0)),"")</f>
        <v/>
      </c>
      <c r="I103" s="21">
        <f>IFERROR(INDEX('Tablero (To Do · Doing · Done)'!$F$6:$F$266,MATCH(98,'Tablero (To Do · Doing · Done)'!$U$6:$U$266,0))&amp;" · "&amp;INDEX('Tablero (To Do · Doing · Done)'!$G$6:$G$266,MATCH(98,'Tablero (To Do · Doing · Done)'!$U$6:$U$266,0)),"")</f>
        <v/>
      </c>
    </row>
    <row r="104">
      <c r="B104" s="21">
        <f>IFERROR(INDEX('Tablero (To Do · Doing · Done)'!$B$6:$B$266,MATCH(99,'Tablero (To Do · Doing · Done)'!$S$6:$S$266,0)),"")</f>
        <v/>
      </c>
      <c r="C104" s="21">
        <f>IFERROR(INDEX('Tablero (To Do · Doing · Done)'!$F$6:$F$266,MATCH(99,'Tablero (To Do · Doing · Done)'!$S$6:$S$266,0))&amp;" · "&amp;INDEX('Tablero (To Do · Doing · Done)'!$G$6:$G$266,MATCH(99,'Tablero (To Do · Doing · Done)'!$S$6:$S$266,0)),"")</f>
        <v/>
      </c>
      <c r="E104" s="21">
        <f>IFERROR(INDEX('Tablero (To Do · Doing · Done)'!$B$6:$B$266,MATCH(99,'Tablero (To Do · Doing · Done)'!$T$6:$T$266,0)),"")</f>
        <v/>
      </c>
      <c r="F104" s="21">
        <f>IFERROR(INDEX('Tablero (To Do · Doing · Done)'!$F$6:$F$266,MATCH(99,'Tablero (To Do · Doing · Done)'!$T$6:$T$266,0))&amp;" · "&amp;INDEX('Tablero (To Do · Doing · Done)'!$G$6:$G$266,MATCH(99,'Tablero (To Do · Doing · Done)'!$T$6:$T$266,0)),"")</f>
        <v/>
      </c>
      <c r="H104" s="21">
        <f>IFERROR(INDEX('Tablero (To Do · Doing · Done)'!$B$6:$B$266,MATCH(99,'Tablero (To Do · Doing · Done)'!$U$6:$U$266,0)),"")</f>
        <v/>
      </c>
      <c r="I104" s="21">
        <f>IFERROR(INDEX('Tablero (To Do · Doing · Done)'!$F$6:$F$266,MATCH(99,'Tablero (To Do · Doing · Done)'!$U$6:$U$266,0))&amp;" · "&amp;INDEX('Tablero (To Do · Doing · Done)'!$G$6:$G$266,MATCH(99,'Tablero (To Do · Doing · Done)'!$U$6:$U$266,0)),"")</f>
        <v/>
      </c>
    </row>
    <row r="105">
      <c r="B105" s="21">
        <f>IFERROR(INDEX('Tablero (To Do · Doing · Done)'!$B$6:$B$266,MATCH(100,'Tablero (To Do · Doing · Done)'!$S$6:$S$266,0)),"")</f>
        <v/>
      </c>
      <c r="C105" s="21">
        <f>IFERROR(INDEX('Tablero (To Do · Doing · Done)'!$F$6:$F$266,MATCH(100,'Tablero (To Do · Doing · Done)'!$S$6:$S$266,0))&amp;" · "&amp;INDEX('Tablero (To Do · Doing · Done)'!$G$6:$G$266,MATCH(100,'Tablero (To Do · Doing · Done)'!$S$6:$S$266,0)),"")</f>
        <v/>
      </c>
      <c r="E105" s="21">
        <f>IFERROR(INDEX('Tablero (To Do · Doing · Done)'!$B$6:$B$266,MATCH(100,'Tablero (To Do · Doing · Done)'!$T$6:$T$266,0)),"")</f>
        <v/>
      </c>
      <c r="F105" s="21">
        <f>IFERROR(INDEX('Tablero (To Do · Doing · Done)'!$F$6:$F$266,MATCH(100,'Tablero (To Do · Doing · Done)'!$T$6:$T$266,0))&amp;" · "&amp;INDEX('Tablero (To Do · Doing · Done)'!$G$6:$G$266,MATCH(100,'Tablero (To Do · Doing · Done)'!$T$6:$T$266,0)),"")</f>
        <v/>
      </c>
      <c r="H105" s="21">
        <f>IFERROR(INDEX('Tablero (To Do · Doing · Done)'!$B$6:$B$266,MATCH(100,'Tablero (To Do · Doing · Done)'!$U$6:$U$266,0)),"")</f>
        <v/>
      </c>
      <c r="I105" s="21">
        <f>IFERROR(INDEX('Tablero (To Do · Doing · Done)'!$F$6:$F$266,MATCH(100,'Tablero (To Do · Doing · Done)'!$U$6:$U$266,0))&amp;" · "&amp;INDEX('Tablero (To Do · Doing · Done)'!$G$6:$G$266,MATCH(100,'Tablero (To Do · Doing · Done)'!$U$6:$U$266,0)),"")</f>
        <v/>
      </c>
    </row>
    <row r="106">
      <c r="B106" s="21">
        <f>IFERROR(INDEX('Tablero (To Do · Doing · Done)'!$B$6:$B$266,MATCH(101,'Tablero (To Do · Doing · Done)'!$S$6:$S$266,0)),"")</f>
        <v/>
      </c>
      <c r="C106" s="21">
        <f>IFERROR(INDEX('Tablero (To Do · Doing · Done)'!$F$6:$F$266,MATCH(101,'Tablero (To Do · Doing · Done)'!$S$6:$S$266,0))&amp;" · "&amp;INDEX('Tablero (To Do · Doing · Done)'!$G$6:$G$266,MATCH(101,'Tablero (To Do · Doing · Done)'!$S$6:$S$266,0)),"")</f>
        <v/>
      </c>
      <c r="E106" s="21">
        <f>IFERROR(INDEX('Tablero (To Do · Doing · Done)'!$B$6:$B$266,MATCH(101,'Tablero (To Do · Doing · Done)'!$T$6:$T$266,0)),"")</f>
        <v/>
      </c>
      <c r="F106" s="21">
        <f>IFERROR(INDEX('Tablero (To Do · Doing · Done)'!$F$6:$F$266,MATCH(101,'Tablero (To Do · Doing · Done)'!$T$6:$T$266,0))&amp;" · "&amp;INDEX('Tablero (To Do · Doing · Done)'!$G$6:$G$266,MATCH(101,'Tablero (To Do · Doing · Done)'!$T$6:$T$266,0)),"")</f>
        <v/>
      </c>
      <c r="H106" s="21">
        <f>IFERROR(INDEX('Tablero (To Do · Doing · Done)'!$B$6:$B$266,MATCH(101,'Tablero (To Do · Doing · Done)'!$U$6:$U$266,0)),"")</f>
        <v/>
      </c>
      <c r="I106" s="21">
        <f>IFERROR(INDEX('Tablero (To Do · Doing · Done)'!$F$6:$F$266,MATCH(101,'Tablero (To Do · Doing · Done)'!$U$6:$U$266,0))&amp;" · "&amp;INDEX('Tablero (To Do · Doing · Done)'!$G$6:$G$266,MATCH(101,'Tablero (To Do · Doing · Done)'!$U$6:$U$266,0)),"")</f>
        <v/>
      </c>
    </row>
    <row r="107">
      <c r="B107" s="21">
        <f>IFERROR(INDEX('Tablero (To Do · Doing · Done)'!$B$6:$B$266,MATCH(102,'Tablero (To Do · Doing · Done)'!$S$6:$S$266,0)),"")</f>
        <v/>
      </c>
      <c r="C107" s="21">
        <f>IFERROR(INDEX('Tablero (To Do · Doing · Done)'!$F$6:$F$266,MATCH(102,'Tablero (To Do · Doing · Done)'!$S$6:$S$266,0))&amp;" · "&amp;INDEX('Tablero (To Do · Doing · Done)'!$G$6:$G$266,MATCH(102,'Tablero (To Do · Doing · Done)'!$S$6:$S$266,0)),"")</f>
        <v/>
      </c>
      <c r="E107" s="21">
        <f>IFERROR(INDEX('Tablero (To Do · Doing · Done)'!$B$6:$B$266,MATCH(102,'Tablero (To Do · Doing · Done)'!$T$6:$T$266,0)),"")</f>
        <v/>
      </c>
      <c r="F107" s="21">
        <f>IFERROR(INDEX('Tablero (To Do · Doing · Done)'!$F$6:$F$266,MATCH(102,'Tablero (To Do · Doing · Done)'!$T$6:$T$266,0))&amp;" · "&amp;INDEX('Tablero (To Do · Doing · Done)'!$G$6:$G$266,MATCH(102,'Tablero (To Do · Doing · Done)'!$T$6:$T$266,0)),"")</f>
        <v/>
      </c>
      <c r="H107" s="21">
        <f>IFERROR(INDEX('Tablero (To Do · Doing · Done)'!$B$6:$B$266,MATCH(102,'Tablero (To Do · Doing · Done)'!$U$6:$U$266,0)),"")</f>
        <v/>
      </c>
      <c r="I107" s="21">
        <f>IFERROR(INDEX('Tablero (To Do · Doing · Done)'!$F$6:$F$266,MATCH(102,'Tablero (To Do · Doing · Done)'!$U$6:$U$266,0))&amp;" · "&amp;INDEX('Tablero (To Do · Doing · Done)'!$G$6:$G$266,MATCH(102,'Tablero (To Do · Doing · Done)'!$U$6:$U$266,0)),"")</f>
        <v/>
      </c>
    </row>
    <row r="108">
      <c r="B108" s="21">
        <f>IFERROR(INDEX('Tablero (To Do · Doing · Done)'!$B$6:$B$266,MATCH(103,'Tablero (To Do · Doing · Done)'!$S$6:$S$266,0)),"")</f>
        <v/>
      </c>
      <c r="C108" s="21">
        <f>IFERROR(INDEX('Tablero (To Do · Doing · Done)'!$F$6:$F$266,MATCH(103,'Tablero (To Do · Doing · Done)'!$S$6:$S$266,0))&amp;" · "&amp;INDEX('Tablero (To Do · Doing · Done)'!$G$6:$G$266,MATCH(103,'Tablero (To Do · Doing · Done)'!$S$6:$S$266,0)),"")</f>
        <v/>
      </c>
      <c r="E108" s="21">
        <f>IFERROR(INDEX('Tablero (To Do · Doing · Done)'!$B$6:$B$266,MATCH(103,'Tablero (To Do · Doing · Done)'!$T$6:$T$266,0)),"")</f>
        <v/>
      </c>
      <c r="F108" s="21">
        <f>IFERROR(INDEX('Tablero (To Do · Doing · Done)'!$F$6:$F$266,MATCH(103,'Tablero (To Do · Doing · Done)'!$T$6:$T$266,0))&amp;" · "&amp;INDEX('Tablero (To Do · Doing · Done)'!$G$6:$G$266,MATCH(103,'Tablero (To Do · Doing · Done)'!$T$6:$T$266,0)),"")</f>
        <v/>
      </c>
      <c r="H108" s="21">
        <f>IFERROR(INDEX('Tablero (To Do · Doing · Done)'!$B$6:$B$266,MATCH(103,'Tablero (To Do · Doing · Done)'!$U$6:$U$266,0)),"")</f>
        <v/>
      </c>
      <c r="I108" s="21">
        <f>IFERROR(INDEX('Tablero (To Do · Doing · Done)'!$F$6:$F$266,MATCH(103,'Tablero (To Do · Doing · Done)'!$U$6:$U$266,0))&amp;" · "&amp;INDEX('Tablero (To Do · Doing · Done)'!$G$6:$G$266,MATCH(103,'Tablero (To Do · Doing · Done)'!$U$6:$U$266,0)),"")</f>
        <v/>
      </c>
    </row>
    <row r="109">
      <c r="B109" s="21">
        <f>IFERROR(INDEX('Tablero (To Do · Doing · Done)'!$B$6:$B$266,MATCH(104,'Tablero (To Do · Doing · Done)'!$S$6:$S$266,0)),"")</f>
        <v/>
      </c>
      <c r="C109" s="21">
        <f>IFERROR(INDEX('Tablero (To Do · Doing · Done)'!$F$6:$F$266,MATCH(104,'Tablero (To Do · Doing · Done)'!$S$6:$S$266,0))&amp;" · "&amp;INDEX('Tablero (To Do · Doing · Done)'!$G$6:$G$266,MATCH(104,'Tablero (To Do · Doing · Done)'!$S$6:$S$266,0)),"")</f>
        <v/>
      </c>
      <c r="E109" s="21">
        <f>IFERROR(INDEX('Tablero (To Do · Doing · Done)'!$B$6:$B$266,MATCH(104,'Tablero (To Do · Doing · Done)'!$T$6:$T$266,0)),"")</f>
        <v/>
      </c>
      <c r="F109" s="21">
        <f>IFERROR(INDEX('Tablero (To Do · Doing · Done)'!$F$6:$F$266,MATCH(104,'Tablero (To Do · Doing · Done)'!$T$6:$T$266,0))&amp;" · "&amp;INDEX('Tablero (To Do · Doing · Done)'!$G$6:$G$266,MATCH(104,'Tablero (To Do · Doing · Done)'!$T$6:$T$266,0)),"")</f>
        <v/>
      </c>
      <c r="H109" s="21">
        <f>IFERROR(INDEX('Tablero (To Do · Doing · Done)'!$B$6:$B$266,MATCH(104,'Tablero (To Do · Doing · Done)'!$U$6:$U$266,0)),"")</f>
        <v/>
      </c>
      <c r="I109" s="21">
        <f>IFERROR(INDEX('Tablero (To Do · Doing · Done)'!$F$6:$F$266,MATCH(104,'Tablero (To Do · Doing · Done)'!$U$6:$U$266,0))&amp;" · "&amp;INDEX('Tablero (To Do · Doing · Done)'!$G$6:$G$266,MATCH(104,'Tablero (To Do · Doing · Done)'!$U$6:$U$266,0)),"")</f>
        <v/>
      </c>
    </row>
    <row r="110">
      <c r="B110" s="21">
        <f>IFERROR(INDEX('Tablero (To Do · Doing · Done)'!$B$6:$B$266,MATCH(105,'Tablero (To Do · Doing · Done)'!$S$6:$S$266,0)),"")</f>
        <v/>
      </c>
      <c r="C110" s="21">
        <f>IFERROR(INDEX('Tablero (To Do · Doing · Done)'!$F$6:$F$266,MATCH(105,'Tablero (To Do · Doing · Done)'!$S$6:$S$266,0))&amp;" · "&amp;INDEX('Tablero (To Do · Doing · Done)'!$G$6:$G$266,MATCH(105,'Tablero (To Do · Doing · Done)'!$S$6:$S$266,0)),"")</f>
        <v/>
      </c>
      <c r="E110" s="21">
        <f>IFERROR(INDEX('Tablero (To Do · Doing · Done)'!$B$6:$B$266,MATCH(105,'Tablero (To Do · Doing · Done)'!$T$6:$T$266,0)),"")</f>
        <v/>
      </c>
      <c r="F110" s="21">
        <f>IFERROR(INDEX('Tablero (To Do · Doing · Done)'!$F$6:$F$266,MATCH(105,'Tablero (To Do · Doing · Done)'!$T$6:$T$266,0))&amp;" · "&amp;INDEX('Tablero (To Do · Doing · Done)'!$G$6:$G$266,MATCH(105,'Tablero (To Do · Doing · Done)'!$T$6:$T$266,0)),"")</f>
        <v/>
      </c>
      <c r="H110" s="21">
        <f>IFERROR(INDEX('Tablero (To Do · Doing · Done)'!$B$6:$B$266,MATCH(105,'Tablero (To Do · Doing · Done)'!$U$6:$U$266,0)),"")</f>
        <v/>
      </c>
      <c r="I110" s="21">
        <f>IFERROR(INDEX('Tablero (To Do · Doing · Done)'!$F$6:$F$266,MATCH(105,'Tablero (To Do · Doing · Done)'!$U$6:$U$266,0))&amp;" · "&amp;INDEX('Tablero (To Do · Doing · Done)'!$G$6:$G$266,MATCH(105,'Tablero (To Do · Doing · Done)'!$U$6:$U$266,0)),"")</f>
        <v/>
      </c>
    </row>
    <row r="111">
      <c r="B111" s="21">
        <f>IFERROR(INDEX('Tablero (To Do · Doing · Done)'!$B$6:$B$266,MATCH(106,'Tablero (To Do · Doing · Done)'!$S$6:$S$266,0)),"")</f>
        <v/>
      </c>
      <c r="C111" s="21">
        <f>IFERROR(INDEX('Tablero (To Do · Doing · Done)'!$F$6:$F$266,MATCH(106,'Tablero (To Do · Doing · Done)'!$S$6:$S$266,0))&amp;" · "&amp;INDEX('Tablero (To Do · Doing · Done)'!$G$6:$G$266,MATCH(106,'Tablero (To Do · Doing · Done)'!$S$6:$S$266,0)),"")</f>
        <v/>
      </c>
      <c r="E111" s="21">
        <f>IFERROR(INDEX('Tablero (To Do · Doing · Done)'!$B$6:$B$266,MATCH(106,'Tablero (To Do · Doing · Done)'!$T$6:$T$266,0)),"")</f>
        <v/>
      </c>
      <c r="F111" s="21">
        <f>IFERROR(INDEX('Tablero (To Do · Doing · Done)'!$F$6:$F$266,MATCH(106,'Tablero (To Do · Doing · Done)'!$T$6:$T$266,0))&amp;" · "&amp;INDEX('Tablero (To Do · Doing · Done)'!$G$6:$G$266,MATCH(106,'Tablero (To Do · Doing · Done)'!$T$6:$T$266,0)),"")</f>
        <v/>
      </c>
      <c r="H111" s="21">
        <f>IFERROR(INDEX('Tablero (To Do · Doing · Done)'!$B$6:$B$266,MATCH(106,'Tablero (To Do · Doing · Done)'!$U$6:$U$266,0)),"")</f>
        <v/>
      </c>
      <c r="I111" s="21">
        <f>IFERROR(INDEX('Tablero (To Do · Doing · Done)'!$F$6:$F$266,MATCH(106,'Tablero (To Do · Doing · Done)'!$U$6:$U$266,0))&amp;" · "&amp;INDEX('Tablero (To Do · Doing · Done)'!$G$6:$G$266,MATCH(106,'Tablero (To Do · Doing · Done)'!$U$6:$U$266,0)),"")</f>
        <v/>
      </c>
    </row>
    <row r="112">
      <c r="B112" s="21">
        <f>IFERROR(INDEX('Tablero (To Do · Doing · Done)'!$B$6:$B$266,MATCH(107,'Tablero (To Do · Doing · Done)'!$S$6:$S$266,0)),"")</f>
        <v/>
      </c>
      <c r="C112" s="21">
        <f>IFERROR(INDEX('Tablero (To Do · Doing · Done)'!$F$6:$F$266,MATCH(107,'Tablero (To Do · Doing · Done)'!$S$6:$S$266,0))&amp;" · "&amp;INDEX('Tablero (To Do · Doing · Done)'!$G$6:$G$266,MATCH(107,'Tablero (To Do · Doing · Done)'!$S$6:$S$266,0)),"")</f>
        <v/>
      </c>
      <c r="E112" s="21">
        <f>IFERROR(INDEX('Tablero (To Do · Doing · Done)'!$B$6:$B$266,MATCH(107,'Tablero (To Do · Doing · Done)'!$T$6:$T$266,0)),"")</f>
        <v/>
      </c>
      <c r="F112" s="21">
        <f>IFERROR(INDEX('Tablero (To Do · Doing · Done)'!$F$6:$F$266,MATCH(107,'Tablero (To Do · Doing · Done)'!$T$6:$T$266,0))&amp;" · "&amp;INDEX('Tablero (To Do · Doing · Done)'!$G$6:$G$266,MATCH(107,'Tablero (To Do · Doing · Done)'!$T$6:$T$266,0)),"")</f>
        <v/>
      </c>
      <c r="H112" s="21">
        <f>IFERROR(INDEX('Tablero (To Do · Doing · Done)'!$B$6:$B$266,MATCH(107,'Tablero (To Do · Doing · Done)'!$U$6:$U$266,0)),"")</f>
        <v/>
      </c>
      <c r="I112" s="21">
        <f>IFERROR(INDEX('Tablero (To Do · Doing · Done)'!$F$6:$F$266,MATCH(107,'Tablero (To Do · Doing · Done)'!$U$6:$U$266,0))&amp;" · "&amp;INDEX('Tablero (To Do · Doing · Done)'!$G$6:$G$266,MATCH(107,'Tablero (To Do · Doing · Done)'!$U$6:$U$266,0)),"")</f>
        <v/>
      </c>
    </row>
    <row r="113">
      <c r="B113" s="21">
        <f>IFERROR(INDEX('Tablero (To Do · Doing · Done)'!$B$6:$B$266,MATCH(108,'Tablero (To Do · Doing · Done)'!$S$6:$S$266,0)),"")</f>
        <v/>
      </c>
      <c r="C113" s="21">
        <f>IFERROR(INDEX('Tablero (To Do · Doing · Done)'!$F$6:$F$266,MATCH(108,'Tablero (To Do · Doing · Done)'!$S$6:$S$266,0))&amp;" · "&amp;INDEX('Tablero (To Do · Doing · Done)'!$G$6:$G$266,MATCH(108,'Tablero (To Do · Doing · Done)'!$S$6:$S$266,0)),"")</f>
        <v/>
      </c>
      <c r="E113" s="21">
        <f>IFERROR(INDEX('Tablero (To Do · Doing · Done)'!$B$6:$B$266,MATCH(108,'Tablero (To Do · Doing · Done)'!$T$6:$T$266,0)),"")</f>
        <v/>
      </c>
      <c r="F113" s="21">
        <f>IFERROR(INDEX('Tablero (To Do · Doing · Done)'!$F$6:$F$266,MATCH(108,'Tablero (To Do · Doing · Done)'!$T$6:$T$266,0))&amp;" · "&amp;INDEX('Tablero (To Do · Doing · Done)'!$G$6:$G$266,MATCH(108,'Tablero (To Do · Doing · Done)'!$T$6:$T$266,0)),"")</f>
        <v/>
      </c>
      <c r="H113" s="21">
        <f>IFERROR(INDEX('Tablero (To Do · Doing · Done)'!$B$6:$B$266,MATCH(108,'Tablero (To Do · Doing · Done)'!$U$6:$U$266,0)),"")</f>
        <v/>
      </c>
      <c r="I113" s="21">
        <f>IFERROR(INDEX('Tablero (To Do · Doing · Done)'!$F$6:$F$266,MATCH(108,'Tablero (To Do · Doing · Done)'!$U$6:$U$266,0))&amp;" · "&amp;INDEX('Tablero (To Do · Doing · Done)'!$G$6:$G$266,MATCH(108,'Tablero (To Do · Doing · Done)'!$U$6:$U$266,0)),"")</f>
        <v/>
      </c>
    </row>
    <row r="114">
      <c r="B114" s="21">
        <f>IFERROR(INDEX('Tablero (To Do · Doing · Done)'!$B$6:$B$266,MATCH(109,'Tablero (To Do · Doing · Done)'!$S$6:$S$266,0)),"")</f>
        <v/>
      </c>
      <c r="C114" s="21">
        <f>IFERROR(INDEX('Tablero (To Do · Doing · Done)'!$F$6:$F$266,MATCH(109,'Tablero (To Do · Doing · Done)'!$S$6:$S$266,0))&amp;" · "&amp;INDEX('Tablero (To Do · Doing · Done)'!$G$6:$G$266,MATCH(109,'Tablero (To Do · Doing · Done)'!$S$6:$S$266,0)),"")</f>
        <v/>
      </c>
      <c r="E114" s="21">
        <f>IFERROR(INDEX('Tablero (To Do · Doing · Done)'!$B$6:$B$266,MATCH(109,'Tablero (To Do · Doing · Done)'!$T$6:$T$266,0)),"")</f>
        <v/>
      </c>
      <c r="F114" s="21">
        <f>IFERROR(INDEX('Tablero (To Do · Doing · Done)'!$F$6:$F$266,MATCH(109,'Tablero (To Do · Doing · Done)'!$T$6:$T$266,0))&amp;" · "&amp;INDEX('Tablero (To Do · Doing · Done)'!$G$6:$G$266,MATCH(109,'Tablero (To Do · Doing · Done)'!$T$6:$T$266,0)),"")</f>
        <v/>
      </c>
      <c r="H114" s="21">
        <f>IFERROR(INDEX('Tablero (To Do · Doing · Done)'!$B$6:$B$266,MATCH(109,'Tablero (To Do · Doing · Done)'!$U$6:$U$266,0)),"")</f>
        <v/>
      </c>
      <c r="I114" s="21">
        <f>IFERROR(INDEX('Tablero (To Do · Doing · Done)'!$F$6:$F$266,MATCH(109,'Tablero (To Do · Doing · Done)'!$U$6:$U$266,0))&amp;" · "&amp;INDEX('Tablero (To Do · Doing · Done)'!$G$6:$G$266,MATCH(109,'Tablero (To Do · Doing · Done)'!$U$6:$U$266,0)),"")</f>
        <v/>
      </c>
    </row>
    <row r="115">
      <c r="B115" s="21">
        <f>IFERROR(INDEX('Tablero (To Do · Doing · Done)'!$B$6:$B$266,MATCH(110,'Tablero (To Do · Doing · Done)'!$S$6:$S$266,0)),"")</f>
        <v/>
      </c>
      <c r="C115" s="21">
        <f>IFERROR(INDEX('Tablero (To Do · Doing · Done)'!$F$6:$F$266,MATCH(110,'Tablero (To Do · Doing · Done)'!$S$6:$S$266,0))&amp;" · "&amp;INDEX('Tablero (To Do · Doing · Done)'!$G$6:$G$266,MATCH(110,'Tablero (To Do · Doing · Done)'!$S$6:$S$266,0)),"")</f>
        <v/>
      </c>
      <c r="E115" s="21">
        <f>IFERROR(INDEX('Tablero (To Do · Doing · Done)'!$B$6:$B$266,MATCH(110,'Tablero (To Do · Doing · Done)'!$T$6:$T$266,0)),"")</f>
        <v/>
      </c>
      <c r="F115" s="21">
        <f>IFERROR(INDEX('Tablero (To Do · Doing · Done)'!$F$6:$F$266,MATCH(110,'Tablero (To Do · Doing · Done)'!$T$6:$T$266,0))&amp;" · "&amp;INDEX('Tablero (To Do · Doing · Done)'!$G$6:$G$266,MATCH(110,'Tablero (To Do · Doing · Done)'!$T$6:$T$266,0)),"")</f>
        <v/>
      </c>
      <c r="H115" s="21">
        <f>IFERROR(INDEX('Tablero (To Do · Doing · Done)'!$B$6:$B$266,MATCH(110,'Tablero (To Do · Doing · Done)'!$U$6:$U$266,0)),"")</f>
        <v/>
      </c>
      <c r="I115" s="21">
        <f>IFERROR(INDEX('Tablero (To Do · Doing · Done)'!$F$6:$F$266,MATCH(110,'Tablero (To Do · Doing · Done)'!$U$6:$U$266,0))&amp;" · "&amp;INDEX('Tablero (To Do · Doing · Done)'!$G$6:$G$266,MATCH(110,'Tablero (To Do · Doing · Done)'!$U$6:$U$266,0)),"")</f>
        <v/>
      </c>
    </row>
    <row r="116">
      <c r="B116" s="21">
        <f>IFERROR(INDEX('Tablero (To Do · Doing · Done)'!$B$6:$B$266,MATCH(111,'Tablero (To Do · Doing · Done)'!$S$6:$S$266,0)),"")</f>
        <v/>
      </c>
      <c r="C116" s="21">
        <f>IFERROR(INDEX('Tablero (To Do · Doing · Done)'!$F$6:$F$266,MATCH(111,'Tablero (To Do · Doing · Done)'!$S$6:$S$266,0))&amp;" · "&amp;INDEX('Tablero (To Do · Doing · Done)'!$G$6:$G$266,MATCH(111,'Tablero (To Do · Doing · Done)'!$S$6:$S$266,0)),"")</f>
        <v/>
      </c>
      <c r="E116" s="21">
        <f>IFERROR(INDEX('Tablero (To Do · Doing · Done)'!$B$6:$B$266,MATCH(111,'Tablero (To Do · Doing · Done)'!$T$6:$T$266,0)),"")</f>
        <v/>
      </c>
      <c r="F116" s="21">
        <f>IFERROR(INDEX('Tablero (To Do · Doing · Done)'!$F$6:$F$266,MATCH(111,'Tablero (To Do · Doing · Done)'!$T$6:$T$266,0))&amp;" · "&amp;INDEX('Tablero (To Do · Doing · Done)'!$G$6:$G$266,MATCH(111,'Tablero (To Do · Doing · Done)'!$T$6:$T$266,0)),"")</f>
        <v/>
      </c>
      <c r="H116" s="21">
        <f>IFERROR(INDEX('Tablero (To Do · Doing · Done)'!$B$6:$B$266,MATCH(111,'Tablero (To Do · Doing · Done)'!$U$6:$U$266,0)),"")</f>
        <v/>
      </c>
      <c r="I116" s="21">
        <f>IFERROR(INDEX('Tablero (To Do · Doing · Done)'!$F$6:$F$266,MATCH(111,'Tablero (To Do · Doing · Done)'!$U$6:$U$266,0))&amp;" · "&amp;INDEX('Tablero (To Do · Doing · Done)'!$G$6:$G$266,MATCH(111,'Tablero (To Do · Doing · Done)'!$U$6:$U$266,0)),"")</f>
        <v/>
      </c>
    </row>
    <row r="117">
      <c r="B117" s="21">
        <f>IFERROR(INDEX('Tablero (To Do · Doing · Done)'!$B$6:$B$266,MATCH(112,'Tablero (To Do · Doing · Done)'!$S$6:$S$266,0)),"")</f>
        <v/>
      </c>
      <c r="C117" s="21">
        <f>IFERROR(INDEX('Tablero (To Do · Doing · Done)'!$F$6:$F$266,MATCH(112,'Tablero (To Do · Doing · Done)'!$S$6:$S$266,0))&amp;" · "&amp;INDEX('Tablero (To Do · Doing · Done)'!$G$6:$G$266,MATCH(112,'Tablero (To Do · Doing · Done)'!$S$6:$S$266,0)),"")</f>
        <v/>
      </c>
      <c r="E117" s="21">
        <f>IFERROR(INDEX('Tablero (To Do · Doing · Done)'!$B$6:$B$266,MATCH(112,'Tablero (To Do · Doing · Done)'!$T$6:$T$266,0)),"")</f>
        <v/>
      </c>
      <c r="F117" s="21">
        <f>IFERROR(INDEX('Tablero (To Do · Doing · Done)'!$F$6:$F$266,MATCH(112,'Tablero (To Do · Doing · Done)'!$T$6:$T$266,0))&amp;" · "&amp;INDEX('Tablero (To Do · Doing · Done)'!$G$6:$G$266,MATCH(112,'Tablero (To Do · Doing · Done)'!$T$6:$T$266,0)),"")</f>
        <v/>
      </c>
      <c r="H117" s="21">
        <f>IFERROR(INDEX('Tablero (To Do · Doing · Done)'!$B$6:$B$266,MATCH(112,'Tablero (To Do · Doing · Done)'!$U$6:$U$266,0)),"")</f>
        <v/>
      </c>
      <c r="I117" s="21">
        <f>IFERROR(INDEX('Tablero (To Do · Doing · Done)'!$F$6:$F$266,MATCH(112,'Tablero (To Do · Doing · Done)'!$U$6:$U$266,0))&amp;" · "&amp;INDEX('Tablero (To Do · Doing · Done)'!$G$6:$G$266,MATCH(112,'Tablero (To Do · Doing · Done)'!$U$6:$U$266,0)),"")</f>
        <v/>
      </c>
    </row>
    <row r="118">
      <c r="B118" s="21">
        <f>IFERROR(INDEX('Tablero (To Do · Doing · Done)'!$B$6:$B$266,MATCH(113,'Tablero (To Do · Doing · Done)'!$S$6:$S$266,0)),"")</f>
        <v/>
      </c>
      <c r="C118" s="21">
        <f>IFERROR(INDEX('Tablero (To Do · Doing · Done)'!$F$6:$F$266,MATCH(113,'Tablero (To Do · Doing · Done)'!$S$6:$S$266,0))&amp;" · "&amp;INDEX('Tablero (To Do · Doing · Done)'!$G$6:$G$266,MATCH(113,'Tablero (To Do · Doing · Done)'!$S$6:$S$266,0)),"")</f>
        <v/>
      </c>
      <c r="E118" s="21">
        <f>IFERROR(INDEX('Tablero (To Do · Doing · Done)'!$B$6:$B$266,MATCH(113,'Tablero (To Do · Doing · Done)'!$T$6:$T$266,0)),"")</f>
        <v/>
      </c>
      <c r="F118" s="21">
        <f>IFERROR(INDEX('Tablero (To Do · Doing · Done)'!$F$6:$F$266,MATCH(113,'Tablero (To Do · Doing · Done)'!$T$6:$T$266,0))&amp;" · "&amp;INDEX('Tablero (To Do · Doing · Done)'!$G$6:$G$266,MATCH(113,'Tablero (To Do · Doing · Done)'!$T$6:$T$266,0)),"")</f>
        <v/>
      </c>
      <c r="H118" s="21">
        <f>IFERROR(INDEX('Tablero (To Do · Doing · Done)'!$B$6:$B$266,MATCH(113,'Tablero (To Do · Doing · Done)'!$U$6:$U$266,0)),"")</f>
        <v/>
      </c>
      <c r="I118" s="21">
        <f>IFERROR(INDEX('Tablero (To Do · Doing · Done)'!$F$6:$F$266,MATCH(113,'Tablero (To Do · Doing · Done)'!$U$6:$U$266,0))&amp;" · "&amp;INDEX('Tablero (To Do · Doing · Done)'!$G$6:$G$266,MATCH(113,'Tablero (To Do · Doing · Done)'!$U$6:$U$266,0)),"")</f>
        <v/>
      </c>
    </row>
    <row r="119">
      <c r="B119" s="21">
        <f>IFERROR(INDEX('Tablero (To Do · Doing · Done)'!$B$6:$B$266,MATCH(114,'Tablero (To Do · Doing · Done)'!$S$6:$S$266,0)),"")</f>
        <v/>
      </c>
      <c r="C119" s="21">
        <f>IFERROR(INDEX('Tablero (To Do · Doing · Done)'!$F$6:$F$266,MATCH(114,'Tablero (To Do · Doing · Done)'!$S$6:$S$266,0))&amp;" · "&amp;INDEX('Tablero (To Do · Doing · Done)'!$G$6:$G$266,MATCH(114,'Tablero (To Do · Doing · Done)'!$S$6:$S$266,0)),"")</f>
        <v/>
      </c>
      <c r="E119" s="21">
        <f>IFERROR(INDEX('Tablero (To Do · Doing · Done)'!$B$6:$B$266,MATCH(114,'Tablero (To Do · Doing · Done)'!$T$6:$T$266,0)),"")</f>
        <v/>
      </c>
      <c r="F119" s="21">
        <f>IFERROR(INDEX('Tablero (To Do · Doing · Done)'!$F$6:$F$266,MATCH(114,'Tablero (To Do · Doing · Done)'!$T$6:$T$266,0))&amp;" · "&amp;INDEX('Tablero (To Do · Doing · Done)'!$G$6:$G$266,MATCH(114,'Tablero (To Do · Doing · Done)'!$T$6:$T$266,0)),"")</f>
        <v/>
      </c>
      <c r="H119" s="21">
        <f>IFERROR(INDEX('Tablero (To Do · Doing · Done)'!$B$6:$B$266,MATCH(114,'Tablero (To Do · Doing · Done)'!$U$6:$U$266,0)),"")</f>
        <v/>
      </c>
      <c r="I119" s="21">
        <f>IFERROR(INDEX('Tablero (To Do · Doing · Done)'!$F$6:$F$266,MATCH(114,'Tablero (To Do · Doing · Done)'!$U$6:$U$266,0))&amp;" · "&amp;INDEX('Tablero (To Do · Doing · Done)'!$G$6:$G$266,MATCH(114,'Tablero (To Do · Doing · Done)'!$U$6:$U$266,0)),"")</f>
        <v/>
      </c>
    </row>
    <row r="120">
      <c r="B120" s="21">
        <f>IFERROR(INDEX('Tablero (To Do · Doing · Done)'!$B$6:$B$266,MATCH(115,'Tablero (To Do · Doing · Done)'!$S$6:$S$266,0)),"")</f>
        <v/>
      </c>
      <c r="C120" s="21">
        <f>IFERROR(INDEX('Tablero (To Do · Doing · Done)'!$F$6:$F$266,MATCH(115,'Tablero (To Do · Doing · Done)'!$S$6:$S$266,0))&amp;" · "&amp;INDEX('Tablero (To Do · Doing · Done)'!$G$6:$G$266,MATCH(115,'Tablero (To Do · Doing · Done)'!$S$6:$S$266,0)),"")</f>
        <v/>
      </c>
      <c r="E120" s="21">
        <f>IFERROR(INDEX('Tablero (To Do · Doing · Done)'!$B$6:$B$266,MATCH(115,'Tablero (To Do · Doing · Done)'!$T$6:$T$266,0)),"")</f>
        <v/>
      </c>
      <c r="F120" s="21">
        <f>IFERROR(INDEX('Tablero (To Do · Doing · Done)'!$F$6:$F$266,MATCH(115,'Tablero (To Do · Doing · Done)'!$T$6:$T$266,0))&amp;" · "&amp;INDEX('Tablero (To Do · Doing · Done)'!$G$6:$G$266,MATCH(115,'Tablero (To Do · Doing · Done)'!$T$6:$T$266,0)),"")</f>
        <v/>
      </c>
      <c r="H120" s="21">
        <f>IFERROR(INDEX('Tablero (To Do · Doing · Done)'!$B$6:$B$266,MATCH(115,'Tablero (To Do · Doing · Done)'!$U$6:$U$266,0)),"")</f>
        <v/>
      </c>
      <c r="I120" s="21">
        <f>IFERROR(INDEX('Tablero (To Do · Doing · Done)'!$F$6:$F$266,MATCH(115,'Tablero (To Do · Doing · Done)'!$U$6:$U$266,0))&amp;" · "&amp;INDEX('Tablero (To Do · Doing · Done)'!$G$6:$G$266,MATCH(115,'Tablero (To Do · Doing · Done)'!$U$6:$U$266,0)),"")</f>
        <v/>
      </c>
    </row>
    <row r="121">
      <c r="B121" s="21">
        <f>IFERROR(INDEX('Tablero (To Do · Doing · Done)'!$B$6:$B$266,MATCH(116,'Tablero (To Do · Doing · Done)'!$S$6:$S$266,0)),"")</f>
        <v/>
      </c>
      <c r="C121" s="21">
        <f>IFERROR(INDEX('Tablero (To Do · Doing · Done)'!$F$6:$F$266,MATCH(116,'Tablero (To Do · Doing · Done)'!$S$6:$S$266,0))&amp;" · "&amp;INDEX('Tablero (To Do · Doing · Done)'!$G$6:$G$266,MATCH(116,'Tablero (To Do · Doing · Done)'!$S$6:$S$266,0)),"")</f>
        <v/>
      </c>
      <c r="E121" s="21">
        <f>IFERROR(INDEX('Tablero (To Do · Doing · Done)'!$B$6:$B$266,MATCH(116,'Tablero (To Do · Doing · Done)'!$T$6:$T$266,0)),"")</f>
        <v/>
      </c>
      <c r="F121" s="21">
        <f>IFERROR(INDEX('Tablero (To Do · Doing · Done)'!$F$6:$F$266,MATCH(116,'Tablero (To Do · Doing · Done)'!$T$6:$T$266,0))&amp;" · "&amp;INDEX('Tablero (To Do · Doing · Done)'!$G$6:$G$266,MATCH(116,'Tablero (To Do · Doing · Done)'!$T$6:$T$266,0)),"")</f>
        <v/>
      </c>
      <c r="H121" s="21">
        <f>IFERROR(INDEX('Tablero (To Do · Doing · Done)'!$B$6:$B$266,MATCH(116,'Tablero (To Do · Doing · Done)'!$U$6:$U$266,0)),"")</f>
        <v/>
      </c>
      <c r="I121" s="21">
        <f>IFERROR(INDEX('Tablero (To Do · Doing · Done)'!$F$6:$F$266,MATCH(116,'Tablero (To Do · Doing · Done)'!$U$6:$U$266,0))&amp;" · "&amp;INDEX('Tablero (To Do · Doing · Done)'!$G$6:$G$266,MATCH(116,'Tablero (To Do · Doing · Done)'!$U$6:$U$266,0)),"")</f>
        <v/>
      </c>
    </row>
    <row r="122">
      <c r="B122" s="21">
        <f>IFERROR(INDEX('Tablero (To Do · Doing · Done)'!$B$6:$B$266,MATCH(117,'Tablero (To Do · Doing · Done)'!$S$6:$S$266,0)),"")</f>
        <v/>
      </c>
      <c r="C122" s="21">
        <f>IFERROR(INDEX('Tablero (To Do · Doing · Done)'!$F$6:$F$266,MATCH(117,'Tablero (To Do · Doing · Done)'!$S$6:$S$266,0))&amp;" · "&amp;INDEX('Tablero (To Do · Doing · Done)'!$G$6:$G$266,MATCH(117,'Tablero (To Do · Doing · Done)'!$S$6:$S$266,0)),"")</f>
        <v/>
      </c>
      <c r="E122" s="21">
        <f>IFERROR(INDEX('Tablero (To Do · Doing · Done)'!$B$6:$B$266,MATCH(117,'Tablero (To Do · Doing · Done)'!$T$6:$T$266,0)),"")</f>
        <v/>
      </c>
      <c r="F122" s="21">
        <f>IFERROR(INDEX('Tablero (To Do · Doing · Done)'!$F$6:$F$266,MATCH(117,'Tablero (To Do · Doing · Done)'!$T$6:$T$266,0))&amp;" · "&amp;INDEX('Tablero (To Do · Doing · Done)'!$G$6:$G$266,MATCH(117,'Tablero (To Do · Doing · Done)'!$T$6:$T$266,0)),"")</f>
        <v/>
      </c>
      <c r="H122" s="21">
        <f>IFERROR(INDEX('Tablero (To Do · Doing · Done)'!$B$6:$B$266,MATCH(117,'Tablero (To Do · Doing · Done)'!$U$6:$U$266,0)),"")</f>
        <v/>
      </c>
      <c r="I122" s="21">
        <f>IFERROR(INDEX('Tablero (To Do · Doing · Done)'!$F$6:$F$266,MATCH(117,'Tablero (To Do · Doing · Done)'!$U$6:$U$266,0))&amp;" · "&amp;INDEX('Tablero (To Do · Doing · Done)'!$G$6:$G$266,MATCH(117,'Tablero (To Do · Doing · Done)'!$U$6:$U$266,0)),"")</f>
        <v/>
      </c>
    </row>
    <row r="123">
      <c r="B123" s="21">
        <f>IFERROR(INDEX('Tablero (To Do · Doing · Done)'!$B$6:$B$266,MATCH(118,'Tablero (To Do · Doing · Done)'!$S$6:$S$266,0)),"")</f>
        <v/>
      </c>
      <c r="C123" s="21">
        <f>IFERROR(INDEX('Tablero (To Do · Doing · Done)'!$F$6:$F$266,MATCH(118,'Tablero (To Do · Doing · Done)'!$S$6:$S$266,0))&amp;" · "&amp;INDEX('Tablero (To Do · Doing · Done)'!$G$6:$G$266,MATCH(118,'Tablero (To Do · Doing · Done)'!$S$6:$S$266,0)),"")</f>
        <v/>
      </c>
      <c r="E123" s="21">
        <f>IFERROR(INDEX('Tablero (To Do · Doing · Done)'!$B$6:$B$266,MATCH(118,'Tablero (To Do · Doing · Done)'!$T$6:$T$266,0)),"")</f>
        <v/>
      </c>
      <c r="F123" s="21">
        <f>IFERROR(INDEX('Tablero (To Do · Doing · Done)'!$F$6:$F$266,MATCH(118,'Tablero (To Do · Doing · Done)'!$T$6:$T$266,0))&amp;" · "&amp;INDEX('Tablero (To Do · Doing · Done)'!$G$6:$G$266,MATCH(118,'Tablero (To Do · Doing · Done)'!$T$6:$T$266,0)),"")</f>
        <v/>
      </c>
      <c r="H123" s="21">
        <f>IFERROR(INDEX('Tablero (To Do · Doing · Done)'!$B$6:$B$266,MATCH(118,'Tablero (To Do · Doing · Done)'!$U$6:$U$266,0)),"")</f>
        <v/>
      </c>
      <c r="I123" s="21">
        <f>IFERROR(INDEX('Tablero (To Do · Doing · Done)'!$F$6:$F$266,MATCH(118,'Tablero (To Do · Doing · Done)'!$U$6:$U$266,0))&amp;" · "&amp;INDEX('Tablero (To Do · Doing · Done)'!$G$6:$G$266,MATCH(118,'Tablero (To Do · Doing · Done)'!$U$6:$U$266,0)),"")</f>
        <v/>
      </c>
    </row>
    <row r="124">
      <c r="B124" s="21">
        <f>IFERROR(INDEX('Tablero (To Do · Doing · Done)'!$B$6:$B$266,MATCH(119,'Tablero (To Do · Doing · Done)'!$S$6:$S$266,0)),"")</f>
        <v/>
      </c>
      <c r="C124" s="21">
        <f>IFERROR(INDEX('Tablero (To Do · Doing · Done)'!$F$6:$F$266,MATCH(119,'Tablero (To Do · Doing · Done)'!$S$6:$S$266,0))&amp;" · "&amp;INDEX('Tablero (To Do · Doing · Done)'!$G$6:$G$266,MATCH(119,'Tablero (To Do · Doing · Done)'!$S$6:$S$266,0)),"")</f>
        <v/>
      </c>
      <c r="E124" s="21">
        <f>IFERROR(INDEX('Tablero (To Do · Doing · Done)'!$B$6:$B$266,MATCH(119,'Tablero (To Do · Doing · Done)'!$T$6:$T$266,0)),"")</f>
        <v/>
      </c>
      <c r="F124" s="21">
        <f>IFERROR(INDEX('Tablero (To Do · Doing · Done)'!$F$6:$F$266,MATCH(119,'Tablero (To Do · Doing · Done)'!$T$6:$T$266,0))&amp;" · "&amp;INDEX('Tablero (To Do · Doing · Done)'!$G$6:$G$266,MATCH(119,'Tablero (To Do · Doing · Done)'!$T$6:$T$266,0)),"")</f>
        <v/>
      </c>
      <c r="H124" s="21">
        <f>IFERROR(INDEX('Tablero (To Do · Doing · Done)'!$B$6:$B$266,MATCH(119,'Tablero (To Do · Doing · Done)'!$U$6:$U$266,0)),"")</f>
        <v/>
      </c>
      <c r="I124" s="21">
        <f>IFERROR(INDEX('Tablero (To Do · Doing · Done)'!$F$6:$F$266,MATCH(119,'Tablero (To Do · Doing · Done)'!$U$6:$U$266,0))&amp;" · "&amp;INDEX('Tablero (To Do · Doing · Done)'!$G$6:$G$266,MATCH(119,'Tablero (To Do · Doing · Done)'!$U$6:$U$266,0)),"")</f>
        <v/>
      </c>
    </row>
    <row r="125">
      <c r="B125" s="21">
        <f>IFERROR(INDEX('Tablero (To Do · Doing · Done)'!$B$6:$B$266,MATCH(120,'Tablero (To Do · Doing · Done)'!$S$6:$S$266,0)),"")</f>
        <v/>
      </c>
      <c r="C125" s="21">
        <f>IFERROR(INDEX('Tablero (To Do · Doing · Done)'!$F$6:$F$266,MATCH(120,'Tablero (To Do · Doing · Done)'!$S$6:$S$266,0))&amp;" · "&amp;INDEX('Tablero (To Do · Doing · Done)'!$G$6:$G$266,MATCH(120,'Tablero (To Do · Doing · Done)'!$S$6:$S$266,0)),"")</f>
        <v/>
      </c>
      <c r="E125" s="21">
        <f>IFERROR(INDEX('Tablero (To Do · Doing · Done)'!$B$6:$B$266,MATCH(120,'Tablero (To Do · Doing · Done)'!$T$6:$T$266,0)),"")</f>
        <v/>
      </c>
      <c r="F125" s="21">
        <f>IFERROR(INDEX('Tablero (To Do · Doing · Done)'!$F$6:$F$266,MATCH(120,'Tablero (To Do · Doing · Done)'!$T$6:$T$266,0))&amp;" · "&amp;INDEX('Tablero (To Do · Doing · Done)'!$G$6:$G$266,MATCH(120,'Tablero (To Do · Doing · Done)'!$T$6:$T$266,0)),"")</f>
        <v/>
      </c>
      <c r="H125" s="21">
        <f>IFERROR(INDEX('Tablero (To Do · Doing · Done)'!$B$6:$B$266,MATCH(120,'Tablero (To Do · Doing · Done)'!$U$6:$U$266,0)),"")</f>
        <v/>
      </c>
      <c r="I125" s="21">
        <f>IFERROR(INDEX('Tablero (To Do · Doing · Done)'!$F$6:$F$266,MATCH(120,'Tablero (To Do · Doing · Done)'!$U$6:$U$266,0))&amp;" · "&amp;INDEX('Tablero (To Do · Doing · Done)'!$G$6:$G$266,MATCH(120,'Tablero (To Do · Doing · Done)'!$U$6:$U$266,0)),"")</f>
        <v/>
      </c>
    </row>
    <row r="126">
      <c r="B126" s="21">
        <f>IFERROR(INDEX('Tablero (To Do · Doing · Done)'!$B$6:$B$266,MATCH(121,'Tablero (To Do · Doing · Done)'!$S$6:$S$266,0)),"")</f>
        <v/>
      </c>
      <c r="C126" s="21">
        <f>IFERROR(INDEX('Tablero (To Do · Doing · Done)'!$F$6:$F$266,MATCH(121,'Tablero (To Do · Doing · Done)'!$S$6:$S$266,0))&amp;" · "&amp;INDEX('Tablero (To Do · Doing · Done)'!$G$6:$G$266,MATCH(121,'Tablero (To Do · Doing · Done)'!$S$6:$S$266,0)),"")</f>
        <v/>
      </c>
      <c r="E126" s="21">
        <f>IFERROR(INDEX('Tablero (To Do · Doing · Done)'!$B$6:$B$266,MATCH(121,'Tablero (To Do · Doing · Done)'!$T$6:$T$266,0)),"")</f>
        <v/>
      </c>
      <c r="F126" s="21">
        <f>IFERROR(INDEX('Tablero (To Do · Doing · Done)'!$F$6:$F$266,MATCH(121,'Tablero (To Do · Doing · Done)'!$T$6:$T$266,0))&amp;" · "&amp;INDEX('Tablero (To Do · Doing · Done)'!$G$6:$G$266,MATCH(121,'Tablero (To Do · Doing · Done)'!$T$6:$T$266,0)),"")</f>
        <v/>
      </c>
      <c r="H126" s="21">
        <f>IFERROR(INDEX('Tablero (To Do · Doing · Done)'!$B$6:$B$266,MATCH(121,'Tablero (To Do · Doing · Done)'!$U$6:$U$266,0)),"")</f>
        <v/>
      </c>
      <c r="I126" s="21">
        <f>IFERROR(INDEX('Tablero (To Do · Doing · Done)'!$F$6:$F$266,MATCH(121,'Tablero (To Do · Doing · Done)'!$U$6:$U$266,0))&amp;" · "&amp;INDEX('Tablero (To Do · Doing · Done)'!$G$6:$G$266,MATCH(121,'Tablero (To Do · Doing · Done)'!$U$6:$U$266,0)),"")</f>
        <v/>
      </c>
    </row>
    <row r="127">
      <c r="B127" s="21">
        <f>IFERROR(INDEX('Tablero (To Do · Doing · Done)'!$B$6:$B$266,MATCH(122,'Tablero (To Do · Doing · Done)'!$S$6:$S$266,0)),"")</f>
        <v/>
      </c>
      <c r="C127" s="21">
        <f>IFERROR(INDEX('Tablero (To Do · Doing · Done)'!$F$6:$F$266,MATCH(122,'Tablero (To Do · Doing · Done)'!$S$6:$S$266,0))&amp;" · "&amp;INDEX('Tablero (To Do · Doing · Done)'!$G$6:$G$266,MATCH(122,'Tablero (To Do · Doing · Done)'!$S$6:$S$266,0)),"")</f>
        <v/>
      </c>
      <c r="E127" s="21">
        <f>IFERROR(INDEX('Tablero (To Do · Doing · Done)'!$B$6:$B$266,MATCH(122,'Tablero (To Do · Doing · Done)'!$T$6:$T$266,0)),"")</f>
        <v/>
      </c>
      <c r="F127" s="21">
        <f>IFERROR(INDEX('Tablero (To Do · Doing · Done)'!$F$6:$F$266,MATCH(122,'Tablero (To Do · Doing · Done)'!$T$6:$T$266,0))&amp;" · "&amp;INDEX('Tablero (To Do · Doing · Done)'!$G$6:$G$266,MATCH(122,'Tablero (To Do · Doing · Done)'!$T$6:$T$266,0)),"")</f>
        <v/>
      </c>
      <c r="H127" s="21">
        <f>IFERROR(INDEX('Tablero (To Do · Doing · Done)'!$B$6:$B$266,MATCH(122,'Tablero (To Do · Doing · Done)'!$U$6:$U$266,0)),"")</f>
        <v/>
      </c>
      <c r="I127" s="21">
        <f>IFERROR(INDEX('Tablero (To Do · Doing · Done)'!$F$6:$F$266,MATCH(122,'Tablero (To Do · Doing · Done)'!$U$6:$U$266,0))&amp;" · "&amp;INDEX('Tablero (To Do · Doing · Done)'!$G$6:$G$266,MATCH(122,'Tablero (To Do · Doing · Done)'!$U$6:$U$266,0)),"")</f>
        <v/>
      </c>
    </row>
    <row r="128">
      <c r="B128" s="21">
        <f>IFERROR(INDEX('Tablero (To Do · Doing · Done)'!$B$6:$B$266,MATCH(123,'Tablero (To Do · Doing · Done)'!$S$6:$S$266,0)),"")</f>
        <v/>
      </c>
      <c r="C128" s="21">
        <f>IFERROR(INDEX('Tablero (To Do · Doing · Done)'!$F$6:$F$266,MATCH(123,'Tablero (To Do · Doing · Done)'!$S$6:$S$266,0))&amp;" · "&amp;INDEX('Tablero (To Do · Doing · Done)'!$G$6:$G$266,MATCH(123,'Tablero (To Do · Doing · Done)'!$S$6:$S$266,0)),"")</f>
        <v/>
      </c>
      <c r="E128" s="21">
        <f>IFERROR(INDEX('Tablero (To Do · Doing · Done)'!$B$6:$B$266,MATCH(123,'Tablero (To Do · Doing · Done)'!$T$6:$T$266,0)),"")</f>
        <v/>
      </c>
      <c r="F128" s="21">
        <f>IFERROR(INDEX('Tablero (To Do · Doing · Done)'!$F$6:$F$266,MATCH(123,'Tablero (To Do · Doing · Done)'!$T$6:$T$266,0))&amp;" · "&amp;INDEX('Tablero (To Do · Doing · Done)'!$G$6:$G$266,MATCH(123,'Tablero (To Do · Doing · Done)'!$T$6:$T$266,0)),"")</f>
        <v/>
      </c>
      <c r="H128" s="21">
        <f>IFERROR(INDEX('Tablero (To Do · Doing · Done)'!$B$6:$B$266,MATCH(123,'Tablero (To Do · Doing · Done)'!$U$6:$U$266,0)),"")</f>
        <v/>
      </c>
      <c r="I128" s="21">
        <f>IFERROR(INDEX('Tablero (To Do · Doing · Done)'!$F$6:$F$266,MATCH(123,'Tablero (To Do · Doing · Done)'!$U$6:$U$266,0))&amp;" · "&amp;INDEX('Tablero (To Do · Doing · Done)'!$G$6:$G$266,MATCH(123,'Tablero (To Do · Doing · Done)'!$U$6:$U$266,0)),"")</f>
        <v/>
      </c>
    </row>
    <row r="129">
      <c r="B129" s="21">
        <f>IFERROR(INDEX('Tablero (To Do · Doing · Done)'!$B$6:$B$266,MATCH(124,'Tablero (To Do · Doing · Done)'!$S$6:$S$266,0)),"")</f>
        <v/>
      </c>
      <c r="C129" s="21">
        <f>IFERROR(INDEX('Tablero (To Do · Doing · Done)'!$F$6:$F$266,MATCH(124,'Tablero (To Do · Doing · Done)'!$S$6:$S$266,0))&amp;" · "&amp;INDEX('Tablero (To Do · Doing · Done)'!$G$6:$G$266,MATCH(124,'Tablero (To Do · Doing · Done)'!$S$6:$S$266,0)),"")</f>
        <v/>
      </c>
      <c r="E129" s="21">
        <f>IFERROR(INDEX('Tablero (To Do · Doing · Done)'!$B$6:$B$266,MATCH(124,'Tablero (To Do · Doing · Done)'!$T$6:$T$266,0)),"")</f>
        <v/>
      </c>
      <c r="F129" s="21">
        <f>IFERROR(INDEX('Tablero (To Do · Doing · Done)'!$F$6:$F$266,MATCH(124,'Tablero (To Do · Doing · Done)'!$T$6:$T$266,0))&amp;" · "&amp;INDEX('Tablero (To Do · Doing · Done)'!$G$6:$G$266,MATCH(124,'Tablero (To Do · Doing · Done)'!$T$6:$T$266,0)),"")</f>
        <v/>
      </c>
      <c r="H129" s="21">
        <f>IFERROR(INDEX('Tablero (To Do · Doing · Done)'!$B$6:$B$266,MATCH(124,'Tablero (To Do · Doing · Done)'!$U$6:$U$266,0)),"")</f>
        <v/>
      </c>
      <c r="I129" s="21">
        <f>IFERROR(INDEX('Tablero (To Do · Doing · Done)'!$F$6:$F$266,MATCH(124,'Tablero (To Do · Doing · Done)'!$U$6:$U$266,0))&amp;" · "&amp;INDEX('Tablero (To Do · Doing · Done)'!$G$6:$G$266,MATCH(124,'Tablero (To Do · Doing · Done)'!$U$6:$U$266,0)),"")</f>
        <v/>
      </c>
    </row>
    <row r="130">
      <c r="B130" s="21">
        <f>IFERROR(INDEX('Tablero (To Do · Doing · Done)'!$B$6:$B$266,MATCH(125,'Tablero (To Do · Doing · Done)'!$S$6:$S$266,0)),"")</f>
        <v/>
      </c>
      <c r="C130" s="21">
        <f>IFERROR(INDEX('Tablero (To Do · Doing · Done)'!$F$6:$F$266,MATCH(125,'Tablero (To Do · Doing · Done)'!$S$6:$S$266,0))&amp;" · "&amp;INDEX('Tablero (To Do · Doing · Done)'!$G$6:$G$266,MATCH(125,'Tablero (To Do · Doing · Done)'!$S$6:$S$266,0)),"")</f>
        <v/>
      </c>
      <c r="E130" s="21">
        <f>IFERROR(INDEX('Tablero (To Do · Doing · Done)'!$B$6:$B$266,MATCH(125,'Tablero (To Do · Doing · Done)'!$T$6:$T$266,0)),"")</f>
        <v/>
      </c>
      <c r="F130" s="21">
        <f>IFERROR(INDEX('Tablero (To Do · Doing · Done)'!$F$6:$F$266,MATCH(125,'Tablero (To Do · Doing · Done)'!$T$6:$T$266,0))&amp;" · "&amp;INDEX('Tablero (To Do · Doing · Done)'!$G$6:$G$266,MATCH(125,'Tablero (To Do · Doing · Done)'!$T$6:$T$266,0)),"")</f>
        <v/>
      </c>
      <c r="H130" s="21">
        <f>IFERROR(INDEX('Tablero (To Do · Doing · Done)'!$B$6:$B$266,MATCH(125,'Tablero (To Do · Doing · Done)'!$U$6:$U$266,0)),"")</f>
        <v/>
      </c>
      <c r="I130" s="21">
        <f>IFERROR(INDEX('Tablero (To Do · Doing · Done)'!$F$6:$F$266,MATCH(125,'Tablero (To Do · Doing · Done)'!$U$6:$U$266,0))&amp;" · "&amp;INDEX('Tablero (To Do · Doing · Done)'!$G$6:$G$266,MATCH(125,'Tablero (To Do · Doing · Done)'!$U$6:$U$266,0)),"")</f>
        <v/>
      </c>
    </row>
    <row r="131">
      <c r="B131" s="21">
        <f>IFERROR(INDEX('Tablero (To Do · Doing · Done)'!$B$6:$B$266,MATCH(126,'Tablero (To Do · Doing · Done)'!$S$6:$S$266,0)),"")</f>
        <v/>
      </c>
      <c r="C131" s="21">
        <f>IFERROR(INDEX('Tablero (To Do · Doing · Done)'!$F$6:$F$266,MATCH(126,'Tablero (To Do · Doing · Done)'!$S$6:$S$266,0))&amp;" · "&amp;INDEX('Tablero (To Do · Doing · Done)'!$G$6:$G$266,MATCH(126,'Tablero (To Do · Doing · Done)'!$S$6:$S$266,0)),"")</f>
        <v/>
      </c>
      <c r="E131" s="21">
        <f>IFERROR(INDEX('Tablero (To Do · Doing · Done)'!$B$6:$B$266,MATCH(126,'Tablero (To Do · Doing · Done)'!$T$6:$T$266,0)),"")</f>
        <v/>
      </c>
      <c r="F131" s="21">
        <f>IFERROR(INDEX('Tablero (To Do · Doing · Done)'!$F$6:$F$266,MATCH(126,'Tablero (To Do · Doing · Done)'!$T$6:$T$266,0))&amp;" · "&amp;INDEX('Tablero (To Do · Doing · Done)'!$G$6:$G$266,MATCH(126,'Tablero (To Do · Doing · Done)'!$T$6:$T$266,0)),"")</f>
        <v/>
      </c>
      <c r="H131" s="21">
        <f>IFERROR(INDEX('Tablero (To Do · Doing · Done)'!$B$6:$B$266,MATCH(126,'Tablero (To Do · Doing · Done)'!$U$6:$U$266,0)),"")</f>
        <v/>
      </c>
      <c r="I131" s="21">
        <f>IFERROR(INDEX('Tablero (To Do · Doing · Done)'!$F$6:$F$266,MATCH(126,'Tablero (To Do · Doing · Done)'!$U$6:$U$266,0))&amp;" · "&amp;INDEX('Tablero (To Do · Doing · Done)'!$G$6:$G$266,MATCH(126,'Tablero (To Do · Doing · Done)'!$U$6:$U$266,0)),"")</f>
        <v/>
      </c>
    </row>
    <row r="132">
      <c r="B132" s="21">
        <f>IFERROR(INDEX('Tablero (To Do · Doing · Done)'!$B$6:$B$266,MATCH(127,'Tablero (To Do · Doing · Done)'!$S$6:$S$266,0)),"")</f>
        <v/>
      </c>
      <c r="C132" s="21">
        <f>IFERROR(INDEX('Tablero (To Do · Doing · Done)'!$F$6:$F$266,MATCH(127,'Tablero (To Do · Doing · Done)'!$S$6:$S$266,0))&amp;" · "&amp;INDEX('Tablero (To Do · Doing · Done)'!$G$6:$G$266,MATCH(127,'Tablero (To Do · Doing · Done)'!$S$6:$S$266,0)),"")</f>
        <v/>
      </c>
      <c r="E132" s="21">
        <f>IFERROR(INDEX('Tablero (To Do · Doing · Done)'!$B$6:$B$266,MATCH(127,'Tablero (To Do · Doing · Done)'!$T$6:$T$266,0)),"")</f>
        <v/>
      </c>
      <c r="F132" s="21">
        <f>IFERROR(INDEX('Tablero (To Do · Doing · Done)'!$F$6:$F$266,MATCH(127,'Tablero (To Do · Doing · Done)'!$T$6:$T$266,0))&amp;" · "&amp;INDEX('Tablero (To Do · Doing · Done)'!$G$6:$G$266,MATCH(127,'Tablero (To Do · Doing · Done)'!$T$6:$T$266,0)),"")</f>
        <v/>
      </c>
      <c r="H132" s="21">
        <f>IFERROR(INDEX('Tablero (To Do · Doing · Done)'!$B$6:$B$266,MATCH(127,'Tablero (To Do · Doing · Done)'!$U$6:$U$266,0)),"")</f>
        <v/>
      </c>
      <c r="I132" s="21">
        <f>IFERROR(INDEX('Tablero (To Do · Doing · Done)'!$F$6:$F$266,MATCH(127,'Tablero (To Do · Doing · Done)'!$U$6:$U$266,0))&amp;" · "&amp;INDEX('Tablero (To Do · Doing · Done)'!$G$6:$G$266,MATCH(127,'Tablero (To Do · Doing · Done)'!$U$6:$U$266,0)),"")</f>
        <v/>
      </c>
    </row>
    <row r="133">
      <c r="B133" s="21">
        <f>IFERROR(INDEX('Tablero (To Do · Doing · Done)'!$B$6:$B$266,MATCH(128,'Tablero (To Do · Doing · Done)'!$S$6:$S$266,0)),"")</f>
        <v/>
      </c>
      <c r="C133" s="21">
        <f>IFERROR(INDEX('Tablero (To Do · Doing · Done)'!$F$6:$F$266,MATCH(128,'Tablero (To Do · Doing · Done)'!$S$6:$S$266,0))&amp;" · "&amp;INDEX('Tablero (To Do · Doing · Done)'!$G$6:$G$266,MATCH(128,'Tablero (To Do · Doing · Done)'!$S$6:$S$266,0)),"")</f>
        <v/>
      </c>
      <c r="E133" s="21">
        <f>IFERROR(INDEX('Tablero (To Do · Doing · Done)'!$B$6:$B$266,MATCH(128,'Tablero (To Do · Doing · Done)'!$T$6:$T$266,0)),"")</f>
        <v/>
      </c>
      <c r="F133" s="21">
        <f>IFERROR(INDEX('Tablero (To Do · Doing · Done)'!$F$6:$F$266,MATCH(128,'Tablero (To Do · Doing · Done)'!$T$6:$T$266,0))&amp;" · "&amp;INDEX('Tablero (To Do · Doing · Done)'!$G$6:$G$266,MATCH(128,'Tablero (To Do · Doing · Done)'!$T$6:$T$266,0)),"")</f>
        <v/>
      </c>
      <c r="H133" s="21">
        <f>IFERROR(INDEX('Tablero (To Do · Doing · Done)'!$B$6:$B$266,MATCH(128,'Tablero (To Do · Doing · Done)'!$U$6:$U$266,0)),"")</f>
        <v/>
      </c>
      <c r="I133" s="21">
        <f>IFERROR(INDEX('Tablero (To Do · Doing · Done)'!$F$6:$F$266,MATCH(128,'Tablero (To Do · Doing · Done)'!$U$6:$U$266,0))&amp;" · "&amp;INDEX('Tablero (To Do · Doing · Done)'!$G$6:$G$266,MATCH(128,'Tablero (To Do · Doing · Done)'!$U$6:$U$266,0)),"")</f>
        <v/>
      </c>
    </row>
    <row r="134">
      <c r="B134" s="21">
        <f>IFERROR(INDEX('Tablero (To Do · Doing · Done)'!$B$6:$B$266,MATCH(129,'Tablero (To Do · Doing · Done)'!$S$6:$S$266,0)),"")</f>
        <v/>
      </c>
      <c r="C134" s="21">
        <f>IFERROR(INDEX('Tablero (To Do · Doing · Done)'!$F$6:$F$266,MATCH(129,'Tablero (To Do · Doing · Done)'!$S$6:$S$266,0))&amp;" · "&amp;INDEX('Tablero (To Do · Doing · Done)'!$G$6:$G$266,MATCH(129,'Tablero (To Do · Doing · Done)'!$S$6:$S$266,0)),"")</f>
        <v/>
      </c>
      <c r="E134" s="21">
        <f>IFERROR(INDEX('Tablero (To Do · Doing · Done)'!$B$6:$B$266,MATCH(129,'Tablero (To Do · Doing · Done)'!$T$6:$T$266,0)),"")</f>
        <v/>
      </c>
      <c r="F134" s="21">
        <f>IFERROR(INDEX('Tablero (To Do · Doing · Done)'!$F$6:$F$266,MATCH(129,'Tablero (To Do · Doing · Done)'!$T$6:$T$266,0))&amp;" · "&amp;INDEX('Tablero (To Do · Doing · Done)'!$G$6:$G$266,MATCH(129,'Tablero (To Do · Doing · Done)'!$T$6:$T$266,0)),"")</f>
        <v/>
      </c>
      <c r="H134" s="21">
        <f>IFERROR(INDEX('Tablero (To Do · Doing · Done)'!$B$6:$B$266,MATCH(129,'Tablero (To Do · Doing · Done)'!$U$6:$U$266,0)),"")</f>
        <v/>
      </c>
      <c r="I134" s="21">
        <f>IFERROR(INDEX('Tablero (To Do · Doing · Done)'!$F$6:$F$266,MATCH(129,'Tablero (To Do · Doing · Done)'!$U$6:$U$266,0))&amp;" · "&amp;INDEX('Tablero (To Do · Doing · Done)'!$G$6:$G$266,MATCH(129,'Tablero (To Do · Doing · Done)'!$U$6:$U$266,0)),"")</f>
        <v/>
      </c>
    </row>
    <row r="135">
      <c r="B135" s="21">
        <f>IFERROR(INDEX('Tablero (To Do · Doing · Done)'!$B$6:$B$266,MATCH(130,'Tablero (To Do · Doing · Done)'!$S$6:$S$266,0)),"")</f>
        <v/>
      </c>
      <c r="C135" s="21">
        <f>IFERROR(INDEX('Tablero (To Do · Doing · Done)'!$F$6:$F$266,MATCH(130,'Tablero (To Do · Doing · Done)'!$S$6:$S$266,0))&amp;" · "&amp;INDEX('Tablero (To Do · Doing · Done)'!$G$6:$G$266,MATCH(130,'Tablero (To Do · Doing · Done)'!$S$6:$S$266,0)),"")</f>
        <v/>
      </c>
      <c r="E135" s="21">
        <f>IFERROR(INDEX('Tablero (To Do · Doing · Done)'!$B$6:$B$266,MATCH(130,'Tablero (To Do · Doing · Done)'!$T$6:$T$266,0)),"")</f>
        <v/>
      </c>
      <c r="F135" s="21">
        <f>IFERROR(INDEX('Tablero (To Do · Doing · Done)'!$F$6:$F$266,MATCH(130,'Tablero (To Do · Doing · Done)'!$T$6:$T$266,0))&amp;" · "&amp;INDEX('Tablero (To Do · Doing · Done)'!$G$6:$G$266,MATCH(130,'Tablero (To Do · Doing · Done)'!$T$6:$T$266,0)),"")</f>
        <v/>
      </c>
      <c r="H135" s="21">
        <f>IFERROR(INDEX('Tablero (To Do · Doing · Done)'!$B$6:$B$266,MATCH(130,'Tablero (To Do · Doing · Done)'!$U$6:$U$266,0)),"")</f>
        <v/>
      </c>
      <c r="I135" s="21">
        <f>IFERROR(INDEX('Tablero (To Do · Doing · Done)'!$F$6:$F$266,MATCH(130,'Tablero (To Do · Doing · Done)'!$U$6:$U$266,0))&amp;" · "&amp;INDEX('Tablero (To Do · Doing · Done)'!$G$6:$G$266,MATCH(130,'Tablero (To Do · Doing · Done)'!$U$6:$U$266,0)),"")</f>
        <v/>
      </c>
    </row>
    <row r="136">
      <c r="B136" s="21">
        <f>IFERROR(INDEX('Tablero (To Do · Doing · Done)'!$B$6:$B$266,MATCH(131,'Tablero (To Do · Doing · Done)'!$S$6:$S$266,0)),"")</f>
        <v/>
      </c>
      <c r="C136" s="21">
        <f>IFERROR(INDEX('Tablero (To Do · Doing · Done)'!$F$6:$F$266,MATCH(131,'Tablero (To Do · Doing · Done)'!$S$6:$S$266,0))&amp;" · "&amp;INDEX('Tablero (To Do · Doing · Done)'!$G$6:$G$266,MATCH(131,'Tablero (To Do · Doing · Done)'!$S$6:$S$266,0)),"")</f>
        <v/>
      </c>
      <c r="E136" s="21">
        <f>IFERROR(INDEX('Tablero (To Do · Doing · Done)'!$B$6:$B$266,MATCH(131,'Tablero (To Do · Doing · Done)'!$T$6:$T$266,0)),"")</f>
        <v/>
      </c>
      <c r="F136" s="21">
        <f>IFERROR(INDEX('Tablero (To Do · Doing · Done)'!$F$6:$F$266,MATCH(131,'Tablero (To Do · Doing · Done)'!$T$6:$T$266,0))&amp;" · "&amp;INDEX('Tablero (To Do · Doing · Done)'!$G$6:$G$266,MATCH(131,'Tablero (To Do · Doing · Done)'!$T$6:$T$266,0)),"")</f>
        <v/>
      </c>
      <c r="H136" s="21">
        <f>IFERROR(INDEX('Tablero (To Do · Doing · Done)'!$B$6:$B$266,MATCH(131,'Tablero (To Do · Doing · Done)'!$U$6:$U$266,0)),"")</f>
        <v/>
      </c>
      <c r="I136" s="21">
        <f>IFERROR(INDEX('Tablero (To Do · Doing · Done)'!$F$6:$F$266,MATCH(131,'Tablero (To Do · Doing · Done)'!$U$6:$U$266,0))&amp;" · "&amp;INDEX('Tablero (To Do · Doing · Done)'!$G$6:$G$266,MATCH(131,'Tablero (To Do · Doing · Done)'!$U$6:$U$266,0)),"")</f>
        <v/>
      </c>
    </row>
    <row r="137">
      <c r="B137" s="21">
        <f>IFERROR(INDEX('Tablero (To Do · Doing · Done)'!$B$6:$B$266,MATCH(132,'Tablero (To Do · Doing · Done)'!$S$6:$S$266,0)),"")</f>
        <v/>
      </c>
      <c r="C137" s="21">
        <f>IFERROR(INDEX('Tablero (To Do · Doing · Done)'!$F$6:$F$266,MATCH(132,'Tablero (To Do · Doing · Done)'!$S$6:$S$266,0))&amp;" · "&amp;INDEX('Tablero (To Do · Doing · Done)'!$G$6:$G$266,MATCH(132,'Tablero (To Do · Doing · Done)'!$S$6:$S$266,0)),"")</f>
        <v/>
      </c>
      <c r="E137" s="21">
        <f>IFERROR(INDEX('Tablero (To Do · Doing · Done)'!$B$6:$B$266,MATCH(132,'Tablero (To Do · Doing · Done)'!$T$6:$T$266,0)),"")</f>
        <v/>
      </c>
      <c r="F137" s="21">
        <f>IFERROR(INDEX('Tablero (To Do · Doing · Done)'!$F$6:$F$266,MATCH(132,'Tablero (To Do · Doing · Done)'!$T$6:$T$266,0))&amp;" · "&amp;INDEX('Tablero (To Do · Doing · Done)'!$G$6:$G$266,MATCH(132,'Tablero (To Do · Doing · Done)'!$T$6:$T$266,0)),"")</f>
        <v/>
      </c>
      <c r="H137" s="21">
        <f>IFERROR(INDEX('Tablero (To Do · Doing · Done)'!$B$6:$B$266,MATCH(132,'Tablero (To Do · Doing · Done)'!$U$6:$U$266,0)),"")</f>
        <v/>
      </c>
      <c r="I137" s="21">
        <f>IFERROR(INDEX('Tablero (To Do · Doing · Done)'!$F$6:$F$266,MATCH(132,'Tablero (To Do · Doing · Done)'!$U$6:$U$266,0))&amp;" · "&amp;INDEX('Tablero (To Do · Doing · Done)'!$G$6:$G$266,MATCH(132,'Tablero (To Do · Doing · Done)'!$U$6:$U$266,0)),"")</f>
        <v/>
      </c>
    </row>
    <row r="138">
      <c r="B138" s="21">
        <f>IFERROR(INDEX('Tablero (To Do · Doing · Done)'!$B$6:$B$266,MATCH(133,'Tablero (To Do · Doing · Done)'!$S$6:$S$266,0)),"")</f>
        <v/>
      </c>
      <c r="C138" s="21">
        <f>IFERROR(INDEX('Tablero (To Do · Doing · Done)'!$F$6:$F$266,MATCH(133,'Tablero (To Do · Doing · Done)'!$S$6:$S$266,0))&amp;" · "&amp;INDEX('Tablero (To Do · Doing · Done)'!$G$6:$G$266,MATCH(133,'Tablero (To Do · Doing · Done)'!$S$6:$S$266,0)),"")</f>
        <v/>
      </c>
      <c r="E138" s="21">
        <f>IFERROR(INDEX('Tablero (To Do · Doing · Done)'!$B$6:$B$266,MATCH(133,'Tablero (To Do · Doing · Done)'!$T$6:$T$266,0)),"")</f>
        <v/>
      </c>
      <c r="F138" s="21">
        <f>IFERROR(INDEX('Tablero (To Do · Doing · Done)'!$F$6:$F$266,MATCH(133,'Tablero (To Do · Doing · Done)'!$T$6:$T$266,0))&amp;" · "&amp;INDEX('Tablero (To Do · Doing · Done)'!$G$6:$G$266,MATCH(133,'Tablero (To Do · Doing · Done)'!$T$6:$T$266,0)),"")</f>
        <v/>
      </c>
      <c r="H138" s="21">
        <f>IFERROR(INDEX('Tablero (To Do · Doing · Done)'!$B$6:$B$266,MATCH(133,'Tablero (To Do · Doing · Done)'!$U$6:$U$266,0)),"")</f>
        <v/>
      </c>
      <c r="I138" s="21">
        <f>IFERROR(INDEX('Tablero (To Do · Doing · Done)'!$F$6:$F$266,MATCH(133,'Tablero (To Do · Doing · Done)'!$U$6:$U$266,0))&amp;" · "&amp;INDEX('Tablero (To Do · Doing · Done)'!$G$6:$G$266,MATCH(133,'Tablero (To Do · Doing · Done)'!$U$6:$U$266,0)),"")</f>
        <v/>
      </c>
    </row>
    <row r="139">
      <c r="B139" s="21">
        <f>IFERROR(INDEX('Tablero (To Do · Doing · Done)'!$B$6:$B$266,MATCH(134,'Tablero (To Do · Doing · Done)'!$S$6:$S$266,0)),"")</f>
        <v/>
      </c>
      <c r="C139" s="21">
        <f>IFERROR(INDEX('Tablero (To Do · Doing · Done)'!$F$6:$F$266,MATCH(134,'Tablero (To Do · Doing · Done)'!$S$6:$S$266,0))&amp;" · "&amp;INDEX('Tablero (To Do · Doing · Done)'!$G$6:$G$266,MATCH(134,'Tablero (To Do · Doing · Done)'!$S$6:$S$266,0)),"")</f>
        <v/>
      </c>
      <c r="E139" s="21">
        <f>IFERROR(INDEX('Tablero (To Do · Doing · Done)'!$B$6:$B$266,MATCH(134,'Tablero (To Do · Doing · Done)'!$T$6:$T$266,0)),"")</f>
        <v/>
      </c>
      <c r="F139" s="21">
        <f>IFERROR(INDEX('Tablero (To Do · Doing · Done)'!$F$6:$F$266,MATCH(134,'Tablero (To Do · Doing · Done)'!$T$6:$T$266,0))&amp;" · "&amp;INDEX('Tablero (To Do · Doing · Done)'!$G$6:$G$266,MATCH(134,'Tablero (To Do · Doing · Done)'!$T$6:$T$266,0)),"")</f>
        <v/>
      </c>
      <c r="H139" s="21">
        <f>IFERROR(INDEX('Tablero (To Do · Doing · Done)'!$B$6:$B$266,MATCH(134,'Tablero (To Do · Doing · Done)'!$U$6:$U$266,0)),"")</f>
        <v/>
      </c>
      <c r="I139" s="21">
        <f>IFERROR(INDEX('Tablero (To Do · Doing · Done)'!$F$6:$F$266,MATCH(134,'Tablero (To Do · Doing · Done)'!$U$6:$U$266,0))&amp;" · "&amp;INDEX('Tablero (To Do · Doing · Done)'!$G$6:$G$266,MATCH(134,'Tablero (To Do · Doing · Done)'!$U$6:$U$266,0)),"")</f>
        <v/>
      </c>
    </row>
    <row r="140">
      <c r="B140" s="21">
        <f>IFERROR(INDEX('Tablero (To Do · Doing · Done)'!$B$6:$B$266,MATCH(135,'Tablero (To Do · Doing · Done)'!$S$6:$S$266,0)),"")</f>
        <v/>
      </c>
      <c r="C140" s="21">
        <f>IFERROR(INDEX('Tablero (To Do · Doing · Done)'!$F$6:$F$266,MATCH(135,'Tablero (To Do · Doing · Done)'!$S$6:$S$266,0))&amp;" · "&amp;INDEX('Tablero (To Do · Doing · Done)'!$G$6:$G$266,MATCH(135,'Tablero (To Do · Doing · Done)'!$S$6:$S$266,0)),"")</f>
        <v/>
      </c>
      <c r="E140" s="21">
        <f>IFERROR(INDEX('Tablero (To Do · Doing · Done)'!$B$6:$B$266,MATCH(135,'Tablero (To Do · Doing · Done)'!$T$6:$T$266,0)),"")</f>
        <v/>
      </c>
      <c r="F140" s="21">
        <f>IFERROR(INDEX('Tablero (To Do · Doing · Done)'!$F$6:$F$266,MATCH(135,'Tablero (To Do · Doing · Done)'!$T$6:$T$266,0))&amp;" · "&amp;INDEX('Tablero (To Do · Doing · Done)'!$G$6:$G$266,MATCH(135,'Tablero (To Do · Doing · Done)'!$T$6:$T$266,0)),"")</f>
        <v/>
      </c>
      <c r="H140" s="21">
        <f>IFERROR(INDEX('Tablero (To Do · Doing · Done)'!$B$6:$B$266,MATCH(135,'Tablero (To Do · Doing · Done)'!$U$6:$U$266,0)),"")</f>
        <v/>
      </c>
      <c r="I140" s="21">
        <f>IFERROR(INDEX('Tablero (To Do · Doing · Done)'!$F$6:$F$266,MATCH(135,'Tablero (To Do · Doing · Done)'!$U$6:$U$266,0))&amp;" · "&amp;INDEX('Tablero (To Do · Doing · Done)'!$G$6:$G$266,MATCH(135,'Tablero (To Do · Doing · Done)'!$U$6:$U$266,0)),"")</f>
        <v/>
      </c>
    </row>
    <row r="141">
      <c r="B141" s="21">
        <f>IFERROR(INDEX('Tablero (To Do · Doing · Done)'!$B$6:$B$266,MATCH(136,'Tablero (To Do · Doing · Done)'!$S$6:$S$266,0)),"")</f>
        <v/>
      </c>
      <c r="C141" s="21">
        <f>IFERROR(INDEX('Tablero (To Do · Doing · Done)'!$F$6:$F$266,MATCH(136,'Tablero (To Do · Doing · Done)'!$S$6:$S$266,0))&amp;" · "&amp;INDEX('Tablero (To Do · Doing · Done)'!$G$6:$G$266,MATCH(136,'Tablero (To Do · Doing · Done)'!$S$6:$S$266,0)),"")</f>
        <v/>
      </c>
      <c r="E141" s="21">
        <f>IFERROR(INDEX('Tablero (To Do · Doing · Done)'!$B$6:$B$266,MATCH(136,'Tablero (To Do · Doing · Done)'!$T$6:$T$266,0)),"")</f>
        <v/>
      </c>
      <c r="F141" s="21">
        <f>IFERROR(INDEX('Tablero (To Do · Doing · Done)'!$F$6:$F$266,MATCH(136,'Tablero (To Do · Doing · Done)'!$T$6:$T$266,0))&amp;" · "&amp;INDEX('Tablero (To Do · Doing · Done)'!$G$6:$G$266,MATCH(136,'Tablero (To Do · Doing · Done)'!$T$6:$T$266,0)),"")</f>
        <v/>
      </c>
      <c r="H141" s="21">
        <f>IFERROR(INDEX('Tablero (To Do · Doing · Done)'!$B$6:$B$266,MATCH(136,'Tablero (To Do · Doing · Done)'!$U$6:$U$266,0)),"")</f>
        <v/>
      </c>
      <c r="I141" s="21">
        <f>IFERROR(INDEX('Tablero (To Do · Doing · Done)'!$F$6:$F$266,MATCH(136,'Tablero (To Do · Doing · Done)'!$U$6:$U$266,0))&amp;" · "&amp;INDEX('Tablero (To Do · Doing · Done)'!$G$6:$G$266,MATCH(136,'Tablero (To Do · Doing · Done)'!$U$6:$U$266,0)),"")</f>
        <v/>
      </c>
    </row>
    <row r="142">
      <c r="B142" s="21">
        <f>IFERROR(INDEX('Tablero (To Do · Doing · Done)'!$B$6:$B$266,MATCH(137,'Tablero (To Do · Doing · Done)'!$S$6:$S$266,0)),"")</f>
        <v/>
      </c>
      <c r="C142" s="21">
        <f>IFERROR(INDEX('Tablero (To Do · Doing · Done)'!$F$6:$F$266,MATCH(137,'Tablero (To Do · Doing · Done)'!$S$6:$S$266,0))&amp;" · "&amp;INDEX('Tablero (To Do · Doing · Done)'!$G$6:$G$266,MATCH(137,'Tablero (To Do · Doing · Done)'!$S$6:$S$266,0)),"")</f>
        <v/>
      </c>
      <c r="E142" s="21">
        <f>IFERROR(INDEX('Tablero (To Do · Doing · Done)'!$B$6:$B$266,MATCH(137,'Tablero (To Do · Doing · Done)'!$T$6:$T$266,0)),"")</f>
        <v/>
      </c>
      <c r="F142" s="21">
        <f>IFERROR(INDEX('Tablero (To Do · Doing · Done)'!$F$6:$F$266,MATCH(137,'Tablero (To Do · Doing · Done)'!$T$6:$T$266,0))&amp;" · "&amp;INDEX('Tablero (To Do · Doing · Done)'!$G$6:$G$266,MATCH(137,'Tablero (To Do · Doing · Done)'!$T$6:$T$266,0)),"")</f>
        <v/>
      </c>
      <c r="H142" s="21">
        <f>IFERROR(INDEX('Tablero (To Do · Doing · Done)'!$B$6:$B$266,MATCH(137,'Tablero (To Do · Doing · Done)'!$U$6:$U$266,0)),"")</f>
        <v/>
      </c>
      <c r="I142" s="21">
        <f>IFERROR(INDEX('Tablero (To Do · Doing · Done)'!$F$6:$F$266,MATCH(137,'Tablero (To Do · Doing · Done)'!$U$6:$U$266,0))&amp;" · "&amp;INDEX('Tablero (To Do · Doing · Done)'!$G$6:$G$266,MATCH(137,'Tablero (To Do · Doing · Done)'!$U$6:$U$266,0)),"")</f>
        <v/>
      </c>
    </row>
    <row r="143">
      <c r="B143" s="21">
        <f>IFERROR(INDEX('Tablero (To Do · Doing · Done)'!$B$6:$B$266,MATCH(138,'Tablero (To Do · Doing · Done)'!$S$6:$S$266,0)),"")</f>
        <v/>
      </c>
      <c r="C143" s="21">
        <f>IFERROR(INDEX('Tablero (To Do · Doing · Done)'!$F$6:$F$266,MATCH(138,'Tablero (To Do · Doing · Done)'!$S$6:$S$266,0))&amp;" · "&amp;INDEX('Tablero (To Do · Doing · Done)'!$G$6:$G$266,MATCH(138,'Tablero (To Do · Doing · Done)'!$S$6:$S$266,0)),"")</f>
        <v/>
      </c>
      <c r="E143" s="21">
        <f>IFERROR(INDEX('Tablero (To Do · Doing · Done)'!$B$6:$B$266,MATCH(138,'Tablero (To Do · Doing · Done)'!$T$6:$T$266,0)),"")</f>
        <v/>
      </c>
      <c r="F143" s="21">
        <f>IFERROR(INDEX('Tablero (To Do · Doing · Done)'!$F$6:$F$266,MATCH(138,'Tablero (To Do · Doing · Done)'!$T$6:$T$266,0))&amp;" · "&amp;INDEX('Tablero (To Do · Doing · Done)'!$G$6:$G$266,MATCH(138,'Tablero (To Do · Doing · Done)'!$T$6:$T$266,0)),"")</f>
        <v/>
      </c>
      <c r="H143" s="21">
        <f>IFERROR(INDEX('Tablero (To Do · Doing · Done)'!$B$6:$B$266,MATCH(138,'Tablero (To Do · Doing · Done)'!$U$6:$U$266,0)),"")</f>
        <v/>
      </c>
      <c r="I143" s="21">
        <f>IFERROR(INDEX('Tablero (To Do · Doing · Done)'!$F$6:$F$266,MATCH(138,'Tablero (To Do · Doing · Done)'!$U$6:$U$266,0))&amp;" · "&amp;INDEX('Tablero (To Do · Doing · Done)'!$G$6:$G$266,MATCH(138,'Tablero (To Do · Doing · Done)'!$U$6:$U$266,0)),"")</f>
        <v/>
      </c>
    </row>
    <row r="144">
      <c r="B144" s="21">
        <f>IFERROR(INDEX('Tablero (To Do · Doing · Done)'!$B$6:$B$266,MATCH(139,'Tablero (To Do · Doing · Done)'!$S$6:$S$266,0)),"")</f>
        <v/>
      </c>
      <c r="C144" s="21">
        <f>IFERROR(INDEX('Tablero (To Do · Doing · Done)'!$F$6:$F$266,MATCH(139,'Tablero (To Do · Doing · Done)'!$S$6:$S$266,0))&amp;" · "&amp;INDEX('Tablero (To Do · Doing · Done)'!$G$6:$G$266,MATCH(139,'Tablero (To Do · Doing · Done)'!$S$6:$S$266,0)),"")</f>
        <v/>
      </c>
      <c r="E144" s="21">
        <f>IFERROR(INDEX('Tablero (To Do · Doing · Done)'!$B$6:$B$266,MATCH(139,'Tablero (To Do · Doing · Done)'!$T$6:$T$266,0)),"")</f>
        <v/>
      </c>
      <c r="F144" s="21">
        <f>IFERROR(INDEX('Tablero (To Do · Doing · Done)'!$F$6:$F$266,MATCH(139,'Tablero (To Do · Doing · Done)'!$T$6:$T$266,0))&amp;" · "&amp;INDEX('Tablero (To Do · Doing · Done)'!$G$6:$G$266,MATCH(139,'Tablero (To Do · Doing · Done)'!$T$6:$T$266,0)),"")</f>
        <v/>
      </c>
      <c r="H144" s="21">
        <f>IFERROR(INDEX('Tablero (To Do · Doing · Done)'!$B$6:$B$266,MATCH(139,'Tablero (To Do · Doing · Done)'!$U$6:$U$266,0)),"")</f>
        <v/>
      </c>
      <c r="I144" s="21">
        <f>IFERROR(INDEX('Tablero (To Do · Doing · Done)'!$F$6:$F$266,MATCH(139,'Tablero (To Do · Doing · Done)'!$U$6:$U$266,0))&amp;" · "&amp;INDEX('Tablero (To Do · Doing · Done)'!$G$6:$G$266,MATCH(139,'Tablero (To Do · Doing · Done)'!$U$6:$U$266,0)),"")</f>
        <v/>
      </c>
    </row>
    <row r="145">
      <c r="B145" s="21">
        <f>IFERROR(INDEX('Tablero (To Do · Doing · Done)'!$B$6:$B$266,MATCH(140,'Tablero (To Do · Doing · Done)'!$S$6:$S$266,0)),"")</f>
        <v/>
      </c>
      <c r="C145" s="21">
        <f>IFERROR(INDEX('Tablero (To Do · Doing · Done)'!$F$6:$F$266,MATCH(140,'Tablero (To Do · Doing · Done)'!$S$6:$S$266,0))&amp;" · "&amp;INDEX('Tablero (To Do · Doing · Done)'!$G$6:$G$266,MATCH(140,'Tablero (To Do · Doing · Done)'!$S$6:$S$266,0)),"")</f>
        <v/>
      </c>
      <c r="E145" s="21">
        <f>IFERROR(INDEX('Tablero (To Do · Doing · Done)'!$B$6:$B$266,MATCH(140,'Tablero (To Do · Doing · Done)'!$T$6:$T$266,0)),"")</f>
        <v/>
      </c>
      <c r="F145" s="21">
        <f>IFERROR(INDEX('Tablero (To Do · Doing · Done)'!$F$6:$F$266,MATCH(140,'Tablero (To Do · Doing · Done)'!$T$6:$T$266,0))&amp;" · "&amp;INDEX('Tablero (To Do · Doing · Done)'!$G$6:$G$266,MATCH(140,'Tablero (To Do · Doing · Done)'!$T$6:$T$266,0)),"")</f>
        <v/>
      </c>
      <c r="H145" s="21">
        <f>IFERROR(INDEX('Tablero (To Do · Doing · Done)'!$B$6:$B$266,MATCH(140,'Tablero (To Do · Doing · Done)'!$U$6:$U$266,0)),"")</f>
        <v/>
      </c>
      <c r="I145" s="21">
        <f>IFERROR(INDEX('Tablero (To Do · Doing · Done)'!$F$6:$F$266,MATCH(140,'Tablero (To Do · Doing · Done)'!$U$6:$U$266,0))&amp;" · "&amp;INDEX('Tablero (To Do · Doing · Done)'!$G$6:$G$266,MATCH(140,'Tablero (To Do · Doing · Done)'!$U$6:$U$266,0)),"")</f>
        <v/>
      </c>
    </row>
    <row r="146">
      <c r="B146" s="21">
        <f>IFERROR(INDEX('Tablero (To Do · Doing · Done)'!$B$6:$B$266,MATCH(141,'Tablero (To Do · Doing · Done)'!$S$6:$S$266,0)),"")</f>
        <v/>
      </c>
      <c r="C146" s="21">
        <f>IFERROR(INDEX('Tablero (To Do · Doing · Done)'!$F$6:$F$266,MATCH(141,'Tablero (To Do · Doing · Done)'!$S$6:$S$266,0))&amp;" · "&amp;INDEX('Tablero (To Do · Doing · Done)'!$G$6:$G$266,MATCH(141,'Tablero (To Do · Doing · Done)'!$S$6:$S$266,0)),"")</f>
        <v/>
      </c>
      <c r="E146" s="21">
        <f>IFERROR(INDEX('Tablero (To Do · Doing · Done)'!$B$6:$B$266,MATCH(141,'Tablero (To Do · Doing · Done)'!$T$6:$T$266,0)),"")</f>
        <v/>
      </c>
      <c r="F146" s="21">
        <f>IFERROR(INDEX('Tablero (To Do · Doing · Done)'!$F$6:$F$266,MATCH(141,'Tablero (To Do · Doing · Done)'!$T$6:$T$266,0))&amp;" · "&amp;INDEX('Tablero (To Do · Doing · Done)'!$G$6:$G$266,MATCH(141,'Tablero (To Do · Doing · Done)'!$T$6:$T$266,0)),"")</f>
        <v/>
      </c>
      <c r="H146" s="21">
        <f>IFERROR(INDEX('Tablero (To Do · Doing · Done)'!$B$6:$B$266,MATCH(141,'Tablero (To Do · Doing · Done)'!$U$6:$U$266,0)),"")</f>
        <v/>
      </c>
      <c r="I146" s="21">
        <f>IFERROR(INDEX('Tablero (To Do · Doing · Done)'!$F$6:$F$266,MATCH(141,'Tablero (To Do · Doing · Done)'!$U$6:$U$266,0))&amp;" · "&amp;INDEX('Tablero (To Do · Doing · Done)'!$G$6:$G$266,MATCH(141,'Tablero (To Do · Doing · Done)'!$U$6:$U$266,0)),"")</f>
        <v/>
      </c>
    </row>
    <row r="147">
      <c r="B147" s="21">
        <f>IFERROR(INDEX('Tablero (To Do · Doing · Done)'!$B$6:$B$266,MATCH(142,'Tablero (To Do · Doing · Done)'!$S$6:$S$266,0)),"")</f>
        <v/>
      </c>
      <c r="C147" s="21">
        <f>IFERROR(INDEX('Tablero (To Do · Doing · Done)'!$F$6:$F$266,MATCH(142,'Tablero (To Do · Doing · Done)'!$S$6:$S$266,0))&amp;" · "&amp;INDEX('Tablero (To Do · Doing · Done)'!$G$6:$G$266,MATCH(142,'Tablero (To Do · Doing · Done)'!$S$6:$S$266,0)),"")</f>
        <v/>
      </c>
      <c r="E147" s="21">
        <f>IFERROR(INDEX('Tablero (To Do · Doing · Done)'!$B$6:$B$266,MATCH(142,'Tablero (To Do · Doing · Done)'!$T$6:$T$266,0)),"")</f>
        <v/>
      </c>
      <c r="F147" s="21">
        <f>IFERROR(INDEX('Tablero (To Do · Doing · Done)'!$F$6:$F$266,MATCH(142,'Tablero (To Do · Doing · Done)'!$T$6:$T$266,0))&amp;" · "&amp;INDEX('Tablero (To Do · Doing · Done)'!$G$6:$G$266,MATCH(142,'Tablero (To Do · Doing · Done)'!$T$6:$T$266,0)),"")</f>
        <v/>
      </c>
      <c r="H147" s="21">
        <f>IFERROR(INDEX('Tablero (To Do · Doing · Done)'!$B$6:$B$266,MATCH(142,'Tablero (To Do · Doing · Done)'!$U$6:$U$266,0)),"")</f>
        <v/>
      </c>
      <c r="I147" s="21">
        <f>IFERROR(INDEX('Tablero (To Do · Doing · Done)'!$F$6:$F$266,MATCH(142,'Tablero (To Do · Doing · Done)'!$U$6:$U$266,0))&amp;" · "&amp;INDEX('Tablero (To Do · Doing · Done)'!$G$6:$G$266,MATCH(142,'Tablero (To Do · Doing · Done)'!$U$6:$U$266,0)),"")</f>
        <v/>
      </c>
    </row>
    <row r="148">
      <c r="B148" s="21">
        <f>IFERROR(INDEX('Tablero (To Do · Doing · Done)'!$B$6:$B$266,MATCH(143,'Tablero (To Do · Doing · Done)'!$S$6:$S$266,0)),"")</f>
        <v/>
      </c>
      <c r="C148" s="21">
        <f>IFERROR(INDEX('Tablero (To Do · Doing · Done)'!$F$6:$F$266,MATCH(143,'Tablero (To Do · Doing · Done)'!$S$6:$S$266,0))&amp;" · "&amp;INDEX('Tablero (To Do · Doing · Done)'!$G$6:$G$266,MATCH(143,'Tablero (To Do · Doing · Done)'!$S$6:$S$266,0)),"")</f>
        <v/>
      </c>
      <c r="E148" s="21">
        <f>IFERROR(INDEX('Tablero (To Do · Doing · Done)'!$B$6:$B$266,MATCH(143,'Tablero (To Do · Doing · Done)'!$T$6:$T$266,0)),"")</f>
        <v/>
      </c>
      <c r="F148" s="21">
        <f>IFERROR(INDEX('Tablero (To Do · Doing · Done)'!$F$6:$F$266,MATCH(143,'Tablero (To Do · Doing · Done)'!$T$6:$T$266,0))&amp;" · "&amp;INDEX('Tablero (To Do · Doing · Done)'!$G$6:$G$266,MATCH(143,'Tablero (To Do · Doing · Done)'!$T$6:$T$266,0)),"")</f>
        <v/>
      </c>
      <c r="H148" s="21">
        <f>IFERROR(INDEX('Tablero (To Do · Doing · Done)'!$B$6:$B$266,MATCH(143,'Tablero (To Do · Doing · Done)'!$U$6:$U$266,0)),"")</f>
        <v/>
      </c>
      <c r="I148" s="21">
        <f>IFERROR(INDEX('Tablero (To Do · Doing · Done)'!$F$6:$F$266,MATCH(143,'Tablero (To Do · Doing · Done)'!$U$6:$U$266,0))&amp;" · "&amp;INDEX('Tablero (To Do · Doing · Done)'!$G$6:$G$266,MATCH(143,'Tablero (To Do · Doing · Done)'!$U$6:$U$266,0)),"")</f>
        <v/>
      </c>
    </row>
    <row r="149">
      <c r="B149" s="21">
        <f>IFERROR(INDEX('Tablero (To Do · Doing · Done)'!$B$6:$B$266,MATCH(144,'Tablero (To Do · Doing · Done)'!$S$6:$S$266,0)),"")</f>
        <v/>
      </c>
      <c r="C149" s="21">
        <f>IFERROR(INDEX('Tablero (To Do · Doing · Done)'!$F$6:$F$266,MATCH(144,'Tablero (To Do · Doing · Done)'!$S$6:$S$266,0))&amp;" · "&amp;INDEX('Tablero (To Do · Doing · Done)'!$G$6:$G$266,MATCH(144,'Tablero (To Do · Doing · Done)'!$S$6:$S$266,0)),"")</f>
        <v/>
      </c>
      <c r="E149" s="21">
        <f>IFERROR(INDEX('Tablero (To Do · Doing · Done)'!$B$6:$B$266,MATCH(144,'Tablero (To Do · Doing · Done)'!$T$6:$T$266,0)),"")</f>
        <v/>
      </c>
      <c r="F149" s="21">
        <f>IFERROR(INDEX('Tablero (To Do · Doing · Done)'!$F$6:$F$266,MATCH(144,'Tablero (To Do · Doing · Done)'!$T$6:$T$266,0))&amp;" · "&amp;INDEX('Tablero (To Do · Doing · Done)'!$G$6:$G$266,MATCH(144,'Tablero (To Do · Doing · Done)'!$T$6:$T$266,0)),"")</f>
        <v/>
      </c>
      <c r="H149" s="21">
        <f>IFERROR(INDEX('Tablero (To Do · Doing · Done)'!$B$6:$B$266,MATCH(144,'Tablero (To Do · Doing · Done)'!$U$6:$U$266,0)),"")</f>
        <v/>
      </c>
      <c r="I149" s="21">
        <f>IFERROR(INDEX('Tablero (To Do · Doing · Done)'!$F$6:$F$266,MATCH(144,'Tablero (To Do · Doing · Done)'!$U$6:$U$266,0))&amp;" · "&amp;INDEX('Tablero (To Do · Doing · Done)'!$G$6:$G$266,MATCH(144,'Tablero (To Do · Doing · Done)'!$U$6:$U$266,0)),"")</f>
        <v/>
      </c>
    </row>
    <row r="150">
      <c r="B150" s="21">
        <f>IFERROR(INDEX('Tablero (To Do · Doing · Done)'!$B$6:$B$266,MATCH(145,'Tablero (To Do · Doing · Done)'!$S$6:$S$266,0)),"")</f>
        <v/>
      </c>
      <c r="C150" s="21">
        <f>IFERROR(INDEX('Tablero (To Do · Doing · Done)'!$F$6:$F$266,MATCH(145,'Tablero (To Do · Doing · Done)'!$S$6:$S$266,0))&amp;" · "&amp;INDEX('Tablero (To Do · Doing · Done)'!$G$6:$G$266,MATCH(145,'Tablero (To Do · Doing · Done)'!$S$6:$S$266,0)),"")</f>
        <v/>
      </c>
      <c r="E150" s="21">
        <f>IFERROR(INDEX('Tablero (To Do · Doing · Done)'!$B$6:$B$266,MATCH(145,'Tablero (To Do · Doing · Done)'!$T$6:$T$266,0)),"")</f>
        <v/>
      </c>
      <c r="F150" s="21">
        <f>IFERROR(INDEX('Tablero (To Do · Doing · Done)'!$F$6:$F$266,MATCH(145,'Tablero (To Do · Doing · Done)'!$T$6:$T$266,0))&amp;" · "&amp;INDEX('Tablero (To Do · Doing · Done)'!$G$6:$G$266,MATCH(145,'Tablero (To Do · Doing · Done)'!$T$6:$T$266,0)),"")</f>
        <v/>
      </c>
      <c r="H150" s="21">
        <f>IFERROR(INDEX('Tablero (To Do · Doing · Done)'!$B$6:$B$266,MATCH(145,'Tablero (To Do · Doing · Done)'!$U$6:$U$266,0)),"")</f>
        <v/>
      </c>
      <c r="I150" s="21">
        <f>IFERROR(INDEX('Tablero (To Do · Doing · Done)'!$F$6:$F$266,MATCH(145,'Tablero (To Do · Doing · Done)'!$U$6:$U$266,0))&amp;" · "&amp;INDEX('Tablero (To Do · Doing · Done)'!$G$6:$G$266,MATCH(145,'Tablero (To Do · Doing · Done)'!$U$6:$U$266,0)),"")</f>
        <v/>
      </c>
    </row>
    <row r="151">
      <c r="B151" s="21">
        <f>IFERROR(INDEX('Tablero (To Do · Doing · Done)'!$B$6:$B$266,MATCH(146,'Tablero (To Do · Doing · Done)'!$S$6:$S$266,0)),"")</f>
        <v/>
      </c>
      <c r="C151" s="21">
        <f>IFERROR(INDEX('Tablero (To Do · Doing · Done)'!$F$6:$F$266,MATCH(146,'Tablero (To Do · Doing · Done)'!$S$6:$S$266,0))&amp;" · "&amp;INDEX('Tablero (To Do · Doing · Done)'!$G$6:$G$266,MATCH(146,'Tablero (To Do · Doing · Done)'!$S$6:$S$266,0)),"")</f>
        <v/>
      </c>
      <c r="E151" s="21">
        <f>IFERROR(INDEX('Tablero (To Do · Doing · Done)'!$B$6:$B$266,MATCH(146,'Tablero (To Do · Doing · Done)'!$T$6:$T$266,0)),"")</f>
        <v/>
      </c>
      <c r="F151" s="21">
        <f>IFERROR(INDEX('Tablero (To Do · Doing · Done)'!$F$6:$F$266,MATCH(146,'Tablero (To Do · Doing · Done)'!$T$6:$T$266,0))&amp;" · "&amp;INDEX('Tablero (To Do · Doing · Done)'!$G$6:$G$266,MATCH(146,'Tablero (To Do · Doing · Done)'!$T$6:$T$266,0)),"")</f>
        <v/>
      </c>
      <c r="H151" s="21">
        <f>IFERROR(INDEX('Tablero (To Do · Doing · Done)'!$B$6:$B$266,MATCH(146,'Tablero (To Do · Doing · Done)'!$U$6:$U$266,0)),"")</f>
        <v/>
      </c>
      <c r="I151" s="21">
        <f>IFERROR(INDEX('Tablero (To Do · Doing · Done)'!$F$6:$F$266,MATCH(146,'Tablero (To Do · Doing · Done)'!$U$6:$U$266,0))&amp;" · "&amp;INDEX('Tablero (To Do · Doing · Done)'!$G$6:$G$266,MATCH(146,'Tablero (To Do · Doing · Done)'!$U$6:$U$266,0)),"")</f>
        <v/>
      </c>
    </row>
    <row r="152">
      <c r="B152" s="21">
        <f>IFERROR(INDEX('Tablero (To Do · Doing · Done)'!$B$6:$B$266,MATCH(147,'Tablero (To Do · Doing · Done)'!$S$6:$S$266,0)),"")</f>
        <v/>
      </c>
      <c r="C152" s="21">
        <f>IFERROR(INDEX('Tablero (To Do · Doing · Done)'!$F$6:$F$266,MATCH(147,'Tablero (To Do · Doing · Done)'!$S$6:$S$266,0))&amp;" · "&amp;INDEX('Tablero (To Do · Doing · Done)'!$G$6:$G$266,MATCH(147,'Tablero (To Do · Doing · Done)'!$S$6:$S$266,0)),"")</f>
        <v/>
      </c>
      <c r="E152" s="21">
        <f>IFERROR(INDEX('Tablero (To Do · Doing · Done)'!$B$6:$B$266,MATCH(147,'Tablero (To Do · Doing · Done)'!$T$6:$T$266,0)),"")</f>
        <v/>
      </c>
      <c r="F152" s="21">
        <f>IFERROR(INDEX('Tablero (To Do · Doing · Done)'!$F$6:$F$266,MATCH(147,'Tablero (To Do · Doing · Done)'!$T$6:$T$266,0))&amp;" · "&amp;INDEX('Tablero (To Do · Doing · Done)'!$G$6:$G$266,MATCH(147,'Tablero (To Do · Doing · Done)'!$T$6:$T$266,0)),"")</f>
        <v/>
      </c>
      <c r="H152" s="21">
        <f>IFERROR(INDEX('Tablero (To Do · Doing · Done)'!$B$6:$B$266,MATCH(147,'Tablero (To Do · Doing · Done)'!$U$6:$U$266,0)),"")</f>
        <v/>
      </c>
      <c r="I152" s="21">
        <f>IFERROR(INDEX('Tablero (To Do · Doing · Done)'!$F$6:$F$266,MATCH(147,'Tablero (To Do · Doing · Done)'!$U$6:$U$266,0))&amp;" · "&amp;INDEX('Tablero (To Do · Doing · Done)'!$G$6:$G$266,MATCH(147,'Tablero (To Do · Doing · Done)'!$U$6:$U$266,0)),"")</f>
        <v/>
      </c>
    </row>
    <row r="153">
      <c r="B153" s="21">
        <f>IFERROR(INDEX('Tablero (To Do · Doing · Done)'!$B$6:$B$266,MATCH(148,'Tablero (To Do · Doing · Done)'!$S$6:$S$266,0)),"")</f>
        <v/>
      </c>
      <c r="C153" s="21">
        <f>IFERROR(INDEX('Tablero (To Do · Doing · Done)'!$F$6:$F$266,MATCH(148,'Tablero (To Do · Doing · Done)'!$S$6:$S$266,0))&amp;" · "&amp;INDEX('Tablero (To Do · Doing · Done)'!$G$6:$G$266,MATCH(148,'Tablero (To Do · Doing · Done)'!$S$6:$S$266,0)),"")</f>
        <v/>
      </c>
      <c r="E153" s="21">
        <f>IFERROR(INDEX('Tablero (To Do · Doing · Done)'!$B$6:$B$266,MATCH(148,'Tablero (To Do · Doing · Done)'!$T$6:$T$266,0)),"")</f>
        <v/>
      </c>
      <c r="F153" s="21">
        <f>IFERROR(INDEX('Tablero (To Do · Doing · Done)'!$F$6:$F$266,MATCH(148,'Tablero (To Do · Doing · Done)'!$T$6:$T$266,0))&amp;" · "&amp;INDEX('Tablero (To Do · Doing · Done)'!$G$6:$G$266,MATCH(148,'Tablero (To Do · Doing · Done)'!$T$6:$T$266,0)),"")</f>
        <v/>
      </c>
      <c r="H153" s="21">
        <f>IFERROR(INDEX('Tablero (To Do · Doing · Done)'!$B$6:$B$266,MATCH(148,'Tablero (To Do · Doing · Done)'!$U$6:$U$266,0)),"")</f>
        <v/>
      </c>
      <c r="I153" s="21">
        <f>IFERROR(INDEX('Tablero (To Do · Doing · Done)'!$F$6:$F$266,MATCH(148,'Tablero (To Do · Doing · Done)'!$U$6:$U$266,0))&amp;" · "&amp;INDEX('Tablero (To Do · Doing · Done)'!$G$6:$G$266,MATCH(148,'Tablero (To Do · Doing · Done)'!$U$6:$U$266,0)),"")</f>
        <v/>
      </c>
    </row>
    <row r="154">
      <c r="B154" s="21">
        <f>IFERROR(INDEX('Tablero (To Do · Doing · Done)'!$B$6:$B$266,MATCH(149,'Tablero (To Do · Doing · Done)'!$S$6:$S$266,0)),"")</f>
        <v/>
      </c>
      <c r="C154" s="21">
        <f>IFERROR(INDEX('Tablero (To Do · Doing · Done)'!$F$6:$F$266,MATCH(149,'Tablero (To Do · Doing · Done)'!$S$6:$S$266,0))&amp;" · "&amp;INDEX('Tablero (To Do · Doing · Done)'!$G$6:$G$266,MATCH(149,'Tablero (To Do · Doing · Done)'!$S$6:$S$266,0)),"")</f>
        <v/>
      </c>
      <c r="E154" s="21">
        <f>IFERROR(INDEX('Tablero (To Do · Doing · Done)'!$B$6:$B$266,MATCH(149,'Tablero (To Do · Doing · Done)'!$T$6:$T$266,0)),"")</f>
        <v/>
      </c>
      <c r="F154" s="21">
        <f>IFERROR(INDEX('Tablero (To Do · Doing · Done)'!$F$6:$F$266,MATCH(149,'Tablero (To Do · Doing · Done)'!$T$6:$T$266,0))&amp;" · "&amp;INDEX('Tablero (To Do · Doing · Done)'!$G$6:$G$266,MATCH(149,'Tablero (To Do · Doing · Done)'!$T$6:$T$266,0)),"")</f>
        <v/>
      </c>
      <c r="H154" s="21">
        <f>IFERROR(INDEX('Tablero (To Do · Doing · Done)'!$B$6:$B$266,MATCH(149,'Tablero (To Do · Doing · Done)'!$U$6:$U$266,0)),"")</f>
        <v/>
      </c>
      <c r="I154" s="21">
        <f>IFERROR(INDEX('Tablero (To Do · Doing · Done)'!$F$6:$F$266,MATCH(149,'Tablero (To Do · Doing · Done)'!$U$6:$U$266,0))&amp;" · "&amp;INDEX('Tablero (To Do · Doing · Done)'!$G$6:$G$266,MATCH(149,'Tablero (To Do · Doing · Done)'!$U$6:$U$266,0)),"")</f>
        <v/>
      </c>
    </row>
    <row r="155">
      <c r="B155" s="21">
        <f>IFERROR(INDEX('Tablero (To Do · Doing · Done)'!$B$6:$B$266,MATCH(150,'Tablero (To Do · Doing · Done)'!$S$6:$S$266,0)),"")</f>
        <v/>
      </c>
      <c r="C155" s="21">
        <f>IFERROR(INDEX('Tablero (To Do · Doing · Done)'!$F$6:$F$266,MATCH(150,'Tablero (To Do · Doing · Done)'!$S$6:$S$266,0))&amp;" · "&amp;INDEX('Tablero (To Do · Doing · Done)'!$G$6:$G$266,MATCH(150,'Tablero (To Do · Doing · Done)'!$S$6:$S$266,0)),"")</f>
        <v/>
      </c>
      <c r="E155" s="21">
        <f>IFERROR(INDEX('Tablero (To Do · Doing · Done)'!$B$6:$B$266,MATCH(150,'Tablero (To Do · Doing · Done)'!$T$6:$T$266,0)),"")</f>
        <v/>
      </c>
      <c r="F155" s="21">
        <f>IFERROR(INDEX('Tablero (To Do · Doing · Done)'!$F$6:$F$266,MATCH(150,'Tablero (To Do · Doing · Done)'!$T$6:$T$266,0))&amp;" · "&amp;INDEX('Tablero (To Do · Doing · Done)'!$G$6:$G$266,MATCH(150,'Tablero (To Do · Doing · Done)'!$T$6:$T$266,0)),"")</f>
        <v/>
      </c>
      <c r="H155" s="21">
        <f>IFERROR(INDEX('Tablero (To Do · Doing · Done)'!$B$6:$B$266,MATCH(150,'Tablero (To Do · Doing · Done)'!$U$6:$U$266,0)),"")</f>
        <v/>
      </c>
      <c r="I155" s="21">
        <f>IFERROR(INDEX('Tablero (To Do · Doing · Done)'!$F$6:$F$266,MATCH(150,'Tablero (To Do · Doing · Done)'!$U$6:$U$266,0))&amp;" · "&amp;INDEX('Tablero (To Do · Doing · Done)'!$G$6:$G$266,MATCH(150,'Tablero (To Do · Doing · Done)'!$U$6:$U$266,0)),"")</f>
        <v/>
      </c>
    </row>
    <row r="156">
      <c r="B156" s="21">
        <f>IFERROR(INDEX('Tablero (To Do · Doing · Done)'!$B$6:$B$266,MATCH(151,'Tablero (To Do · Doing · Done)'!$S$6:$S$266,0)),"")</f>
        <v/>
      </c>
      <c r="C156" s="21">
        <f>IFERROR(INDEX('Tablero (To Do · Doing · Done)'!$F$6:$F$266,MATCH(151,'Tablero (To Do · Doing · Done)'!$S$6:$S$266,0))&amp;" · "&amp;INDEX('Tablero (To Do · Doing · Done)'!$G$6:$G$266,MATCH(151,'Tablero (To Do · Doing · Done)'!$S$6:$S$266,0)),"")</f>
        <v/>
      </c>
      <c r="E156" s="21">
        <f>IFERROR(INDEX('Tablero (To Do · Doing · Done)'!$B$6:$B$266,MATCH(151,'Tablero (To Do · Doing · Done)'!$T$6:$T$266,0)),"")</f>
        <v/>
      </c>
      <c r="F156" s="21">
        <f>IFERROR(INDEX('Tablero (To Do · Doing · Done)'!$F$6:$F$266,MATCH(151,'Tablero (To Do · Doing · Done)'!$T$6:$T$266,0))&amp;" · "&amp;INDEX('Tablero (To Do · Doing · Done)'!$G$6:$G$266,MATCH(151,'Tablero (To Do · Doing · Done)'!$T$6:$T$266,0)),"")</f>
        <v/>
      </c>
      <c r="H156" s="21">
        <f>IFERROR(INDEX('Tablero (To Do · Doing · Done)'!$B$6:$B$266,MATCH(151,'Tablero (To Do · Doing · Done)'!$U$6:$U$266,0)),"")</f>
        <v/>
      </c>
      <c r="I156" s="21">
        <f>IFERROR(INDEX('Tablero (To Do · Doing · Done)'!$F$6:$F$266,MATCH(151,'Tablero (To Do · Doing · Done)'!$U$6:$U$266,0))&amp;" · "&amp;INDEX('Tablero (To Do · Doing · Done)'!$G$6:$G$266,MATCH(151,'Tablero (To Do · Doing · Done)'!$U$6:$U$266,0)),"")</f>
        <v/>
      </c>
    </row>
    <row r="157">
      <c r="B157" s="21">
        <f>IFERROR(INDEX('Tablero (To Do · Doing · Done)'!$B$6:$B$266,MATCH(152,'Tablero (To Do · Doing · Done)'!$S$6:$S$266,0)),"")</f>
        <v/>
      </c>
      <c r="C157" s="21">
        <f>IFERROR(INDEX('Tablero (To Do · Doing · Done)'!$F$6:$F$266,MATCH(152,'Tablero (To Do · Doing · Done)'!$S$6:$S$266,0))&amp;" · "&amp;INDEX('Tablero (To Do · Doing · Done)'!$G$6:$G$266,MATCH(152,'Tablero (To Do · Doing · Done)'!$S$6:$S$266,0)),"")</f>
        <v/>
      </c>
      <c r="E157" s="21">
        <f>IFERROR(INDEX('Tablero (To Do · Doing · Done)'!$B$6:$B$266,MATCH(152,'Tablero (To Do · Doing · Done)'!$T$6:$T$266,0)),"")</f>
        <v/>
      </c>
      <c r="F157" s="21">
        <f>IFERROR(INDEX('Tablero (To Do · Doing · Done)'!$F$6:$F$266,MATCH(152,'Tablero (To Do · Doing · Done)'!$T$6:$T$266,0))&amp;" · "&amp;INDEX('Tablero (To Do · Doing · Done)'!$G$6:$G$266,MATCH(152,'Tablero (To Do · Doing · Done)'!$T$6:$T$266,0)),"")</f>
        <v/>
      </c>
      <c r="H157" s="21">
        <f>IFERROR(INDEX('Tablero (To Do · Doing · Done)'!$B$6:$B$266,MATCH(152,'Tablero (To Do · Doing · Done)'!$U$6:$U$266,0)),"")</f>
        <v/>
      </c>
      <c r="I157" s="21">
        <f>IFERROR(INDEX('Tablero (To Do · Doing · Done)'!$F$6:$F$266,MATCH(152,'Tablero (To Do · Doing · Done)'!$U$6:$U$266,0))&amp;" · "&amp;INDEX('Tablero (To Do · Doing · Done)'!$G$6:$G$266,MATCH(152,'Tablero (To Do · Doing · Done)'!$U$6:$U$266,0)),"")</f>
        <v/>
      </c>
    </row>
    <row r="158">
      <c r="B158" s="21">
        <f>IFERROR(INDEX('Tablero (To Do · Doing · Done)'!$B$6:$B$266,MATCH(153,'Tablero (To Do · Doing · Done)'!$S$6:$S$266,0)),"")</f>
        <v/>
      </c>
      <c r="C158" s="21">
        <f>IFERROR(INDEX('Tablero (To Do · Doing · Done)'!$F$6:$F$266,MATCH(153,'Tablero (To Do · Doing · Done)'!$S$6:$S$266,0))&amp;" · "&amp;INDEX('Tablero (To Do · Doing · Done)'!$G$6:$G$266,MATCH(153,'Tablero (To Do · Doing · Done)'!$S$6:$S$266,0)),"")</f>
        <v/>
      </c>
      <c r="E158" s="21">
        <f>IFERROR(INDEX('Tablero (To Do · Doing · Done)'!$B$6:$B$266,MATCH(153,'Tablero (To Do · Doing · Done)'!$T$6:$T$266,0)),"")</f>
        <v/>
      </c>
      <c r="F158" s="21">
        <f>IFERROR(INDEX('Tablero (To Do · Doing · Done)'!$F$6:$F$266,MATCH(153,'Tablero (To Do · Doing · Done)'!$T$6:$T$266,0))&amp;" · "&amp;INDEX('Tablero (To Do · Doing · Done)'!$G$6:$G$266,MATCH(153,'Tablero (To Do · Doing · Done)'!$T$6:$T$266,0)),"")</f>
        <v/>
      </c>
      <c r="H158" s="21">
        <f>IFERROR(INDEX('Tablero (To Do · Doing · Done)'!$B$6:$B$266,MATCH(153,'Tablero (To Do · Doing · Done)'!$U$6:$U$266,0)),"")</f>
        <v/>
      </c>
      <c r="I158" s="21">
        <f>IFERROR(INDEX('Tablero (To Do · Doing · Done)'!$F$6:$F$266,MATCH(153,'Tablero (To Do · Doing · Done)'!$U$6:$U$266,0))&amp;" · "&amp;INDEX('Tablero (To Do · Doing · Done)'!$G$6:$G$266,MATCH(153,'Tablero (To Do · Doing · Done)'!$U$6:$U$266,0)),"")</f>
        <v/>
      </c>
    </row>
    <row r="159">
      <c r="B159" s="21">
        <f>IFERROR(INDEX('Tablero (To Do · Doing · Done)'!$B$6:$B$266,MATCH(154,'Tablero (To Do · Doing · Done)'!$S$6:$S$266,0)),"")</f>
        <v/>
      </c>
      <c r="C159" s="21">
        <f>IFERROR(INDEX('Tablero (To Do · Doing · Done)'!$F$6:$F$266,MATCH(154,'Tablero (To Do · Doing · Done)'!$S$6:$S$266,0))&amp;" · "&amp;INDEX('Tablero (To Do · Doing · Done)'!$G$6:$G$266,MATCH(154,'Tablero (To Do · Doing · Done)'!$S$6:$S$266,0)),"")</f>
        <v/>
      </c>
      <c r="E159" s="21">
        <f>IFERROR(INDEX('Tablero (To Do · Doing · Done)'!$B$6:$B$266,MATCH(154,'Tablero (To Do · Doing · Done)'!$T$6:$T$266,0)),"")</f>
        <v/>
      </c>
      <c r="F159" s="21">
        <f>IFERROR(INDEX('Tablero (To Do · Doing · Done)'!$F$6:$F$266,MATCH(154,'Tablero (To Do · Doing · Done)'!$T$6:$T$266,0))&amp;" · "&amp;INDEX('Tablero (To Do · Doing · Done)'!$G$6:$G$266,MATCH(154,'Tablero (To Do · Doing · Done)'!$T$6:$T$266,0)),"")</f>
        <v/>
      </c>
      <c r="H159" s="21">
        <f>IFERROR(INDEX('Tablero (To Do · Doing · Done)'!$B$6:$B$266,MATCH(154,'Tablero (To Do · Doing · Done)'!$U$6:$U$266,0)),"")</f>
        <v/>
      </c>
      <c r="I159" s="21">
        <f>IFERROR(INDEX('Tablero (To Do · Doing · Done)'!$F$6:$F$266,MATCH(154,'Tablero (To Do · Doing · Done)'!$U$6:$U$266,0))&amp;" · "&amp;INDEX('Tablero (To Do · Doing · Done)'!$G$6:$G$266,MATCH(154,'Tablero (To Do · Doing · Done)'!$U$6:$U$266,0)),"")</f>
        <v/>
      </c>
    </row>
    <row r="160">
      <c r="B160" s="21">
        <f>IFERROR(INDEX('Tablero (To Do · Doing · Done)'!$B$6:$B$266,MATCH(155,'Tablero (To Do · Doing · Done)'!$S$6:$S$266,0)),"")</f>
        <v/>
      </c>
      <c r="C160" s="21">
        <f>IFERROR(INDEX('Tablero (To Do · Doing · Done)'!$F$6:$F$266,MATCH(155,'Tablero (To Do · Doing · Done)'!$S$6:$S$266,0))&amp;" · "&amp;INDEX('Tablero (To Do · Doing · Done)'!$G$6:$G$266,MATCH(155,'Tablero (To Do · Doing · Done)'!$S$6:$S$266,0)),"")</f>
        <v/>
      </c>
      <c r="E160" s="21">
        <f>IFERROR(INDEX('Tablero (To Do · Doing · Done)'!$B$6:$B$266,MATCH(155,'Tablero (To Do · Doing · Done)'!$T$6:$T$266,0)),"")</f>
        <v/>
      </c>
      <c r="F160" s="21">
        <f>IFERROR(INDEX('Tablero (To Do · Doing · Done)'!$F$6:$F$266,MATCH(155,'Tablero (To Do · Doing · Done)'!$T$6:$T$266,0))&amp;" · "&amp;INDEX('Tablero (To Do · Doing · Done)'!$G$6:$G$266,MATCH(155,'Tablero (To Do · Doing · Done)'!$T$6:$T$266,0)),"")</f>
        <v/>
      </c>
      <c r="H160" s="21">
        <f>IFERROR(INDEX('Tablero (To Do · Doing · Done)'!$B$6:$B$266,MATCH(155,'Tablero (To Do · Doing · Done)'!$U$6:$U$266,0)),"")</f>
        <v/>
      </c>
      <c r="I160" s="21">
        <f>IFERROR(INDEX('Tablero (To Do · Doing · Done)'!$F$6:$F$266,MATCH(155,'Tablero (To Do · Doing · Done)'!$U$6:$U$266,0))&amp;" · "&amp;INDEX('Tablero (To Do · Doing · Done)'!$G$6:$G$266,MATCH(155,'Tablero (To Do · Doing · Done)'!$U$6:$U$266,0)),"")</f>
        <v/>
      </c>
    </row>
    <row r="161">
      <c r="B161" s="21">
        <f>IFERROR(INDEX('Tablero (To Do · Doing · Done)'!$B$6:$B$266,MATCH(156,'Tablero (To Do · Doing · Done)'!$S$6:$S$266,0)),"")</f>
        <v/>
      </c>
      <c r="C161" s="21">
        <f>IFERROR(INDEX('Tablero (To Do · Doing · Done)'!$F$6:$F$266,MATCH(156,'Tablero (To Do · Doing · Done)'!$S$6:$S$266,0))&amp;" · "&amp;INDEX('Tablero (To Do · Doing · Done)'!$G$6:$G$266,MATCH(156,'Tablero (To Do · Doing · Done)'!$S$6:$S$266,0)),"")</f>
        <v/>
      </c>
      <c r="E161" s="21">
        <f>IFERROR(INDEX('Tablero (To Do · Doing · Done)'!$B$6:$B$266,MATCH(156,'Tablero (To Do · Doing · Done)'!$T$6:$T$266,0)),"")</f>
        <v/>
      </c>
      <c r="F161" s="21">
        <f>IFERROR(INDEX('Tablero (To Do · Doing · Done)'!$F$6:$F$266,MATCH(156,'Tablero (To Do · Doing · Done)'!$T$6:$T$266,0))&amp;" · "&amp;INDEX('Tablero (To Do · Doing · Done)'!$G$6:$G$266,MATCH(156,'Tablero (To Do · Doing · Done)'!$T$6:$T$266,0)),"")</f>
        <v/>
      </c>
      <c r="H161" s="21">
        <f>IFERROR(INDEX('Tablero (To Do · Doing · Done)'!$B$6:$B$266,MATCH(156,'Tablero (To Do · Doing · Done)'!$U$6:$U$266,0)),"")</f>
        <v/>
      </c>
      <c r="I161" s="21">
        <f>IFERROR(INDEX('Tablero (To Do · Doing · Done)'!$F$6:$F$266,MATCH(156,'Tablero (To Do · Doing · Done)'!$U$6:$U$266,0))&amp;" · "&amp;INDEX('Tablero (To Do · Doing · Done)'!$G$6:$G$266,MATCH(156,'Tablero (To Do · Doing · Done)'!$U$6:$U$266,0)),"")</f>
        <v/>
      </c>
    </row>
    <row r="162">
      <c r="B162" s="21">
        <f>IFERROR(INDEX('Tablero (To Do · Doing · Done)'!$B$6:$B$266,MATCH(157,'Tablero (To Do · Doing · Done)'!$S$6:$S$266,0)),"")</f>
        <v/>
      </c>
      <c r="C162" s="21">
        <f>IFERROR(INDEX('Tablero (To Do · Doing · Done)'!$F$6:$F$266,MATCH(157,'Tablero (To Do · Doing · Done)'!$S$6:$S$266,0))&amp;" · "&amp;INDEX('Tablero (To Do · Doing · Done)'!$G$6:$G$266,MATCH(157,'Tablero (To Do · Doing · Done)'!$S$6:$S$266,0)),"")</f>
        <v/>
      </c>
      <c r="E162" s="21">
        <f>IFERROR(INDEX('Tablero (To Do · Doing · Done)'!$B$6:$B$266,MATCH(157,'Tablero (To Do · Doing · Done)'!$T$6:$T$266,0)),"")</f>
        <v/>
      </c>
      <c r="F162" s="21">
        <f>IFERROR(INDEX('Tablero (To Do · Doing · Done)'!$F$6:$F$266,MATCH(157,'Tablero (To Do · Doing · Done)'!$T$6:$T$266,0))&amp;" · "&amp;INDEX('Tablero (To Do · Doing · Done)'!$G$6:$G$266,MATCH(157,'Tablero (To Do · Doing · Done)'!$T$6:$T$266,0)),"")</f>
        <v/>
      </c>
      <c r="H162" s="21">
        <f>IFERROR(INDEX('Tablero (To Do · Doing · Done)'!$B$6:$B$266,MATCH(157,'Tablero (To Do · Doing · Done)'!$U$6:$U$266,0)),"")</f>
        <v/>
      </c>
      <c r="I162" s="21">
        <f>IFERROR(INDEX('Tablero (To Do · Doing · Done)'!$F$6:$F$266,MATCH(157,'Tablero (To Do · Doing · Done)'!$U$6:$U$266,0))&amp;" · "&amp;INDEX('Tablero (To Do · Doing · Done)'!$G$6:$G$266,MATCH(157,'Tablero (To Do · Doing · Done)'!$U$6:$U$266,0)),"")</f>
        <v/>
      </c>
    </row>
    <row r="163">
      <c r="B163" s="21">
        <f>IFERROR(INDEX('Tablero (To Do · Doing · Done)'!$B$6:$B$266,MATCH(158,'Tablero (To Do · Doing · Done)'!$S$6:$S$266,0)),"")</f>
        <v/>
      </c>
      <c r="C163" s="21">
        <f>IFERROR(INDEX('Tablero (To Do · Doing · Done)'!$F$6:$F$266,MATCH(158,'Tablero (To Do · Doing · Done)'!$S$6:$S$266,0))&amp;" · "&amp;INDEX('Tablero (To Do · Doing · Done)'!$G$6:$G$266,MATCH(158,'Tablero (To Do · Doing · Done)'!$S$6:$S$266,0)),"")</f>
        <v/>
      </c>
      <c r="E163" s="21">
        <f>IFERROR(INDEX('Tablero (To Do · Doing · Done)'!$B$6:$B$266,MATCH(158,'Tablero (To Do · Doing · Done)'!$T$6:$T$266,0)),"")</f>
        <v/>
      </c>
      <c r="F163" s="21">
        <f>IFERROR(INDEX('Tablero (To Do · Doing · Done)'!$F$6:$F$266,MATCH(158,'Tablero (To Do · Doing · Done)'!$T$6:$T$266,0))&amp;" · "&amp;INDEX('Tablero (To Do · Doing · Done)'!$G$6:$G$266,MATCH(158,'Tablero (To Do · Doing · Done)'!$T$6:$T$266,0)),"")</f>
        <v/>
      </c>
      <c r="H163" s="21">
        <f>IFERROR(INDEX('Tablero (To Do · Doing · Done)'!$B$6:$B$266,MATCH(158,'Tablero (To Do · Doing · Done)'!$U$6:$U$266,0)),"")</f>
        <v/>
      </c>
      <c r="I163" s="21">
        <f>IFERROR(INDEX('Tablero (To Do · Doing · Done)'!$F$6:$F$266,MATCH(158,'Tablero (To Do · Doing · Done)'!$U$6:$U$266,0))&amp;" · "&amp;INDEX('Tablero (To Do · Doing · Done)'!$G$6:$G$266,MATCH(158,'Tablero (To Do · Doing · Done)'!$U$6:$U$266,0)),"")</f>
        <v/>
      </c>
    </row>
    <row r="164">
      <c r="B164" s="21">
        <f>IFERROR(INDEX('Tablero (To Do · Doing · Done)'!$B$6:$B$266,MATCH(159,'Tablero (To Do · Doing · Done)'!$S$6:$S$266,0)),"")</f>
        <v/>
      </c>
      <c r="C164" s="21">
        <f>IFERROR(INDEX('Tablero (To Do · Doing · Done)'!$F$6:$F$266,MATCH(159,'Tablero (To Do · Doing · Done)'!$S$6:$S$266,0))&amp;" · "&amp;INDEX('Tablero (To Do · Doing · Done)'!$G$6:$G$266,MATCH(159,'Tablero (To Do · Doing · Done)'!$S$6:$S$266,0)),"")</f>
        <v/>
      </c>
      <c r="E164" s="21">
        <f>IFERROR(INDEX('Tablero (To Do · Doing · Done)'!$B$6:$B$266,MATCH(159,'Tablero (To Do · Doing · Done)'!$T$6:$T$266,0)),"")</f>
        <v/>
      </c>
      <c r="F164" s="21">
        <f>IFERROR(INDEX('Tablero (To Do · Doing · Done)'!$F$6:$F$266,MATCH(159,'Tablero (To Do · Doing · Done)'!$T$6:$T$266,0))&amp;" · "&amp;INDEX('Tablero (To Do · Doing · Done)'!$G$6:$G$266,MATCH(159,'Tablero (To Do · Doing · Done)'!$T$6:$T$266,0)),"")</f>
        <v/>
      </c>
      <c r="H164" s="21">
        <f>IFERROR(INDEX('Tablero (To Do · Doing · Done)'!$B$6:$B$266,MATCH(159,'Tablero (To Do · Doing · Done)'!$U$6:$U$266,0)),"")</f>
        <v/>
      </c>
      <c r="I164" s="21">
        <f>IFERROR(INDEX('Tablero (To Do · Doing · Done)'!$F$6:$F$266,MATCH(159,'Tablero (To Do · Doing · Done)'!$U$6:$U$266,0))&amp;" · "&amp;INDEX('Tablero (To Do · Doing · Done)'!$G$6:$G$266,MATCH(159,'Tablero (To Do · Doing · Done)'!$U$6:$U$266,0)),"")</f>
        <v/>
      </c>
    </row>
    <row r="165">
      <c r="B165" s="21">
        <f>IFERROR(INDEX('Tablero (To Do · Doing · Done)'!$B$6:$B$266,MATCH(160,'Tablero (To Do · Doing · Done)'!$S$6:$S$266,0)),"")</f>
        <v/>
      </c>
      <c r="C165" s="21">
        <f>IFERROR(INDEX('Tablero (To Do · Doing · Done)'!$F$6:$F$266,MATCH(160,'Tablero (To Do · Doing · Done)'!$S$6:$S$266,0))&amp;" · "&amp;INDEX('Tablero (To Do · Doing · Done)'!$G$6:$G$266,MATCH(160,'Tablero (To Do · Doing · Done)'!$S$6:$S$266,0)),"")</f>
        <v/>
      </c>
      <c r="E165" s="21">
        <f>IFERROR(INDEX('Tablero (To Do · Doing · Done)'!$B$6:$B$266,MATCH(160,'Tablero (To Do · Doing · Done)'!$T$6:$T$266,0)),"")</f>
        <v/>
      </c>
      <c r="F165" s="21">
        <f>IFERROR(INDEX('Tablero (To Do · Doing · Done)'!$F$6:$F$266,MATCH(160,'Tablero (To Do · Doing · Done)'!$T$6:$T$266,0))&amp;" · "&amp;INDEX('Tablero (To Do · Doing · Done)'!$G$6:$G$266,MATCH(160,'Tablero (To Do · Doing · Done)'!$T$6:$T$266,0)),"")</f>
        <v/>
      </c>
      <c r="H165" s="21">
        <f>IFERROR(INDEX('Tablero (To Do · Doing · Done)'!$B$6:$B$266,MATCH(160,'Tablero (To Do · Doing · Done)'!$U$6:$U$266,0)),"")</f>
        <v/>
      </c>
      <c r="I165" s="21">
        <f>IFERROR(INDEX('Tablero (To Do · Doing · Done)'!$F$6:$F$266,MATCH(160,'Tablero (To Do · Doing · Done)'!$U$6:$U$266,0))&amp;" · "&amp;INDEX('Tablero (To Do · Doing · Done)'!$G$6:$G$266,MATCH(160,'Tablero (To Do · Doing · Done)'!$U$6:$U$266,0)),"")</f>
        <v/>
      </c>
    </row>
    <row r="166">
      <c r="B166" s="21">
        <f>IFERROR(INDEX('Tablero (To Do · Doing · Done)'!$B$6:$B$266,MATCH(161,'Tablero (To Do · Doing · Done)'!$S$6:$S$266,0)),"")</f>
        <v/>
      </c>
      <c r="C166" s="21">
        <f>IFERROR(INDEX('Tablero (To Do · Doing · Done)'!$F$6:$F$266,MATCH(161,'Tablero (To Do · Doing · Done)'!$S$6:$S$266,0))&amp;" · "&amp;INDEX('Tablero (To Do · Doing · Done)'!$G$6:$G$266,MATCH(161,'Tablero (To Do · Doing · Done)'!$S$6:$S$266,0)),"")</f>
        <v/>
      </c>
      <c r="E166" s="21">
        <f>IFERROR(INDEX('Tablero (To Do · Doing · Done)'!$B$6:$B$266,MATCH(161,'Tablero (To Do · Doing · Done)'!$T$6:$T$266,0)),"")</f>
        <v/>
      </c>
      <c r="F166" s="21">
        <f>IFERROR(INDEX('Tablero (To Do · Doing · Done)'!$F$6:$F$266,MATCH(161,'Tablero (To Do · Doing · Done)'!$T$6:$T$266,0))&amp;" · "&amp;INDEX('Tablero (To Do · Doing · Done)'!$G$6:$G$266,MATCH(161,'Tablero (To Do · Doing · Done)'!$T$6:$T$266,0)),"")</f>
        <v/>
      </c>
      <c r="H166" s="21">
        <f>IFERROR(INDEX('Tablero (To Do · Doing · Done)'!$B$6:$B$266,MATCH(161,'Tablero (To Do · Doing · Done)'!$U$6:$U$266,0)),"")</f>
        <v/>
      </c>
      <c r="I166" s="21">
        <f>IFERROR(INDEX('Tablero (To Do · Doing · Done)'!$F$6:$F$266,MATCH(161,'Tablero (To Do · Doing · Done)'!$U$6:$U$266,0))&amp;" · "&amp;INDEX('Tablero (To Do · Doing · Done)'!$G$6:$G$266,MATCH(161,'Tablero (To Do · Doing · Done)'!$U$6:$U$266,0)),"")</f>
        <v/>
      </c>
    </row>
    <row r="167">
      <c r="B167" s="21">
        <f>IFERROR(INDEX('Tablero (To Do · Doing · Done)'!$B$6:$B$266,MATCH(162,'Tablero (To Do · Doing · Done)'!$S$6:$S$266,0)),"")</f>
        <v/>
      </c>
      <c r="C167" s="21">
        <f>IFERROR(INDEX('Tablero (To Do · Doing · Done)'!$F$6:$F$266,MATCH(162,'Tablero (To Do · Doing · Done)'!$S$6:$S$266,0))&amp;" · "&amp;INDEX('Tablero (To Do · Doing · Done)'!$G$6:$G$266,MATCH(162,'Tablero (To Do · Doing · Done)'!$S$6:$S$266,0)),"")</f>
        <v/>
      </c>
      <c r="E167" s="21">
        <f>IFERROR(INDEX('Tablero (To Do · Doing · Done)'!$B$6:$B$266,MATCH(162,'Tablero (To Do · Doing · Done)'!$T$6:$T$266,0)),"")</f>
        <v/>
      </c>
      <c r="F167" s="21">
        <f>IFERROR(INDEX('Tablero (To Do · Doing · Done)'!$F$6:$F$266,MATCH(162,'Tablero (To Do · Doing · Done)'!$T$6:$T$266,0))&amp;" · "&amp;INDEX('Tablero (To Do · Doing · Done)'!$G$6:$G$266,MATCH(162,'Tablero (To Do · Doing · Done)'!$T$6:$T$266,0)),"")</f>
        <v/>
      </c>
      <c r="H167" s="21">
        <f>IFERROR(INDEX('Tablero (To Do · Doing · Done)'!$B$6:$B$266,MATCH(162,'Tablero (To Do · Doing · Done)'!$U$6:$U$266,0)),"")</f>
        <v/>
      </c>
      <c r="I167" s="21">
        <f>IFERROR(INDEX('Tablero (To Do · Doing · Done)'!$F$6:$F$266,MATCH(162,'Tablero (To Do · Doing · Done)'!$U$6:$U$266,0))&amp;" · "&amp;INDEX('Tablero (To Do · Doing · Done)'!$G$6:$G$266,MATCH(162,'Tablero (To Do · Doing · Done)'!$U$6:$U$266,0)),"")</f>
        <v/>
      </c>
    </row>
    <row r="168">
      <c r="B168" s="21">
        <f>IFERROR(INDEX('Tablero (To Do · Doing · Done)'!$B$6:$B$266,MATCH(163,'Tablero (To Do · Doing · Done)'!$S$6:$S$266,0)),"")</f>
        <v/>
      </c>
      <c r="C168" s="21">
        <f>IFERROR(INDEX('Tablero (To Do · Doing · Done)'!$F$6:$F$266,MATCH(163,'Tablero (To Do · Doing · Done)'!$S$6:$S$266,0))&amp;" · "&amp;INDEX('Tablero (To Do · Doing · Done)'!$G$6:$G$266,MATCH(163,'Tablero (To Do · Doing · Done)'!$S$6:$S$266,0)),"")</f>
        <v/>
      </c>
      <c r="E168" s="21">
        <f>IFERROR(INDEX('Tablero (To Do · Doing · Done)'!$B$6:$B$266,MATCH(163,'Tablero (To Do · Doing · Done)'!$T$6:$T$266,0)),"")</f>
        <v/>
      </c>
      <c r="F168" s="21">
        <f>IFERROR(INDEX('Tablero (To Do · Doing · Done)'!$F$6:$F$266,MATCH(163,'Tablero (To Do · Doing · Done)'!$T$6:$T$266,0))&amp;" · "&amp;INDEX('Tablero (To Do · Doing · Done)'!$G$6:$G$266,MATCH(163,'Tablero (To Do · Doing · Done)'!$T$6:$T$266,0)),"")</f>
        <v/>
      </c>
      <c r="H168" s="21">
        <f>IFERROR(INDEX('Tablero (To Do · Doing · Done)'!$B$6:$B$266,MATCH(163,'Tablero (To Do · Doing · Done)'!$U$6:$U$266,0)),"")</f>
        <v/>
      </c>
      <c r="I168" s="21">
        <f>IFERROR(INDEX('Tablero (To Do · Doing · Done)'!$F$6:$F$266,MATCH(163,'Tablero (To Do · Doing · Done)'!$U$6:$U$266,0))&amp;" · "&amp;INDEX('Tablero (To Do · Doing · Done)'!$G$6:$G$266,MATCH(163,'Tablero (To Do · Doing · Done)'!$U$6:$U$266,0)),"")</f>
        <v/>
      </c>
    </row>
    <row r="169">
      <c r="B169" s="21">
        <f>IFERROR(INDEX('Tablero (To Do · Doing · Done)'!$B$6:$B$266,MATCH(164,'Tablero (To Do · Doing · Done)'!$S$6:$S$266,0)),"")</f>
        <v/>
      </c>
      <c r="C169" s="21">
        <f>IFERROR(INDEX('Tablero (To Do · Doing · Done)'!$F$6:$F$266,MATCH(164,'Tablero (To Do · Doing · Done)'!$S$6:$S$266,0))&amp;" · "&amp;INDEX('Tablero (To Do · Doing · Done)'!$G$6:$G$266,MATCH(164,'Tablero (To Do · Doing · Done)'!$S$6:$S$266,0)),"")</f>
        <v/>
      </c>
      <c r="E169" s="21">
        <f>IFERROR(INDEX('Tablero (To Do · Doing · Done)'!$B$6:$B$266,MATCH(164,'Tablero (To Do · Doing · Done)'!$T$6:$T$266,0)),"")</f>
        <v/>
      </c>
      <c r="F169" s="21">
        <f>IFERROR(INDEX('Tablero (To Do · Doing · Done)'!$F$6:$F$266,MATCH(164,'Tablero (To Do · Doing · Done)'!$T$6:$T$266,0))&amp;" · "&amp;INDEX('Tablero (To Do · Doing · Done)'!$G$6:$G$266,MATCH(164,'Tablero (To Do · Doing · Done)'!$T$6:$T$266,0)),"")</f>
        <v/>
      </c>
      <c r="H169" s="21">
        <f>IFERROR(INDEX('Tablero (To Do · Doing · Done)'!$B$6:$B$266,MATCH(164,'Tablero (To Do · Doing · Done)'!$U$6:$U$266,0)),"")</f>
        <v/>
      </c>
      <c r="I169" s="21">
        <f>IFERROR(INDEX('Tablero (To Do · Doing · Done)'!$F$6:$F$266,MATCH(164,'Tablero (To Do · Doing · Done)'!$U$6:$U$266,0))&amp;" · "&amp;INDEX('Tablero (To Do · Doing · Done)'!$G$6:$G$266,MATCH(164,'Tablero (To Do · Doing · Done)'!$U$6:$U$266,0)),"")</f>
        <v/>
      </c>
    </row>
    <row r="170">
      <c r="B170" s="21">
        <f>IFERROR(INDEX('Tablero (To Do · Doing · Done)'!$B$6:$B$266,MATCH(165,'Tablero (To Do · Doing · Done)'!$S$6:$S$266,0)),"")</f>
        <v/>
      </c>
      <c r="C170" s="21">
        <f>IFERROR(INDEX('Tablero (To Do · Doing · Done)'!$F$6:$F$266,MATCH(165,'Tablero (To Do · Doing · Done)'!$S$6:$S$266,0))&amp;" · "&amp;INDEX('Tablero (To Do · Doing · Done)'!$G$6:$G$266,MATCH(165,'Tablero (To Do · Doing · Done)'!$S$6:$S$266,0)),"")</f>
        <v/>
      </c>
      <c r="E170" s="21">
        <f>IFERROR(INDEX('Tablero (To Do · Doing · Done)'!$B$6:$B$266,MATCH(165,'Tablero (To Do · Doing · Done)'!$T$6:$T$266,0)),"")</f>
        <v/>
      </c>
      <c r="F170" s="21">
        <f>IFERROR(INDEX('Tablero (To Do · Doing · Done)'!$F$6:$F$266,MATCH(165,'Tablero (To Do · Doing · Done)'!$T$6:$T$266,0))&amp;" · "&amp;INDEX('Tablero (To Do · Doing · Done)'!$G$6:$G$266,MATCH(165,'Tablero (To Do · Doing · Done)'!$T$6:$T$266,0)),"")</f>
        <v/>
      </c>
      <c r="H170" s="21">
        <f>IFERROR(INDEX('Tablero (To Do · Doing · Done)'!$B$6:$B$266,MATCH(165,'Tablero (To Do · Doing · Done)'!$U$6:$U$266,0)),"")</f>
        <v/>
      </c>
      <c r="I170" s="21">
        <f>IFERROR(INDEX('Tablero (To Do · Doing · Done)'!$F$6:$F$266,MATCH(165,'Tablero (To Do · Doing · Done)'!$U$6:$U$266,0))&amp;" · "&amp;INDEX('Tablero (To Do · Doing · Done)'!$G$6:$G$266,MATCH(165,'Tablero (To Do · Doing · Done)'!$U$6:$U$266,0)),"")</f>
        <v/>
      </c>
    </row>
    <row r="171">
      <c r="B171" s="21">
        <f>IFERROR(INDEX('Tablero (To Do · Doing · Done)'!$B$6:$B$266,MATCH(166,'Tablero (To Do · Doing · Done)'!$S$6:$S$266,0)),"")</f>
        <v/>
      </c>
      <c r="C171" s="21">
        <f>IFERROR(INDEX('Tablero (To Do · Doing · Done)'!$F$6:$F$266,MATCH(166,'Tablero (To Do · Doing · Done)'!$S$6:$S$266,0))&amp;" · "&amp;INDEX('Tablero (To Do · Doing · Done)'!$G$6:$G$266,MATCH(166,'Tablero (To Do · Doing · Done)'!$S$6:$S$266,0)),"")</f>
        <v/>
      </c>
      <c r="E171" s="21">
        <f>IFERROR(INDEX('Tablero (To Do · Doing · Done)'!$B$6:$B$266,MATCH(166,'Tablero (To Do · Doing · Done)'!$T$6:$T$266,0)),"")</f>
        <v/>
      </c>
      <c r="F171" s="21">
        <f>IFERROR(INDEX('Tablero (To Do · Doing · Done)'!$F$6:$F$266,MATCH(166,'Tablero (To Do · Doing · Done)'!$T$6:$T$266,0))&amp;" · "&amp;INDEX('Tablero (To Do · Doing · Done)'!$G$6:$G$266,MATCH(166,'Tablero (To Do · Doing · Done)'!$T$6:$T$266,0)),"")</f>
        <v/>
      </c>
      <c r="H171" s="21">
        <f>IFERROR(INDEX('Tablero (To Do · Doing · Done)'!$B$6:$B$266,MATCH(166,'Tablero (To Do · Doing · Done)'!$U$6:$U$266,0)),"")</f>
        <v/>
      </c>
      <c r="I171" s="21">
        <f>IFERROR(INDEX('Tablero (To Do · Doing · Done)'!$F$6:$F$266,MATCH(166,'Tablero (To Do · Doing · Done)'!$U$6:$U$266,0))&amp;" · "&amp;INDEX('Tablero (To Do · Doing · Done)'!$G$6:$G$266,MATCH(166,'Tablero (To Do · Doing · Done)'!$U$6:$U$266,0)),"")</f>
        <v/>
      </c>
    </row>
    <row r="172">
      <c r="B172" s="21">
        <f>IFERROR(INDEX('Tablero (To Do · Doing · Done)'!$B$6:$B$266,MATCH(167,'Tablero (To Do · Doing · Done)'!$S$6:$S$266,0)),"")</f>
        <v/>
      </c>
      <c r="C172" s="21">
        <f>IFERROR(INDEX('Tablero (To Do · Doing · Done)'!$F$6:$F$266,MATCH(167,'Tablero (To Do · Doing · Done)'!$S$6:$S$266,0))&amp;" · "&amp;INDEX('Tablero (To Do · Doing · Done)'!$G$6:$G$266,MATCH(167,'Tablero (To Do · Doing · Done)'!$S$6:$S$266,0)),"")</f>
        <v/>
      </c>
      <c r="E172" s="21">
        <f>IFERROR(INDEX('Tablero (To Do · Doing · Done)'!$B$6:$B$266,MATCH(167,'Tablero (To Do · Doing · Done)'!$T$6:$T$266,0)),"")</f>
        <v/>
      </c>
      <c r="F172" s="21">
        <f>IFERROR(INDEX('Tablero (To Do · Doing · Done)'!$F$6:$F$266,MATCH(167,'Tablero (To Do · Doing · Done)'!$T$6:$T$266,0))&amp;" · "&amp;INDEX('Tablero (To Do · Doing · Done)'!$G$6:$G$266,MATCH(167,'Tablero (To Do · Doing · Done)'!$T$6:$T$266,0)),"")</f>
        <v/>
      </c>
      <c r="H172" s="21">
        <f>IFERROR(INDEX('Tablero (To Do · Doing · Done)'!$B$6:$B$266,MATCH(167,'Tablero (To Do · Doing · Done)'!$U$6:$U$266,0)),"")</f>
        <v/>
      </c>
      <c r="I172" s="21">
        <f>IFERROR(INDEX('Tablero (To Do · Doing · Done)'!$F$6:$F$266,MATCH(167,'Tablero (To Do · Doing · Done)'!$U$6:$U$266,0))&amp;" · "&amp;INDEX('Tablero (To Do · Doing · Done)'!$G$6:$G$266,MATCH(167,'Tablero (To Do · Doing · Done)'!$U$6:$U$266,0)),"")</f>
        <v/>
      </c>
    </row>
    <row r="173">
      <c r="B173" s="21">
        <f>IFERROR(INDEX('Tablero (To Do · Doing · Done)'!$B$6:$B$266,MATCH(168,'Tablero (To Do · Doing · Done)'!$S$6:$S$266,0)),"")</f>
        <v/>
      </c>
      <c r="C173" s="21">
        <f>IFERROR(INDEX('Tablero (To Do · Doing · Done)'!$F$6:$F$266,MATCH(168,'Tablero (To Do · Doing · Done)'!$S$6:$S$266,0))&amp;" · "&amp;INDEX('Tablero (To Do · Doing · Done)'!$G$6:$G$266,MATCH(168,'Tablero (To Do · Doing · Done)'!$S$6:$S$266,0)),"")</f>
        <v/>
      </c>
      <c r="E173" s="21">
        <f>IFERROR(INDEX('Tablero (To Do · Doing · Done)'!$B$6:$B$266,MATCH(168,'Tablero (To Do · Doing · Done)'!$T$6:$T$266,0)),"")</f>
        <v/>
      </c>
      <c r="F173" s="21">
        <f>IFERROR(INDEX('Tablero (To Do · Doing · Done)'!$F$6:$F$266,MATCH(168,'Tablero (To Do · Doing · Done)'!$T$6:$T$266,0))&amp;" · "&amp;INDEX('Tablero (To Do · Doing · Done)'!$G$6:$G$266,MATCH(168,'Tablero (To Do · Doing · Done)'!$T$6:$T$266,0)),"")</f>
        <v/>
      </c>
      <c r="H173" s="21">
        <f>IFERROR(INDEX('Tablero (To Do · Doing · Done)'!$B$6:$B$266,MATCH(168,'Tablero (To Do · Doing · Done)'!$U$6:$U$266,0)),"")</f>
        <v/>
      </c>
      <c r="I173" s="21">
        <f>IFERROR(INDEX('Tablero (To Do · Doing · Done)'!$F$6:$F$266,MATCH(168,'Tablero (To Do · Doing · Done)'!$U$6:$U$266,0))&amp;" · "&amp;INDEX('Tablero (To Do · Doing · Done)'!$G$6:$G$266,MATCH(168,'Tablero (To Do · Doing · Done)'!$U$6:$U$266,0)),"")</f>
        <v/>
      </c>
    </row>
    <row r="174">
      <c r="B174" s="21">
        <f>IFERROR(INDEX('Tablero (To Do · Doing · Done)'!$B$6:$B$266,MATCH(169,'Tablero (To Do · Doing · Done)'!$S$6:$S$266,0)),"")</f>
        <v/>
      </c>
      <c r="C174" s="21">
        <f>IFERROR(INDEX('Tablero (To Do · Doing · Done)'!$F$6:$F$266,MATCH(169,'Tablero (To Do · Doing · Done)'!$S$6:$S$266,0))&amp;" · "&amp;INDEX('Tablero (To Do · Doing · Done)'!$G$6:$G$266,MATCH(169,'Tablero (To Do · Doing · Done)'!$S$6:$S$266,0)),"")</f>
        <v/>
      </c>
      <c r="E174" s="21">
        <f>IFERROR(INDEX('Tablero (To Do · Doing · Done)'!$B$6:$B$266,MATCH(169,'Tablero (To Do · Doing · Done)'!$T$6:$T$266,0)),"")</f>
        <v/>
      </c>
      <c r="F174" s="21">
        <f>IFERROR(INDEX('Tablero (To Do · Doing · Done)'!$F$6:$F$266,MATCH(169,'Tablero (To Do · Doing · Done)'!$T$6:$T$266,0))&amp;" · "&amp;INDEX('Tablero (To Do · Doing · Done)'!$G$6:$G$266,MATCH(169,'Tablero (To Do · Doing · Done)'!$T$6:$T$266,0)),"")</f>
        <v/>
      </c>
      <c r="H174" s="21">
        <f>IFERROR(INDEX('Tablero (To Do · Doing · Done)'!$B$6:$B$266,MATCH(169,'Tablero (To Do · Doing · Done)'!$U$6:$U$266,0)),"")</f>
        <v/>
      </c>
      <c r="I174" s="21">
        <f>IFERROR(INDEX('Tablero (To Do · Doing · Done)'!$F$6:$F$266,MATCH(169,'Tablero (To Do · Doing · Done)'!$U$6:$U$266,0))&amp;" · "&amp;INDEX('Tablero (To Do · Doing · Done)'!$G$6:$G$266,MATCH(169,'Tablero (To Do · Doing · Done)'!$U$6:$U$266,0)),"")</f>
        <v/>
      </c>
    </row>
    <row r="175">
      <c r="B175" s="21">
        <f>IFERROR(INDEX('Tablero (To Do · Doing · Done)'!$B$6:$B$266,MATCH(170,'Tablero (To Do · Doing · Done)'!$S$6:$S$266,0)),"")</f>
        <v/>
      </c>
      <c r="C175" s="21">
        <f>IFERROR(INDEX('Tablero (To Do · Doing · Done)'!$F$6:$F$266,MATCH(170,'Tablero (To Do · Doing · Done)'!$S$6:$S$266,0))&amp;" · "&amp;INDEX('Tablero (To Do · Doing · Done)'!$G$6:$G$266,MATCH(170,'Tablero (To Do · Doing · Done)'!$S$6:$S$266,0)),"")</f>
        <v/>
      </c>
      <c r="E175" s="21">
        <f>IFERROR(INDEX('Tablero (To Do · Doing · Done)'!$B$6:$B$266,MATCH(170,'Tablero (To Do · Doing · Done)'!$T$6:$T$266,0)),"")</f>
        <v/>
      </c>
      <c r="F175" s="21">
        <f>IFERROR(INDEX('Tablero (To Do · Doing · Done)'!$F$6:$F$266,MATCH(170,'Tablero (To Do · Doing · Done)'!$T$6:$T$266,0))&amp;" · "&amp;INDEX('Tablero (To Do · Doing · Done)'!$G$6:$G$266,MATCH(170,'Tablero (To Do · Doing · Done)'!$T$6:$T$266,0)),"")</f>
        <v/>
      </c>
      <c r="H175" s="21">
        <f>IFERROR(INDEX('Tablero (To Do · Doing · Done)'!$B$6:$B$266,MATCH(170,'Tablero (To Do · Doing · Done)'!$U$6:$U$266,0)),"")</f>
        <v/>
      </c>
      <c r="I175" s="21">
        <f>IFERROR(INDEX('Tablero (To Do · Doing · Done)'!$F$6:$F$266,MATCH(170,'Tablero (To Do · Doing · Done)'!$U$6:$U$266,0))&amp;" · "&amp;INDEX('Tablero (To Do · Doing · Done)'!$G$6:$G$266,MATCH(170,'Tablero (To Do · Doing · Done)'!$U$6:$U$266,0)),"")</f>
        <v/>
      </c>
    </row>
    <row r="176">
      <c r="B176" s="21">
        <f>IFERROR(INDEX('Tablero (To Do · Doing · Done)'!$B$6:$B$266,MATCH(171,'Tablero (To Do · Doing · Done)'!$S$6:$S$266,0)),"")</f>
        <v/>
      </c>
      <c r="C176" s="21">
        <f>IFERROR(INDEX('Tablero (To Do · Doing · Done)'!$F$6:$F$266,MATCH(171,'Tablero (To Do · Doing · Done)'!$S$6:$S$266,0))&amp;" · "&amp;INDEX('Tablero (To Do · Doing · Done)'!$G$6:$G$266,MATCH(171,'Tablero (To Do · Doing · Done)'!$S$6:$S$266,0)),"")</f>
        <v/>
      </c>
      <c r="E176" s="21">
        <f>IFERROR(INDEX('Tablero (To Do · Doing · Done)'!$B$6:$B$266,MATCH(171,'Tablero (To Do · Doing · Done)'!$T$6:$T$266,0)),"")</f>
        <v/>
      </c>
      <c r="F176" s="21">
        <f>IFERROR(INDEX('Tablero (To Do · Doing · Done)'!$F$6:$F$266,MATCH(171,'Tablero (To Do · Doing · Done)'!$T$6:$T$266,0))&amp;" · "&amp;INDEX('Tablero (To Do · Doing · Done)'!$G$6:$G$266,MATCH(171,'Tablero (To Do · Doing · Done)'!$T$6:$T$266,0)),"")</f>
        <v/>
      </c>
      <c r="H176" s="21">
        <f>IFERROR(INDEX('Tablero (To Do · Doing · Done)'!$B$6:$B$266,MATCH(171,'Tablero (To Do · Doing · Done)'!$U$6:$U$266,0)),"")</f>
        <v/>
      </c>
      <c r="I176" s="21">
        <f>IFERROR(INDEX('Tablero (To Do · Doing · Done)'!$F$6:$F$266,MATCH(171,'Tablero (To Do · Doing · Done)'!$U$6:$U$266,0))&amp;" · "&amp;INDEX('Tablero (To Do · Doing · Done)'!$G$6:$G$266,MATCH(171,'Tablero (To Do · Doing · Done)'!$U$6:$U$266,0)),"")</f>
        <v/>
      </c>
    </row>
    <row r="177">
      <c r="B177" s="21">
        <f>IFERROR(INDEX('Tablero (To Do · Doing · Done)'!$B$6:$B$266,MATCH(172,'Tablero (To Do · Doing · Done)'!$S$6:$S$266,0)),"")</f>
        <v/>
      </c>
      <c r="C177" s="21">
        <f>IFERROR(INDEX('Tablero (To Do · Doing · Done)'!$F$6:$F$266,MATCH(172,'Tablero (To Do · Doing · Done)'!$S$6:$S$266,0))&amp;" · "&amp;INDEX('Tablero (To Do · Doing · Done)'!$G$6:$G$266,MATCH(172,'Tablero (To Do · Doing · Done)'!$S$6:$S$266,0)),"")</f>
        <v/>
      </c>
      <c r="E177" s="21">
        <f>IFERROR(INDEX('Tablero (To Do · Doing · Done)'!$B$6:$B$266,MATCH(172,'Tablero (To Do · Doing · Done)'!$T$6:$T$266,0)),"")</f>
        <v/>
      </c>
      <c r="F177" s="21">
        <f>IFERROR(INDEX('Tablero (To Do · Doing · Done)'!$F$6:$F$266,MATCH(172,'Tablero (To Do · Doing · Done)'!$T$6:$T$266,0))&amp;" · "&amp;INDEX('Tablero (To Do · Doing · Done)'!$G$6:$G$266,MATCH(172,'Tablero (To Do · Doing · Done)'!$T$6:$T$266,0)),"")</f>
        <v/>
      </c>
      <c r="H177" s="21">
        <f>IFERROR(INDEX('Tablero (To Do · Doing · Done)'!$B$6:$B$266,MATCH(172,'Tablero (To Do · Doing · Done)'!$U$6:$U$266,0)),"")</f>
        <v/>
      </c>
      <c r="I177" s="21">
        <f>IFERROR(INDEX('Tablero (To Do · Doing · Done)'!$F$6:$F$266,MATCH(172,'Tablero (To Do · Doing · Done)'!$U$6:$U$266,0))&amp;" · "&amp;INDEX('Tablero (To Do · Doing · Done)'!$G$6:$G$266,MATCH(172,'Tablero (To Do · Doing · Done)'!$U$6:$U$266,0)),"")</f>
        <v/>
      </c>
    </row>
    <row r="178">
      <c r="B178" s="21">
        <f>IFERROR(INDEX('Tablero (To Do · Doing · Done)'!$B$6:$B$266,MATCH(173,'Tablero (To Do · Doing · Done)'!$S$6:$S$266,0)),"")</f>
        <v/>
      </c>
      <c r="C178" s="21">
        <f>IFERROR(INDEX('Tablero (To Do · Doing · Done)'!$F$6:$F$266,MATCH(173,'Tablero (To Do · Doing · Done)'!$S$6:$S$266,0))&amp;" · "&amp;INDEX('Tablero (To Do · Doing · Done)'!$G$6:$G$266,MATCH(173,'Tablero (To Do · Doing · Done)'!$S$6:$S$266,0)),"")</f>
        <v/>
      </c>
      <c r="E178" s="21">
        <f>IFERROR(INDEX('Tablero (To Do · Doing · Done)'!$B$6:$B$266,MATCH(173,'Tablero (To Do · Doing · Done)'!$T$6:$T$266,0)),"")</f>
        <v/>
      </c>
      <c r="F178" s="21">
        <f>IFERROR(INDEX('Tablero (To Do · Doing · Done)'!$F$6:$F$266,MATCH(173,'Tablero (To Do · Doing · Done)'!$T$6:$T$266,0))&amp;" · "&amp;INDEX('Tablero (To Do · Doing · Done)'!$G$6:$G$266,MATCH(173,'Tablero (To Do · Doing · Done)'!$T$6:$T$266,0)),"")</f>
        <v/>
      </c>
      <c r="H178" s="21">
        <f>IFERROR(INDEX('Tablero (To Do · Doing · Done)'!$B$6:$B$266,MATCH(173,'Tablero (To Do · Doing · Done)'!$U$6:$U$266,0)),"")</f>
        <v/>
      </c>
      <c r="I178" s="21">
        <f>IFERROR(INDEX('Tablero (To Do · Doing · Done)'!$F$6:$F$266,MATCH(173,'Tablero (To Do · Doing · Done)'!$U$6:$U$266,0))&amp;" · "&amp;INDEX('Tablero (To Do · Doing · Done)'!$G$6:$G$266,MATCH(173,'Tablero (To Do · Doing · Done)'!$U$6:$U$266,0)),"")</f>
        <v/>
      </c>
    </row>
    <row r="179">
      <c r="B179" s="21">
        <f>IFERROR(INDEX('Tablero (To Do · Doing · Done)'!$B$6:$B$266,MATCH(174,'Tablero (To Do · Doing · Done)'!$S$6:$S$266,0)),"")</f>
        <v/>
      </c>
      <c r="C179" s="21">
        <f>IFERROR(INDEX('Tablero (To Do · Doing · Done)'!$F$6:$F$266,MATCH(174,'Tablero (To Do · Doing · Done)'!$S$6:$S$266,0))&amp;" · "&amp;INDEX('Tablero (To Do · Doing · Done)'!$G$6:$G$266,MATCH(174,'Tablero (To Do · Doing · Done)'!$S$6:$S$266,0)),"")</f>
        <v/>
      </c>
      <c r="E179" s="21">
        <f>IFERROR(INDEX('Tablero (To Do · Doing · Done)'!$B$6:$B$266,MATCH(174,'Tablero (To Do · Doing · Done)'!$T$6:$T$266,0)),"")</f>
        <v/>
      </c>
      <c r="F179" s="21">
        <f>IFERROR(INDEX('Tablero (To Do · Doing · Done)'!$F$6:$F$266,MATCH(174,'Tablero (To Do · Doing · Done)'!$T$6:$T$266,0))&amp;" · "&amp;INDEX('Tablero (To Do · Doing · Done)'!$G$6:$G$266,MATCH(174,'Tablero (To Do · Doing · Done)'!$T$6:$T$266,0)),"")</f>
        <v/>
      </c>
      <c r="H179" s="21">
        <f>IFERROR(INDEX('Tablero (To Do · Doing · Done)'!$B$6:$B$266,MATCH(174,'Tablero (To Do · Doing · Done)'!$U$6:$U$266,0)),"")</f>
        <v/>
      </c>
      <c r="I179" s="21">
        <f>IFERROR(INDEX('Tablero (To Do · Doing · Done)'!$F$6:$F$266,MATCH(174,'Tablero (To Do · Doing · Done)'!$U$6:$U$266,0))&amp;" · "&amp;INDEX('Tablero (To Do · Doing · Done)'!$G$6:$G$266,MATCH(174,'Tablero (To Do · Doing · Done)'!$U$6:$U$266,0)),"")</f>
        <v/>
      </c>
    </row>
    <row r="180">
      <c r="B180" s="21">
        <f>IFERROR(INDEX('Tablero (To Do · Doing · Done)'!$B$6:$B$266,MATCH(175,'Tablero (To Do · Doing · Done)'!$S$6:$S$266,0)),"")</f>
        <v/>
      </c>
      <c r="C180" s="21">
        <f>IFERROR(INDEX('Tablero (To Do · Doing · Done)'!$F$6:$F$266,MATCH(175,'Tablero (To Do · Doing · Done)'!$S$6:$S$266,0))&amp;" · "&amp;INDEX('Tablero (To Do · Doing · Done)'!$G$6:$G$266,MATCH(175,'Tablero (To Do · Doing · Done)'!$S$6:$S$266,0)),"")</f>
        <v/>
      </c>
      <c r="E180" s="21">
        <f>IFERROR(INDEX('Tablero (To Do · Doing · Done)'!$B$6:$B$266,MATCH(175,'Tablero (To Do · Doing · Done)'!$T$6:$T$266,0)),"")</f>
        <v/>
      </c>
      <c r="F180" s="21">
        <f>IFERROR(INDEX('Tablero (To Do · Doing · Done)'!$F$6:$F$266,MATCH(175,'Tablero (To Do · Doing · Done)'!$T$6:$T$266,0))&amp;" · "&amp;INDEX('Tablero (To Do · Doing · Done)'!$G$6:$G$266,MATCH(175,'Tablero (To Do · Doing · Done)'!$T$6:$T$266,0)),"")</f>
        <v/>
      </c>
      <c r="H180" s="21">
        <f>IFERROR(INDEX('Tablero (To Do · Doing · Done)'!$B$6:$B$266,MATCH(175,'Tablero (To Do · Doing · Done)'!$U$6:$U$266,0)),"")</f>
        <v/>
      </c>
      <c r="I180" s="21">
        <f>IFERROR(INDEX('Tablero (To Do · Doing · Done)'!$F$6:$F$266,MATCH(175,'Tablero (To Do · Doing · Done)'!$U$6:$U$266,0))&amp;" · "&amp;INDEX('Tablero (To Do · Doing · Done)'!$G$6:$G$266,MATCH(175,'Tablero (To Do · Doing · Done)'!$U$6:$U$266,0)),"")</f>
        <v/>
      </c>
    </row>
    <row r="181">
      <c r="B181" s="21">
        <f>IFERROR(INDEX('Tablero (To Do · Doing · Done)'!$B$6:$B$266,MATCH(176,'Tablero (To Do · Doing · Done)'!$S$6:$S$266,0)),"")</f>
        <v/>
      </c>
      <c r="C181" s="21">
        <f>IFERROR(INDEX('Tablero (To Do · Doing · Done)'!$F$6:$F$266,MATCH(176,'Tablero (To Do · Doing · Done)'!$S$6:$S$266,0))&amp;" · "&amp;INDEX('Tablero (To Do · Doing · Done)'!$G$6:$G$266,MATCH(176,'Tablero (To Do · Doing · Done)'!$S$6:$S$266,0)),"")</f>
        <v/>
      </c>
      <c r="E181" s="21">
        <f>IFERROR(INDEX('Tablero (To Do · Doing · Done)'!$B$6:$B$266,MATCH(176,'Tablero (To Do · Doing · Done)'!$T$6:$T$266,0)),"")</f>
        <v/>
      </c>
      <c r="F181" s="21">
        <f>IFERROR(INDEX('Tablero (To Do · Doing · Done)'!$F$6:$F$266,MATCH(176,'Tablero (To Do · Doing · Done)'!$T$6:$T$266,0))&amp;" · "&amp;INDEX('Tablero (To Do · Doing · Done)'!$G$6:$G$266,MATCH(176,'Tablero (To Do · Doing · Done)'!$T$6:$T$266,0)),"")</f>
        <v/>
      </c>
      <c r="H181" s="21">
        <f>IFERROR(INDEX('Tablero (To Do · Doing · Done)'!$B$6:$B$266,MATCH(176,'Tablero (To Do · Doing · Done)'!$U$6:$U$266,0)),"")</f>
        <v/>
      </c>
      <c r="I181" s="21">
        <f>IFERROR(INDEX('Tablero (To Do · Doing · Done)'!$F$6:$F$266,MATCH(176,'Tablero (To Do · Doing · Done)'!$U$6:$U$266,0))&amp;" · "&amp;INDEX('Tablero (To Do · Doing · Done)'!$G$6:$G$266,MATCH(176,'Tablero (To Do · Doing · Done)'!$U$6:$U$266,0)),"")</f>
        <v/>
      </c>
    </row>
    <row r="182">
      <c r="B182" s="21">
        <f>IFERROR(INDEX('Tablero (To Do · Doing · Done)'!$B$6:$B$266,MATCH(177,'Tablero (To Do · Doing · Done)'!$S$6:$S$266,0)),"")</f>
        <v/>
      </c>
      <c r="C182" s="21">
        <f>IFERROR(INDEX('Tablero (To Do · Doing · Done)'!$F$6:$F$266,MATCH(177,'Tablero (To Do · Doing · Done)'!$S$6:$S$266,0))&amp;" · "&amp;INDEX('Tablero (To Do · Doing · Done)'!$G$6:$G$266,MATCH(177,'Tablero (To Do · Doing · Done)'!$S$6:$S$266,0)),"")</f>
        <v/>
      </c>
      <c r="E182" s="21">
        <f>IFERROR(INDEX('Tablero (To Do · Doing · Done)'!$B$6:$B$266,MATCH(177,'Tablero (To Do · Doing · Done)'!$T$6:$T$266,0)),"")</f>
        <v/>
      </c>
      <c r="F182" s="21">
        <f>IFERROR(INDEX('Tablero (To Do · Doing · Done)'!$F$6:$F$266,MATCH(177,'Tablero (To Do · Doing · Done)'!$T$6:$T$266,0))&amp;" · "&amp;INDEX('Tablero (To Do · Doing · Done)'!$G$6:$G$266,MATCH(177,'Tablero (To Do · Doing · Done)'!$T$6:$T$266,0)),"")</f>
        <v/>
      </c>
      <c r="H182" s="21">
        <f>IFERROR(INDEX('Tablero (To Do · Doing · Done)'!$B$6:$B$266,MATCH(177,'Tablero (To Do · Doing · Done)'!$U$6:$U$266,0)),"")</f>
        <v/>
      </c>
      <c r="I182" s="21">
        <f>IFERROR(INDEX('Tablero (To Do · Doing · Done)'!$F$6:$F$266,MATCH(177,'Tablero (To Do · Doing · Done)'!$U$6:$U$266,0))&amp;" · "&amp;INDEX('Tablero (To Do · Doing · Done)'!$G$6:$G$266,MATCH(177,'Tablero (To Do · Doing · Done)'!$U$6:$U$266,0)),"")</f>
        <v/>
      </c>
    </row>
    <row r="183">
      <c r="B183" s="21">
        <f>IFERROR(INDEX('Tablero (To Do · Doing · Done)'!$B$6:$B$266,MATCH(178,'Tablero (To Do · Doing · Done)'!$S$6:$S$266,0)),"")</f>
        <v/>
      </c>
      <c r="C183" s="21">
        <f>IFERROR(INDEX('Tablero (To Do · Doing · Done)'!$F$6:$F$266,MATCH(178,'Tablero (To Do · Doing · Done)'!$S$6:$S$266,0))&amp;" · "&amp;INDEX('Tablero (To Do · Doing · Done)'!$G$6:$G$266,MATCH(178,'Tablero (To Do · Doing · Done)'!$S$6:$S$266,0)),"")</f>
        <v/>
      </c>
      <c r="E183" s="21">
        <f>IFERROR(INDEX('Tablero (To Do · Doing · Done)'!$B$6:$B$266,MATCH(178,'Tablero (To Do · Doing · Done)'!$T$6:$T$266,0)),"")</f>
        <v/>
      </c>
      <c r="F183" s="21">
        <f>IFERROR(INDEX('Tablero (To Do · Doing · Done)'!$F$6:$F$266,MATCH(178,'Tablero (To Do · Doing · Done)'!$T$6:$T$266,0))&amp;" · "&amp;INDEX('Tablero (To Do · Doing · Done)'!$G$6:$G$266,MATCH(178,'Tablero (To Do · Doing · Done)'!$T$6:$T$266,0)),"")</f>
        <v/>
      </c>
      <c r="H183" s="21">
        <f>IFERROR(INDEX('Tablero (To Do · Doing · Done)'!$B$6:$B$266,MATCH(178,'Tablero (To Do · Doing · Done)'!$U$6:$U$266,0)),"")</f>
        <v/>
      </c>
      <c r="I183" s="21">
        <f>IFERROR(INDEX('Tablero (To Do · Doing · Done)'!$F$6:$F$266,MATCH(178,'Tablero (To Do · Doing · Done)'!$U$6:$U$266,0))&amp;" · "&amp;INDEX('Tablero (To Do · Doing · Done)'!$G$6:$G$266,MATCH(178,'Tablero (To Do · Doing · Done)'!$U$6:$U$266,0)),"")</f>
        <v/>
      </c>
    </row>
    <row r="184">
      <c r="B184" s="21">
        <f>IFERROR(INDEX('Tablero (To Do · Doing · Done)'!$B$6:$B$266,MATCH(179,'Tablero (To Do · Doing · Done)'!$S$6:$S$266,0)),"")</f>
        <v/>
      </c>
      <c r="C184" s="21">
        <f>IFERROR(INDEX('Tablero (To Do · Doing · Done)'!$F$6:$F$266,MATCH(179,'Tablero (To Do · Doing · Done)'!$S$6:$S$266,0))&amp;" · "&amp;INDEX('Tablero (To Do · Doing · Done)'!$G$6:$G$266,MATCH(179,'Tablero (To Do · Doing · Done)'!$S$6:$S$266,0)),"")</f>
        <v/>
      </c>
      <c r="E184" s="21">
        <f>IFERROR(INDEX('Tablero (To Do · Doing · Done)'!$B$6:$B$266,MATCH(179,'Tablero (To Do · Doing · Done)'!$T$6:$T$266,0)),"")</f>
        <v/>
      </c>
      <c r="F184" s="21">
        <f>IFERROR(INDEX('Tablero (To Do · Doing · Done)'!$F$6:$F$266,MATCH(179,'Tablero (To Do · Doing · Done)'!$T$6:$T$266,0))&amp;" · "&amp;INDEX('Tablero (To Do · Doing · Done)'!$G$6:$G$266,MATCH(179,'Tablero (To Do · Doing · Done)'!$T$6:$T$266,0)),"")</f>
        <v/>
      </c>
      <c r="H184" s="21">
        <f>IFERROR(INDEX('Tablero (To Do · Doing · Done)'!$B$6:$B$266,MATCH(179,'Tablero (To Do · Doing · Done)'!$U$6:$U$266,0)),"")</f>
        <v/>
      </c>
      <c r="I184" s="21">
        <f>IFERROR(INDEX('Tablero (To Do · Doing · Done)'!$F$6:$F$266,MATCH(179,'Tablero (To Do · Doing · Done)'!$U$6:$U$266,0))&amp;" · "&amp;INDEX('Tablero (To Do · Doing · Done)'!$G$6:$G$266,MATCH(179,'Tablero (To Do · Doing · Done)'!$U$6:$U$266,0)),"")</f>
        <v/>
      </c>
    </row>
    <row r="185">
      <c r="B185" s="21">
        <f>IFERROR(INDEX('Tablero (To Do · Doing · Done)'!$B$6:$B$266,MATCH(180,'Tablero (To Do · Doing · Done)'!$S$6:$S$266,0)),"")</f>
        <v/>
      </c>
      <c r="C185" s="21">
        <f>IFERROR(INDEX('Tablero (To Do · Doing · Done)'!$F$6:$F$266,MATCH(180,'Tablero (To Do · Doing · Done)'!$S$6:$S$266,0))&amp;" · "&amp;INDEX('Tablero (To Do · Doing · Done)'!$G$6:$G$266,MATCH(180,'Tablero (To Do · Doing · Done)'!$S$6:$S$266,0)),"")</f>
        <v/>
      </c>
      <c r="E185" s="21">
        <f>IFERROR(INDEX('Tablero (To Do · Doing · Done)'!$B$6:$B$266,MATCH(180,'Tablero (To Do · Doing · Done)'!$T$6:$T$266,0)),"")</f>
        <v/>
      </c>
      <c r="F185" s="21">
        <f>IFERROR(INDEX('Tablero (To Do · Doing · Done)'!$F$6:$F$266,MATCH(180,'Tablero (To Do · Doing · Done)'!$T$6:$T$266,0))&amp;" · "&amp;INDEX('Tablero (To Do · Doing · Done)'!$G$6:$G$266,MATCH(180,'Tablero (To Do · Doing · Done)'!$T$6:$T$266,0)),"")</f>
        <v/>
      </c>
      <c r="H185" s="21">
        <f>IFERROR(INDEX('Tablero (To Do · Doing · Done)'!$B$6:$B$266,MATCH(180,'Tablero (To Do · Doing · Done)'!$U$6:$U$266,0)),"")</f>
        <v/>
      </c>
      <c r="I185" s="21">
        <f>IFERROR(INDEX('Tablero (To Do · Doing · Done)'!$F$6:$F$266,MATCH(180,'Tablero (To Do · Doing · Done)'!$U$6:$U$266,0))&amp;" · "&amp;INDEX('Tablero (To Do · Doing · Done)'!$G$6:$G$266,MATCH(180,'Tablero (To Do · Doing · Done)'!$U$6:$U$266,0)),"")</f>
        <v/>
      </c>
    </row>
    <row r="186">
      <c r="B186" s="21">
        <f>IFERROR(INDEX('Tablero (To Do · Doing · Done)'!$B$6:$B$266,MATCH(181,'Tablero (To Do · Doing · Done)'!$S$6:$S$266,0)),"")</f>
        <v/>
      </c>
      <c r="C186" s="21">
        <f>IFERROR(INDEX('Tablero (To Do · Doing · Done)'!$F$6:$F$266,MATCH(181,'Tablero (To Do · Doing · Done)'!$S$6:$S$266,0))&amp;" · "&amp;INDEX('Tablero (To Do · Doing · Done)'!$G$6:$G$266,MATCH(181,'Tablero (To Do · Doing · Done)'!$S$6:$S$266,0)),"")</f>
        <v/>
      </c>
      <c r="E186" s="21">
        <f>IFERROR(INDEX('Tablero (To Do · Doing · Done)'!$B$6:$B$266,MATCH(181,'Tablero (To Do · Doing · Done)'!$T$6:$T$266,0)),"")</f>
        <v/>
      </c>
      <c r="F186" s="21">
        <f>IFERROR(INDEX('Tablero (To Do · Doing · Done)'!$F$6:$F$266,MATCH(181,'Tablero (To Do · Doing · Done)'!$T$6:$T$266,0))&amp;" · "&amp;INDEX('Tablero (To Do · Doing · Done)'!$G$6:$G$266,MATCH(181,'Tablero (To Do · Doing · Done)'!$T$6:$T$266,0)),"")</f>
        <v/>
      </c>
      <c r="H186" s="21">
        <f>IFERROR(INDEX('Tablero (To Do · Doing · Done)'!$B$6:$B$266,MATCH(181,'Tablero (To Do · Doing · Done)'!$U$6:$U$266,0)),"")</f>
        <v/>
      </c>
      <c r="I186" s="21">
        <f>IFERROR(INDEX('Tablero (To Do · Doing · Done)'!$F$6:$F$266,MATCH(181,'Tablero (To Do · Doing · Done)'!$U$6:$U$266,0))&amp;" · "&amp;INDEX('Tablero (To Do · Doing · Done)'!$G$6:$G$266,MATCH(181,'Tablero (To Do · Doing · Done)'!$U$6:$U$266,0)),"")</f>
        <v/>
      </c>
    </row>
    <row r="187">
      <c r="B187" s="21">
        <f>IFERROR(INDEX('Tablero (To Do · Doing · Done)'!$B$6:$B$266,MATCH(182,'Tablero (To Do · Doing · Done)'!$S$6:$S$266,0)),"")</f>
        <v/>
      </c>
      <c r="C187" s="21">
        <f>IFERROR(INDEX('Tablero (To Do · Doing · Done)'!$F$6:$F$266,MATCH(182,'Tablero (To Do · Doing · Done)'!$S$6:$S$266,0))&amp;" · "&amp;INDEX('Tablero (To Do · Doing · Done)'!$G$6:$G$266,MATCH(182,'Tablero (To Do · Doing · Done)'!$S$6:$S$266,0)),"")</f>
        <v/>
      </c>
      <c r="E187" s="21">
        <f>IFERROR(INDEX('Tablero (To Do · Doing · Done)'!$B$6:$B$266,MATCH(182,'Tablero (To Do · Doing · Done)'!$T$6:$T$266,0)),"")</f>
        <v/>
      </c>
      <c r="F187" s="21">
        <f>IFERROR(INDEX('Tablero (To Do · Doing · Done)'!$F$6:$F$266,MATCH(182,'Tablero (To Do · Doing · Done)'!$T$6:$T$266,0))&amp;" · "&amp;INDEX('Tablero (To Do · Doing · Done)'!$G$6:$G$266,MATCH(182,'Tablero (To Do · Doing · Done)'!$T$6:$T$266,0)),"")</f>
        <v/>
      </c>
      <c r="H187" s="21">
        <f>IFERROR(INDEX('Tablero (To Do · Doing · Done)'!$B$6:$B$266,MATCH(182,'Tablero (To Do · Doing · Done)'!$U$6:$U$266,0)),"")</f>
        <v/>
      </c>
      <c r="I187" s="21">
        <f>IFERROR(INDEX('Tablero (To Do · Doing · Done)'!$F$6:$F$266,MATCH(182,'Tablero (To Do · Doing · Done)'!$U$6:$U$266,0))&amp;" · "&amp;INDEX('Tablero (To Do · Doing · Done)'!$G$6:$G$266,MATCH(182,'Tablero (To Do · Doing · Done)'!$U$6:$U$266,0)),"")</f>
        <v/>
      </c>
    </row>
    <row r="188">
      <c r="B188" s="21">
        <f>IFERROR(INDEX('Tablero (To Do · Doing · Done)'!$B$6:$B$266,MATCH(183,'Tablero (To Do · Doing · Done)'!$S$6:$S$266,0)),"")</f>
        <v/>
      </c>
      <c r="C188" s="21">
        <f>IFERROR(INDEX('Tablero (To Do · Doing · Done)'!$F$6:$F$266,MATCH(183,'Tablero (To Do · Doing · Done)'!$S$6:$S$266,0))&amp;" · "&amp;INDEX('Tablero (To Do · Doing · Done)'!$G$6:$G$266,MATCH(183,'Tablero (To Do · Doing · Done)'!$S$6:$S$266,0)),"")</f>
        <v/>
      </c>
      <c r="E188" s="21">
        <f>IFERROR(INDEX('Tablero (To Do · Doing · Done)'!$B$6:$B$266,MATCH(183,'Tablero (To Do · Doing · Done)'!$T$6:$T$266,0)),"")</f>
        <v/>
      </c>
      <c r="F188" s="21">
        <f>IFERROR(INDEX('Tablero (To Do · Doing · Done)'!$F$6:$F$266,MATCH(183,'Tablero (To Do · Doing · Done)'!$T$6:$T$266,0))&amp;" · "&amp;INDEX('Tablero (To Do · Doing · Done)'!$G$6:$G$266,MATCH(183,'Tablero (To Do · Doing · Done)'!$T$6:$T$266,0)),"")</f>
        <v/>
      </c>
      <c r="H188" s="21">
        <f>IFERROR(INDEX('Tablero (To Do · Doing · Done)'!$B$6:$B$266,MATCH(183,'Tablero (To Do · Doing · Done)'!$U$6:$U$266,0)),"")</f>
        <v/>
      </c>
      <c r="I188" s="21">
        <f>IFERROR(INDEX('Tablero (To Do · Doing · Done)'!$F$6:$F$266,MATCH(183,'Tablero (To Do · Doing · Done)'!$U$6:$U$266,0))&amp;" · "&amp;INDEX('Tablero (To Do · Doing · Done)'!$G$6:$G$266,MATCH(183,'Tablero (To Do · Doing · Done)'!$U$6:$U$266,0)),"")</f>
        <v/>
      </c>
    </row>
    <row r="189">
      <c r="B189" s="21">
        <f>IFERROR(INDEX('Tablero (To Do · Doing · Done)'!$B$6:$B$266,MATCH(184,'Tablero (To Do · Doing · Done)'!$S$6:$S$266,0)),"")</f>
        <v/>
      </c>
      <c r="C189" s="21">
        <f>IFERROR(INDEX('Tablero (To Do · Doing · Done)'!$F$6:$F$266,MATCH(184,'Tablero (To Do · Doing · Done)'!$S$6:$S$266,0))&amp;" · "&amp;INDEX('Tablero (To Do · Doing · Done)'!$G$6:$G$266,MATCH(184,'Tablero (To Do · Doing · Done)'!$S$6:$S$266,0)),"")</f>
        <v/>
      </c>
      <c r="E189" s="21">
        <f>IFERROR(INDEX('Tablero (To Do · Doing · Done)'!$B$6:$B$266,MATCH(184,'Tablero (To Do · Doing · Done)'!$T$6:$T$266,0)),"")</f>
        <v/>
      </c>
      <c r="F189" s="21">
        <f>IFERROR(INDEX('Tablero (To Do · Doing · Done)'!$F$6:$F$266,MATCH(184,'Tablero (To Do · Doing · Done)'!$T$6:$T$266,0))&amp;" · "&amp;INDEX('Tablero (To Do · Doing · Done)'!$G$6:$G$266,MATCH(184,'Tablero (To Do · Doing · Done)'!$T$6:$T$266,0)),"")</f>
        <v/>
      </c>
      <c r="H189" s="21">
        <f>IFERROR(INDEX('Tablero (To Do · Doing · Done)'!$B$6:$B$266,MATCH(184,'Tablero (To Do · Doing · Done)'!$U$6:$U$266,0)),"")</f>
        <v/>
      </c>
      <c r="I189" s="21">
        <f>IFERROR(INDEX('Tablero (To Do · Doing · Done)'!$F$6:$F$266,MATCH(184,'Tablero (To Do · Doing · Done)'!$U$6:$U$266,0))&amp;" · "&amp;INDEX('Tablero (To Do · Doing · Done)'!$G$6:$G$266,MATCH(184,'Tablero (To Do · Doing · Done)'!$U$6:$U$266,0)),"")</f>
        <v/>
      </c>
    </row>
    <row r="190">
      <c r="B190" s="21">
        <f>IFERROR(INDEX('Tablero (To Do · Doing · Done)'!$B$6:$B$266,MATCH(185,'Tablero (To Do · Doing · Done)'!$S$6:$S$266,0)),"")</f>
        <v/>
      </c>
      <c r="C190" s="21">
        <f>IFERROR(INDEX('Tablero (To Do · Doing · Done)'!$F$6:$F$266,MATCH(185,'Tablero (To Do · Doing · Done)'!$S$6:$S$266,0))&amp;" · "&amp;INDEX('Tablero (To Do · Doing · Done)'!$G$6:$G$266,MATCH(185,'Tablero (To Do · Doing · Done)'!$S$6:$S$266,0)),"")</f>
        <v/>
      </c>
      <c r="E190" s="21">
        <f>IFERROR(INDEX('Tablero (To Do · Doing · Done)'!$B$6:$B$266,MATCH(185,'Tablero (To Do · Doing · Done)'!$T$6:$T$266,0)),"")</f>
        <v/>
      </c>
      <c r="F190" s="21">
        <f>IFERROR(INDEX('Tablero (To Do · Doing · Done)'!$F$6:$F$266,MATCH(185,'Tablero (To Do · Doing · Done)'!$T$6:$T$266,0))&amp;" · "&amp;INDEX('Tablero (To Do · Doing · Done)'!$G$6:$G$266,MATCH(185,'Tablero (To Do · Doing · Done)'!$T$6:$T$266,0)),"")</f>
        <v/>
      </c>
      <c r="H190" s="21">
        <f>IFERROR(INDEX('Tablero (To Do · Doing · Done)'!$B$6:$B$266,MATCH(185,'Tablero (To Do · Doing · Done)'!$U$6:$U$266,0)),"")</f>
        <v/>
      </c>
      <c r="I190" s="21">
        <f>IFERROR(INDEX('Tablero (To Do · Doing · Done)'!$F$6:$F$266,MATCH(185,'Tablero (To Do · Doing · Done)'!$U$6:$U$266,0))&amp;" · "&amp;INDEX('Tablero (To Do · Doing · Done)'!$G$6:$G$266,MATCH(185,'Tablero (To Do · Doing · Done)'!$U$6:$U$266,0)),"")</f>
        <v/>
      </c>
    </row>
    <row r="191">
      <c r="B191" s="21">
        <f>IFERROR(INDEX('Tablero (To Do · Doing · Done)'!$B$6:$B$266,MATCH(186,'Tablero (To Do · Doing · Done)'!$S$6:$S$266,0)),"")</f>
        <v/>
      </c>
      <c r="C191" s="21">
        <f>IFERROR(INDEX('Tablero (To Do · Doing · Done)'!$F$6:$F$266,MATCH(186,'Tablero (To Do · Doing · Done)'!$S$6:$S$266,0))&amp;" · "&amp;INDEX('Tablero (To Do · Doing · Done)'!$G$6:$G$266,MATCH(186,'Tablero (To Do · Doing · Done)'!$S$6:$S$266,0)),"")</f>
        <v/>
      </c>
      <c r="E191" s="21">
        <f>IFERROR(INDEX('Tablero (To Do · Doing · Done)'!$B$6:$B$266,MATCH(186,'Tablero (To Do · Doing · Done)'!$T$6:$T$266,0)),"")</f>
        <v/>
      </c>
      <c r="F191" s="21">
        <f>IFERROR(INDEX('Tablero (To Do · Doing · Done)'!$F$6:$F$266,MATCH(186,'Tablero (To Do · Doing · Done)'!$T$6:$T$266,0))&amp;" · "&amp;INDEX('Tablero (To Do · Doing · Done)'!$G$6:$G$266,MATCH(186,'Tablero (To Do · Doing · Done)'!$T$6:$T$266,0)),"")</f>
        <v/>
      </c>
      <c r="H191" s="21">
        <f>IFERROR(INDEX('Tablero (To Do · Doing · Done)'!$B$6:$B$266,MATCH(186,'Tablero (To Do · Doing · Done)'!$U$6:$U$266,0)),"")</f>
        <v/>
      </c>
      <c r="I191" s="21">
        <f>IFERROR(INDEX('Tablero (To Do · Doing · Done)'!$F$6:$F$266,MATCH(186,'Tablero (To Do · Doing · Done)'!$U$6:$U$266,0))&amp;" · "&amp;INDEX('Tablero (To Do · Doing · Done)'!$G$6:$G$266,MATCH(186,'Tablero (To Do · Doing · Done)'!$U$6:$U$266,0)),"")</f>
        <v/>
      </c>
    </row>
    <row r="192">
      <c r="B192" s="21">
        <f>IFERROR(INDEX('Tablero (To Do · Doing · Done)'!$B$6:$B$266,MATCH(187,'Tablero (To Do · Doing · Done)'!$S$6:$S$266,0)),"")</f>
        <v/>
      </c>
      <c r="C192" s="21">
        <f>IFERROR(INDEX('Tablero (To Do · Doing · Done)'!$F$6:$F$266,MATCH(187,'Tablero (To Do · Doing · Done)'!$S$6:$S$266,0))&amp;" · "&amp;INDEX('Tablero (To Do · Doing · Done)'!$G$6:$G$266,MATCH(187,'Tablero (To Do · Doing · Done)'!$S$6:$S$266,0)),"")</f>
        <v/>
      </c>
      <c r="E192" s="21">
        <f>IFERROR(INDEX('Tablero (To Do · Doing · Done)'!$B$6:$B$266,MATCH(187,'Tablero (To Do · Doing · Done)'!$T$6:$T$266,0)),"")</f>
        <v/>
      </c>
      <c r="F192" s="21">
        <f>IFERROR(INDEX('Tablero (To Do · Doing · Done)'!$F$6:$F$266,MATCH(187,'Tablero (To Do · Doing · Done)'!$T$6:$T$266,0))&amp;" · "&amp;INDEX('Tablero (To Do · Doing · Done)'!$G$6:$G$266,MATCH(187,'Tablero (To Do · Doing · Done)'!$T$6:$T$266,0)),"")</f>
        <v/>
      </c>
      <c r="H192" s="21">
        <f>IFERROR(INDEX('Tablero (To Do · Doing · Done)'!$B$6:$B$266,MATCH(187,'Tablero (To Do · Doing · Done)'!$U$6:$U$266,0)),"")</f>
        <v/>
      </c>
      <c r="I192" s="21">
        <f>IFERROR(INDEX('Tablero (To Do · Doing · Done)'!$F$6:$F$266,MATCH(187,'Tablero (To Do · Doing · Done)'!$U$6:$U$266,0))&amp;" · "&amp;INDEX('Tablero (To Do · Doing · Done)'!$G$6:$G$266,MATCH(187,'Tablero (To Do · Doing · Done)'!$U$6:$U$266,0)),"")</f>
        <v/>
      </c>
    </row>
    <row r="193">
      <c r="B193" s="21">
        <f>IFERROR(INDEX('Tablero (To Do · Doing · Done)'!$B$6:$B$266,MATCH(188,'Tablero (To Do · Doing · Done)'!$S$6:$S$266,0)),"")</f>
        <v/>
      </c>
      <c r="C193" s="21">
        <f>IFERROR(INDEX('Tablero (To Do · Doing · Done)'!$F$6:$F$266,MATCH(188,'Tablero (To Do · Doing · Done)'!$S$6:$S$266,0))&amp;" · "&amp;INDEX('Tablero (To Do · Doing · Done)'!$G$6:$G$266,MATCH(188,'Tablero (To Do · Doing · Done)'!$S$6:$S$266,0)),"")</f>
        <v/>
      </c>
      <c r="E193" s="21">
        <f>IFERROR(INDEX('Tablero (To Do · Doing · Done)'!$B$6:$B$266,MATCH(188,'Tablero (To Do · Doing · Done)'!$T$6:$T$266,0)),"")</f>
        <v/>
      </c>
      <c r="F193" s="21">
        <f>IFERROR(INDEX('Tablero (To Do · Doing · Done)'!$F$6:$F$266,MATCH(188,'Tablero (To Do · Doing · Done)'!$T$6:$T$266,0))&amp;" · "&amp;INDEX('Tablero (To Do · Doing · Done)'!$G$6:$G$266,MATCH(188,'Tablero (To Do · Doing · Done)'!$T$6:$T$266,0)),"")</f>
        <v/>
      </c>
      <c r="H193" s="21">
        <f>IFERROR(INDEX('Tablero (To Do · Doing · Done)'!$B$6:$B$266,MATCH(188,'Tablero (To Do · Doing · Done)'!$U$6:$U$266,0)),"")</f>
        <v/>
      </c>
      <c r="I193" s="21">
        <f>IFERROR(INDEX('Tablero (To Do · Doing · Done)'!$F$6:$F$266,MATCH(188,'Tablero (To Do · Doing · Done)'!$U$6:$U$266,0))&amp;" · "&amp;INDEX('Tablero (To Do · Doing · Done)'!$G$6:$G$266,MATCH(188,'Tablero (To Do · Doing · Done)'!$U$6:$U$266,0)),"")</f>
        <v/>
      </c>
    </row>
    <row r="194">
      <c r="B194" s="21">
        <f>IFERROR(INDEX('Tablero (To Do · Doing · Done)'!$B$6:$B$266,MATCH(189,'Tablero (To Do · Doing · Done)'!$S$6:$S$266,0)),"")</f>
        <v/>
      </c>
      <c r="C194" s="21">
        <f>IFERROR(INDEX('Tablero (To Do · Doing · Done)'!$F$6:$F$266,MATCH(189,'Tablero (To Do · Doing · Done)'!$S$6:$S$266,0))&amp;" · "&amp;INDEX('Tablero (To Do · Doing · Done)'!$G$6:$G$266,MATCH(189,'Tablero (To Do · Doing · Done)'!$S$6:$S$266,0)),"")</f>
        <v/>
      </c>
      <c r="E194" s="21">
        <f>IFERROR(INDEX('Tablero (To Do · Doing · Done)'!$B$6:$B$266,MATCH(189,'Tablero (To Do · Doing · Done)'!$T$6:$T$266,0)),"")</f>
        <v/>
      </c>
      <c r="F194" s="21">
        <f>IFERROR(INDEX('Tablero (To Do · Doing · Done)'!$F$6:$F$266,MATCH(189,'Tablero (To Do · Doing · Done)'!$T$6:$T$266,0))&amp;" · "&amp;INDEX('Tablero (To Do · Doing · Done)'!$G$6:$G$266,MATCH(189,'Tablero (To Do · Doing · Done)'!$T$6:$T$266,0)),"")</f>
        <v/>
      </c>
      <c r="H194" s="21">
        <f>IFERROR(INDEX('Tablero (To Do · Doing · Done)'!$B$6:$B$266,MATCH(189,'Tablero (To Do · Doing · Done)'!$U$6:$U$266,0)),"")</f>
        <v/>
      </c>
      <c r="I194" s="21">
        <f>IFERROR(INDEX('Tablero (To Do · Doing · Done)'!$F$6:$F$266,MATCH(189,'Tablero (To Do · Doing · Done)'!$U$6:$U$266,0))&amp;" · "&amp;INDEX('Tablero (To Do · Doing · Done)'!$G$6:$G$266,MATCH(189,'Tablero (To Do · Doing · Done)'!$U$6:$U$266,0)),"")</f>
        <v/>
      </c>
    </row>
    <row r="195">
      <c r="B195" s="21">
        <f>IFERROR(INDEX('Tablero (To Do · Doing · Done)'!$B$6:$B$266,MATCH(190,'Tablero (To Do · Doing · Done)'!$S$6:$S$266,0)),"")</f>
        <v/>
      </c>
      <c r="C195" s="21">
        <f>IFERROR(INDEX('Tablero (To Do · Doing · Done)'!$F$6:$F$266,MATCH(190,'Tablero (To Do · Doing · Done)'!$S$6:$S$266,0))&amp;" · "&amp;INDEX('Tablero (To Do · Doing · Done)'!$G$6:$G$266,MATCH(190,'Tablero (To Do · Doing · Done)'!$S$6:$S$266,0)),"")</f>
        <v/>
      </c>
      <c r="E195" s="21">
        <f>IFERROR(INDEX('Tablero (To Do · Doing · Done)'!$B$6:$B$266,MATCH(190,'Tablero (To Do · Doing · Done)'!$T$6:$T$266,0)),"")</f>
        <v/>
      </c>
      <c r="F195" s="21">
        <f>IFERROR(INDEX('Tablero (To Do · Doing · Done)'!$F$6:$F$266,MATCH(190,'Tablero (To Do · Doing · Done)'!$T$6:$T$266,0))&amp;" · "&amp;INDEX('Tablero (To Do · Doing · Done)'!$G$6:$G$266,MATCH(190,'Tablero (To Do · Doing · Done)'!$T$6:$T$266,0)),"")</f>
        <v/>
      </c>
      <c r="H195" s="21">
        <f>IFERROR(INDEX('Tablero (To Do · Doing · Done)'!$B$6:$B$266,MATCH(190,'Tablero (To Do · Doing · Done)'!$U$6:$U$266,0)),"")</f>
        <v/>
      </c>
      <c r="I195" s="21">
        <f>IFERROR(INDEX('Tablero (To Do · Doing · Done)'!$F$6:$F$266,MATCH(190,'Tablero (To Do · Doing · Done)'!$U$6:$U$266,0))&amp;" · "&amp;INDEX('Tablero (To Do · Doing · Done)'!$G$6:$G$266,MATCH(190,'Tablero (To Do · Doing · Done)'!$U$6:$U$266,0)),"")</f>
        <v/>
      </c>
    </row>
    <row r="196">
      <c r="B196" s="21">
        <f>IFERROR(INDEX('Tablero (To Do · Doing · Done)'!$B$6:$B$266,MATCH(191,'Tablero (To Do · Doing · Done)'!$S$6:$S$266,0)),"")</f>
        <v/>
      </c>
      <c r="C196" s="21">
        <f>IFERROR(INDEX('Tablero (To Do · Doing · Done)'!$F$6:$F$266,MATCH(191,'Tablero (To Do · Doing · Done)'!$S$6:$S$266,0))&amp;" · "&amp;INDEX('Tablero (To Do · Doing · Done)'!$G$6:$G$266,MATCH(191,'Tablero (To Do · Doing · Done)'!$S$6:$S$266,0)),"")</f>
        <v/>
      </c>
      <c r="E196" s="21">
        <f>IFERROR(INDEX('Tablero (To Do · Doing · Done)'!$B$6:$B$266,MATCH(191,'Tablero (To Do · Doing · Done)'!$T$6:$T$266,0)),"")</f>
        <v/>
      </c>
      <c r="F196" s="21">
        <f>IFERROR(INDEX('Tablero (To Do · Doing · Done)'!$F$6:$F$266,MATCH(191,'Tablero (To Do · Doing · Done)'!$T$6:$T$266,0))&amp;" · "&amp;INDEX('Tablero (To Do · Doing · Done)'!$G$6:$G$266,MATCH(191,'Tablero (To Do · Doing · Done)'!$T$6:$T$266,0)),"")</f>
        <v/>
      </c>
      <c r="H196" s="21">
        <f>IFERROR(INDEX('Tablero (To Do · Doing · Done)'!$B$6:$B$266,MATCH(191,'Tablero (To Do · Doing · Done)'!$U$6:$U$266,0)),"")</f>
        <v/>
      </c>
      <c r="I196" s="21">
        <f>IFERROR(INDEX('Tablero (To Do · Doing · Done)'!$F$6:$F$266,MATCH(191,'Tablero (To Do · Doing · Done)'!$U$6:$U$266,0))&amp;" · "&amp;INDEX('Tablero (To Do · Doing · Done)'!$G$6:$G$266,MATCH(191,'Tablero (To Do · Doing · Done)'!$U$6:$U$266,0)),"")</f>
        <v/>
      </c>
    </row>
    <row r="197">
      <c r="B197" s="21">
        <f>IFERROR(INDEX('Tablero (To Do · Doing · Done)'!$B$6:$B$266,MATCH(192,'Tablero (To Do · Doing · Done)'!$S$6:$S$266,0)),"")</f>
        <v/>
      </c>
      <c r="C197" s="21">
        <f>IFERROR(INDEX('Tablero (To Do · Doing · Done)'!$F$6:$F$266,MATCH(192,'Tablero (To Do · Doing · Done)'!$S$6:$S$266,0))&amp;" · "&amp;INDEX('Tablero (To Do · Doing · Done)'!$G$6:$G$266,MATCH(192,'Tablero (To Do · Doing · Done)'!$S$6:$S$266,0)),"")</f>
        <v/>
      </c>
      <c r="E197" s="21">
        <f>IFERROR(INDEX('Tablero (To Do · Doing · Done)'!$B$6:$B$266,MATCH(192,'Tablero (To Do · Doing · Done)'!$T$6:$T$266,0)),"")</f>
        <v/>
      </c>
      <c r="F197" s="21">
        <f>IFERROR(INDEX('Tablero (To Do · Doing · Done)'!$F$6:$F$266,MATCH(192,'Tablero (To Do · Doing · Done)'!$T$6:$T$266,0))&amp;" · "&amp;INDEX('Tablero (To Do · Doing · Done)'!$G$6:$G$266,MATCH(192,'Tablero (To Do · Doing · Done)'!$T$6:$T$266,0)),"")</f>
        <v/>
      </c>
      <c r="H197" s="21">
        <f>IFERROR(INDEX('Tablero (To Do · Doing · Done)'!$B$6:$B$266,MATCH(192,'Tablero (To Do · Doing · Done)'!$U$6:$U$266,0)),"")</f>
        <v/>
      </c>
      <c r="I197" s="21">
        <f>IFERROR(INDEX('Tablero (To Do · Doing · Done)'!$F$6:$F$266,MATCH(192,'Tablero (To Do · Doing · Done)'!$U$6:$U$266,0))&amp;" · "&amp;INDEX('Tablero (To Do · Doing · Done)'!$G$6:$G$266,MATCH(192,'Tablero (To Do · Doing · Done)'!$U$6:$U$266,0)),"")</f>
        <v/>
      </c>
    </row>
    <row r="198">
      <c r="B198" s="21">
        <f>IFERROR(INDEX('Tablero (To Do · Doing · Done)'!$B$6:$B$266,MATCH(193,'Tablero (To Do · Doing · Done)'!$S$6:$S$266,0)),"")</f>
        <v/>
      </c>
      <c r="C198" s="21">
        <f>IFERROR(INDEX('Tablero (To Do · Doing · Done)'!$F$6:$F$266,MATCH(193,'Tablero (To Do · Doing · Done)'!$S$6:$S$266,0))&amp;" · "&amp;INDEX('Tablero (To Do · Doing · Done)'!$G$6:$G$266,MATCH(193,'Tablero (To Do · Doing · Done)'!$S$6:$S$266,0)),"")</f>
        <v/>
      </c>
      <c r="E198" s="21">
        <f>IFERROR(INDEX('Tablero (To Do · Doing · Done)'!$B$6:$B$266,MATCH(193,'Tablero (To Do · Doing · Done)'!$T$6:$T$266,0)),"")</f>
        <v/>
      </c>
      <c r="F198" s="21">
        <f>IFERROR(INDEX('Tablero (To Do · Doing · Done)'!$F$6:$F$266,MATCH(193,'Tablero (To Do · Doing · Done)'!$T$6:$T$266,0))&amp;" · "&amp;INDEX('Tablero (To Do · Doing · Done)'!$G$6:$G$266,MATCH(193,'Tablero (To Do · Doing · Done)'!$T$6:$T$266,0)),"")</f>
        <v/>
      </c>
      <c r="H198" s="21">
        <f>IFERROR(INDEX('Tablero (To Do · Doing · Done)'!$B$6:$B$266,MATCH(193,'Tablero (To Do · Doing · Done)'!$U$6:$U$266,0)),"")</f>
        <v/>
      </c>
      <c r="I198" s="21">
        <f>IFERROR(INDEX('Tablero (To Do · Doing · Done)'!$F$6:$F$266,MATCH(193,'Tablero (To Do · Doing · Done)'!$U$6:$U$266,0))&amp;" · "&amp;INDEX('Tablero (To Do · Doing · Done)'!$G$6:$G$266,MATCH(193,'Tablero (To Do · Doing · Done)'!$U$6:$U$266,0)),"")</f>
        <v/>
      </c>
    </row>
    <row r="199">
      <c r="B199" s="21">
        <f>IFERROR(INDEX('Tablero (To Do · Doing · Done)'!$B$6:$B$266,MATCH(194,'Tablero (To Do · Doing · Done)'!$S$6:$S$266,0)),"")</f>
        <v/>
      </c>
      <c r="C199" s="21">
        <f>IFERROR(INDEX('Tablero (To Do · Doing · Done)'!$F$6:$F$266,MATCH(194,'Tablero (To Do · Doing · Done)'!$S$6:$S$266,0))&amp;" · "&amp;INDEX('Tablero (To Do · Doing · Done)'!$G$6:$G$266,MATCH(194,'Tablero (To Do · Doing · Done)'!$S$6:$S$266,0)),"")</f>
        <v/>
      </c>
      <c r="E199" s="21">
        <f>IFERROR(INDEX('Tablero (To Do · Doing · Done)'!$B$6:$B$266,MATCH(194,'Tablero (To Do · Doing · Done)'!$T$6:$T$266,0)),"")</f>
        <v/>
      </c>
      <c r="F199" s="21">
        <f>IFERROR(INDEX('Tablero (To Do · Doing · Done)'!$F$6:$F$266,MATCH(194,'Tablero (To Do · Doing · Done)'!$T$6:$T$266,0))&amp;" · "&amp;INDEX('Tablero (To Do · Doing · Done)'!$G$6:$G$266,MATCH(194,'Tablero (To Do · Doing · Done)'!$T$6:$T$266,0)),"")</f>
        <v/>
      </c>
      <c r="H199" s="21">
        <f>IFERROR(INDEX('Tablero (To Do · Doing · Done)'!$B$6:$B$266,MATCH(194,'Tablero (To Do · Doing · Done)'!$U$6:$U$266,0)),"")</f>
        <v/>
      </c>
      <c r="I199" s="21">
        <f>IFERROR(INDEX('Tablero (To Do · Doing · Done)'!$F$6:$F$266,MATCH(194,'Tablero (To Do · Doing · Done)'!$U$6:$U$266,0))&amp;" · "&amp;INDEX('Tablero (To Do · Doing · Done)'!$G$6:$G$266,MATCH(194,'Tablero (To Do · Doing · Done)'!$U$6:$U$266,0)),"")</f>
        <v/>
      </c>
    </row>
    <row r="200">
      <c r="B200" s="21">
        <f>IFERROR(INDEX('Tablero (To Do · Doing · Done)'!$B$6:$B$266,MATCH(195,'Tablero (To Do · Doing · Done)'!$S$6:$S$266,0)),"")</f>
        <v/>
      </c>
      <c r="C200" s="21">
        <f>IFERROR(INDEX('Tablero (To Do · Doing · Done)'!$F$6:$F$266,MATCH(195,'Tablero (To Do · Doing · Done)'!$S$6:$S$266,0))&amp;" · "&amp;INDEX('Tablero (To Do · Doing · Done)'!$G$6:$G$266,MATCH(195,'Tablero (To Do · Doing · Done)'!$S$6:$S$266,0)),"")</f>
        <v/>
      </c>
      <c r="E200" s="21">
        <f>IFERROR(INDEX('Tablero (To Do · Doing · Done)'!$B$6:$B$266,MATCH(195,'Tablero (To Do · Doing · Done)'!$T$6:$T$266,0)),"")</f>
        <v/>
      </c>
      <c r="F200" s="21">
        <f>IFERROR(INDEX('Tablero (To Do · Doing · Done)'!$F$6:$F$266,MATCH(195,'Tablero (To Do · Doing · Done)'!$T$6:$T$266,0))&amp;" · "&amp;INDEX('Tablero (To Do · Doing · Done)'!$G$6:$G$266,MATCH(195,'Tablero (To Do · Doing · Done)'!$T$6:$T$266,0)),"")</f>
        <v/>
      </c>
      <c r="H200" s="21">
        <f>IFERROR(INDEX('Tablero (To Do · Doing · Done)'!$B$6:$B$266,MATCH(195,'Tablero (To Do · Doing · Done)'!$U$6:$U$266,0)),"")</f>
        <v/>
      </c>
      <c r="I200" s="21">
        <f>IFERROR(INDEX('Tablero (To Do · Doing · Done)'!$F$6:$F$266,MATCH(195,'Tablero (To Do · Doing · Done)'!$U$6:$U$266,0))&amp;" · "&amp;INDEX('Tablero (To Do · Doing · Done)'!$G$6:$G$266,MATCH(195,'Tablero (To Do · Doing · Done)'!$U$6:$U$266,0)),"")</f>
        <v/>
      </c>
    </row>
    <row r="201">
      <c r="B201" s="21">
        <f>IFERROR(INDEX('Tablero (To Do · Doing · Done)'!$B$6:$B$266,MATCH(196,'Tablero (To Do · Doing · Done)'!$S$6:$S$266,0)),"")</f>
        <v/>
      </c>
      <c r="C201" s="21">
        <f>IFERROR(INDEX('Tablero (To Do · Doing · Done)'!$F$6:$F$266,MATCH(196,'Tablero (To Do · Doing · Done)'!$S$6:$S$266,0))&amp;" · "&amp;INDEX('Tablero (To Do · Doing · Done)'!$G$6:$G$266,MATCH(196,'Tablero (To Do · Doing · Done)'!$S$6:$S$266,0)),"")</f>
        <v/>
      </c>
      <c r="E201" s="21">
        <f>IFERROR(INDEX('Tablero (To Do · Doing · Done)'!$B$6:$B$266,MATCH(196,'Tablero (To Do · Doing · Done)'!$T$6:$T$266,0)),"")</f>
        <v/>
      </c>
      <c r="F201" s="21">
        <f>IFERROR(INDEX('Tablero (To Do · Doing · Done)'!$F$6:$F$266,MATCH(196,'Tablero (To Do · Doing · Done)'!$T$6:$T$266,0))&amp;" · "&amp;INDEX('Tablero (To Do · Doing · Done)'!$G$6:$G$266,MATCH(196,'Tablero (To Do · Doing · Done)'!$T$6:$T$266,0)),"")</f>
        <v/>
      </c>
      <c r="H201" s="21">
        <f>IFERROR(INDEX('Tablero (To Do · Doing · Done)'!$B$6:$B$266,MATCH(196,'Tablero (To Do · Doing · Done)'!$U$6:$U$266,0)),"")</f>
        <v/>
      </c>
      <c r="I201" s="21">
        <f>IFERROR(INDEX('Tablero (To Do · Doing · Done)'!$F$6:$F$266,MATCH(196,'Tablero (To Do · Doing · Done)'!$U$6:$U$266,0))&amp;" · "&amp;INDEX('Tablero (To Do · Doing · Done)'!$G$6:$G$266,MATCH(196,'Tablero (To Do · Doing · Done)'!$U$6:$U$266,0)),"")</f>
        <v/>
      </c>
    </row>
    <row r="202">
      <c r="B202" s="21">
        <f>IFERROR(INDEX('Tablero (To Do · Doing · Done)'!$B$6:$B$266,MATCH(197,'Tablero (To Do · Doing · Done)'!$S$6:$S$266,0)),"")</f>
        <v/>
      </c>
      <c r="C202" s="21">
        <f>IFERROR(INDEX('Tablero (To Do · Doing · Done)'!$F$6:$F$266,MATCH(197,'Tablero (To Do · Doing · Done)'!$S$6:$S$266,0))&amp;" · "&amp;INDEX('Tablero (To Do · Doing · Done)'!$G$6:$G$266,MATCH(197,'Tablero (To Do · Doing · Done)'!$S$6:$S$266,0)),"")</f>
        <v/>
      </c>
      <c r="E202" s="21">
        <f>IFERROR(INDEX('Tablero (To Do · Doing · Done)'!$B$6:$B$266,MATCH(197,'Tablero (To Do · Doing · Done)'!$T$6:$T$266,0)),"")</f>
        <v/>
      </c>
      <c r="F202" s="21">
        <f>IFERROR(INDEX('Tablero (To Do · Doing · Done)'!$F$6:$F$266,MATCH(197,'Tablero (To Do · Doing · Done)'!$T$6:$T$266,0))&amp;" · "&amp;INDEX('Tablero (To Do · Doing · Done)'!$G$6:$G$266,MATCH(197,'Tablero (To Do · Doing · Done)'!$T$6:$T$266,0)),"")</f>
        <v/>
      </c>
      <c r="H202" s="21">
        <f>IFERROR(INDEX('Tablero (To Do · Doing · Done)'!$B$6:$B$266,MATCH(197,'Tablero (To Do · Doing · Done)'!$U$6:$U$266,0)),"")</f>
        <v/>
      </c>
      <c r="I202" s="21">
        <f>IFERROR(INDEX('Tablero (To Do · Doing · Done)'!$F$6:$F$266,MATCH(197,'Tablero (To Do · Doing · Done)'!$U$6:$U$266,0))&amp;" · "&amp;INDEX('Tablero (To Do · Doing · Done)'!$G$6:$G$266,MATCH(197,'Tablero (To Do · Doing · Done)'!$U$6:$U$266,0)),"")</f>
        <v/>
      </c>
    </row>
    <row r="203">
      <c r="B203" s="21">
        <f>IFERROR(INDEX('Tablero (To Do · Doing · Done)'!$B$6:$B$266,MATCH(198,'Tablero (To Do · Doing · Done)'!$S$6:$S$266,0)),"")</f>
        <v/>
      </c>
      <c r="C203" s="21">
        <f>IFERROR(INDEX('Tablero (To Do · Doing · Done)'!$F$6:$F$266,MATCH(198,'Tablero (To Do · Doing · Done)'!$S$6:$S$266,0))&amp;" · "&amp;INDEX('Tablero (To Do · Doing · Done)'!$G$6:$G$266,MATCH(198,'Tablero (To Do · Doing · Done)'!$S$6:$S$266,0)),"")</f>
        <v/>
      </c>
      <c r="E203" s="21">
        <f>IFERROR(INDEX('Tablero (To Do · Doing · Done)'!$B$6:$B$266,MATCH(198,'Tablero (To Do · Doing · Done)'!$T$6:$T$266,0)),"")</f>
        <v/>
      </c>
      <c r="F203" s="21">
        <f>IFERROR(INDEX('Tablero (To Do · Doing · Done)'!$F$6:$F$266,MATCH(198,'Tablero (To Do · Doing · Done)'!$T$6:$T$266,0))&amp;" · "&amp;INDEX('Tablero (To Do · Doing · Done)'!$G$6:$G$266,MATCH(198,'Tablero (To Do · Doing · Done)'!$T$6:$T$266,0)),"")</f>
        <v/>
      </c>
      <c r="H203" s="21">
        <f>IFERROR(INDEX('Tablero (To Do · Doing · Done)'!$B$6:$B$266,MATCH(198,'Tablero (To Do · Doing · Done)'!$U$6:$U$266,0)),"")</f>
        <v/>
      </c>
      <c r="I203" s="21">
        <f>IFERROR(INDEX('Tablero (To Do · Doing · Done)'!$F$6:$F$266,MATCH(198,'Tablero (To Do · Doing · Done)'!$U$6:$U$266,0))&amp;" · "&amp;INDEX('Tablero (To Do · Doing · Done)'!$G$6:$G$266,MATCH(198,'Tablero (To Do · Doing · Done)'!$U$6:$U$266,0)),"")</f>
        <v/>
      </c>
    </row>
    <row r="204">
      <c r="B204" s="21">
        <f>IFERROR(INDEX('Tablero (To Do · Doing · Done)'!$B$6:$B$266,MATCH(199,'Tablero (To Do · Doing · Done)'!$S$6:$S$266,0)),"")</f>
        <v/>
      </c>
      <c r="C204" s="21">
        <f>IFERROR(INDEX('Tablero (To Do · Doing · Done)'!$F$6:$F$266,MATCH(199,'Tablero (To Do · Doing · Done)'!$S$6:$S$266,0))&amp;" · "&amp;INDEX('Tablero (To Do · Doing · Done)'!$G$6:$G$266,MATCH(199,'Tablero (To Do · Doing · Done)'!$S$6:$S$266,0)),"")</f>
        <v/>
      </c>
      <c r="E204" s="21">
        <f>IFERROR(INDEX('Tablero (To Do · Doing · Done)'!$B$6:$B$266,MATCH(199,'Tablero (To Do · Doing · Done)'!$T$6:$T$266,0)),"")</f>
        <v/>
      </c>
      <c r="F204" s="21">
        <f>IFERROR(INDEX('Tablero (To Do · Doing · Done)'!$F$6:$F$266,MATCH(199,'Tablero (To Do · Doing · Done)'!$T$6:$T$266,0))&amp;" · "&amp;INDEX('Tablero (To Do · Doing · Done)'!$G$6:$G$266,MATCH(199,'Tablero (To Do · Doing · Done)'!$T$6:$T$266,0)),"")</f>
        <v/>
      </c>
      <c r="H204" s="21">
        <f>IFERROR(INDEX('Tablero (To Do · Doing · Done)'!$B$6:$B$266,MATCH(199,'Tablero (To Do · Doing · Done)'!$U$6:$U$266,0)),"")</f>
        <v/>
      </c>
      <c r="I204" s="21">
        <f>IFERROR(INDEX('Tablero (To Do · Doing · Done)'!$F$6:$F$266,MATCH(199,'Tablero (To Do · Doing · Done)'!$U$6:$U$266,0))&amp;" · "&amp;INDEX('Tablero (To Do · Doing · Done)'!$G$6:$G$266,MATCH(199,'Tablero (To Do · Doing · Done)'!$U$6:$U$266,0)),"")</f>
        <v/>
      </c>
    </row>
    <row r="205">
      <c r="B205" s="21">
        <f>IFERROR(INDEX('Tablero (To Do · Doing · Done)'!$B$6:$B$266,MATCH(200,'Tablero (To Do · Doing · Done)'!$S$6:$S$266,0)),"")</f>
        <v/>
      </c>
      <c r="C205" s="21">
        <f>IFERROR(INDEX('Tablero (To Do · Doing · Done)'!$F$6:$F$266,MATCH(200,'Tablero (To Do · Doing · Done)'!$S$6:$S$266,0))&amp;" · "&amp;INDEX('Tablero (To Do · Doing · Done)'!$G$6:$G$266,MATCH(200,'Tablero (To Do · Doing · Done)'!$S$6:$S$266,0)),"")</f>
        <v/>
      </c>
      <c r="E205" s="21">
        <f>IFERROR(INDEX('Tablero (To Do · Doing · Done)'!$B$6:$B$266,MATCH(200,'Tablero (To Do · Doing · Done)'!$T$6:$T$266,0)),"")</f>
        <v/>
      </c>
      <c r="F205" s="21">
        <f>IFERROR(INDEX('Tablero (To Do · Doing · Done)'!$F$6:$F$266,MATCH(200,'Tablero (To Do · Doing · Done)'!$T$6:$T$266,0))&amp;" · "&amp;INDEX('Tablero (To Do · Doing · Done)'!$G$6:$G$266,MATCH(200,'Tablero (To Do · Doing · Done)'!$T$6:$T$266,0)),"")</f>
        <v/>
      </c>
      <c r="H205" s="21">
        <f>IFERROR(INDEX('Tablero (To Do · Doing · Done)'!$B$6:$B$266,MATCH(200,'Tablero (To Do · Doing · Done)'!$U$6:$U$266,0)),"")</f>
        <v/>
      </c>
      <c r="I205" s="21">
        <f>IFERROR(INDEX('Tablero (To Do · Doing · Done)'!$F$6:$F$266,MATCH(200,'Tablero (To Do · Doing · Done)'!$U$6:$U$266,0))&amp;" · "&amp;INDEX('Tablero (To Do · Doing · Done)'!$G$6:$G$266,MATCH(200,'Tablero (To Do · Doing · Done)'!$U$6:$U$266,0)),"")</f>
        <v/>
      </c>
    </row>
    <row r="206">
      <c r="B206" s="21">
        <f>IFERROR(INDEX('Tablero (To Do · Doing · Done)'!$B$6:$B$266,MATCH(201,'Tablero (To Do · Doing · Done)'!$S$6:$S$266,0)),"")</f>
        <v/>
      </c>
      <c r="C206" s="21">
        <f>IFERROR(INDEX('Tablero (To Do · Doing · Done)'!$F$6:$F$266,MATCH(201,'Tablero (To Do · Doing · Done)'!$S$6:$S$266,0))&amp;" · "&amp;INDEX('Tablero (To Do · Doing · Done)'!$G$6:$G$266,MATCH(201,'Tablero (To Do · Doing · Done)'!$S$6:$S$266,0)),"")</f>
        <v/>
      </c>
      <c r="E206" s="21">
        <f>IFERROR(INDEX('Tablero (To Do · Doing · Done)'!$B$6:$B$266,MATCH(201,'Tablero (To Do · Doing · Done)'!$T$6:$T$266,0)),"")</f>
        <v/>
      </c>
      <c r="F206" s="21">
        <f>IFERROR(INDEX('Tablero (To Do · Doing · Done)'!$F$6:$F$266,MATCH(201,'Tablero (To Do · Doing · Done)'!$T$6:$T$266,0))&amp;" · "&amp;INDEX('Tablero (To Do · Doing · Done)'!$G$6:$G$266,MATCH(201,'Tablero (To Do · Doing · Done)'!$T$6:$T$266,0)),"")</f>
        <v/>
      </c>
      <c r="H206" s="21">
        <f>IFERROR(INDEX('Tablero (To Do · Doing · Done)'!$B$6:$B$266,MATCH(201,'Tablero (To Do · Doing · Done)'!$U$6:$U$266,0)),"")</f>
        <v/>
      </c>
      <c r="I206" s="21">
        <f>IFERROR(INDEX('Tablero (To Do · Doing · Done)'!$F$6:$F$266,MATCH(201,'Tablero (To Do · Doing · Done)'!$U$6:$U$266,0))&amp;" · "&amp;INDEX('Tablero (To Do · Doing · Done)'!$G$6:$G$266,MATCH(201,'Tablero (To Do · Doing · Done)'!$U$6:$U$266,0)),"")</f>
        <v/>
      </c>
    </row>
    <row r="207">
      <c r="B207" s="21">
        <f>IFERROR(INDEX('Tablero (To Do · Doing · Done)'!$B$6:$B$266,MATCH(202,'Tablero (To Do · Doing · Done)'!$S$6:$S$266,0)),"")</f>
        <v/>
      </c>
      <c r="C207" s="21">
        <f>IFERROR(INDEX('Tablero (To Do · Doing · Done)'!$F$6:$F$266,MATCH(202,'Tablero (To Do · Doing · Done)'!$S$6:$S$266,0))&amp;" · "&amp;INDEX('Tablero (To Do · Doing · Done)'!$G$6:$G$266,MATCH(202,'Tablero (To Do · Doing · Done)'!$S$6:$S$266,0)),"")</f>
        <v/>
      </c>
      <c r="E207" s="21">
        <f>IFERROR(INDEX('Tablero (To Do · Doing · Done)'!$B$6:$B$266,MATCH(202,'Tablero (To Do · Doing · Done)'!$T$6:$T$266,0)),"")</f>
        <v/>
      </c>
      <c r="F207" s="21">
        <f>IFERROR(INDEX('Tablero (To Do · Doing · Done)'!$F$6:$F$266,MATCH(202,'Tablero (To Do · Doing · Done)'!$T$6:$T$266,0))&amp;" · "&amp;INDEX('Tablero (To Do · Doing · Done)'!$G$6:$G$266,MATCH(202,'Tablero (To Do · Doing · Done)'!$T$6:$T$266,0)),"")</f>
        <v/>
      </c>
      <c r="H207" s="21">
        <f>IFERROR(INDEX('Tablero (To Do · Doing · Done)'!$B$6:$B$266,MATCH(202,'Tablero (To Do · Doing · Done)'!$U$6:$U$266,0)),"")</f>
        <v/>
      </c>
      <c r="I207" s="21">
        <f>IFERROR(INDEX('Tablero (To Do · Doing · Done)'!$F$6:$F$266,MATCH(202,'Tablero (To Do · Doing · Done)'!$U$6:$U$266,0))&amp;" · "&amp;INDEX('Tablero (To Do · Doing · Done)'!$G$6:$G$266,MATCH(202,'Tablero (To Do · Doing · Done)'!$U$6:$U$266,0)),"")</f>
        <v/>
      </c>
    </row>
    <row r="208">
      <c r="B208" s="21">
        <f>IFERROR(INDEX('Tablero (To Do · Doing · Done)'!$B$6:$B$266,MATCH(203,'Tablero (To Do · Doing · Done)'!$S$6:$S$266,0)),"")</f>
        <v/>
      </c>
      <c r="C208" s="21">
        <f>IFERROR(INDEX('Tablero (To Do · Doing · Done)'!$F$6:$F$266,MATCH(203,'Tablero (To Do · Doing · Done)'!$S$6:$S$266,0))&amp;" · "&amp;INDEX('Tablero (To Do · Doing · Done)'!$G$6:$G$266,MATCH(203,'Tablero (To Do · Doing · Done)'!$S$6:$S$266,0)),"")</f>
        <v/>
      </c>
      <c r="E208" s="21">
        <f>IFERROR(INDEX('Tablero (To Do · Doing · Done)'!$B$6:$B$266,MATCH(203,'Tablero (To Do · Doing · Done)'!$T$6:$T$266,0)),"")</f>
        <v/>
      </c>
      <c r="F208" s="21">
        <f>IFERROR(INDEX('Tablero (To Do · Doing · Done)'!$F$6:$F$266,MATCH(203,'Tablero (To Do · Doing · Done)'!$T$6:$T$266,0))&amp;" · "&amp;INDEX('Tablero (To Do · Doing · Done)'!$G$6:$G$266,MATCH(203,'Tablero (To Do · Doing · Done)'!$T$6:$T$266,0)),"")</f>
        <v/>
      </c>
      <c r="H208" s="21">
        <f>IFERROR(INDEX('Tablero (To Do · Doing · Done)'!$B$6:$B$266,MATCH(203,'Tablero (To Do · Doing · Done)'!$U$6:$U$266,0)),"")</f>
        <v/>
      </c>
      <c r="I208" s="21">
        <f>IFERROR(INDEX('Tablero (To Do · Doing · Done)'!$F$6:$F$266,MATCH(203,'Tablero (To Do · Doing · Done)'!$U$6:$U$266,0))&amp;" · "&amp;INDEX('Tablero (To Do · Doing · Done)'!$G$6:$G$266,MATCH(203,'Tablero (To Do · Doing · Done)'!$U$6:$U$266,0)),"")</f>
        <v/>
      </c>
    </row>
    <row r="209">
      <c r="B209" s="21">
        <f>IFERROR(INDEX('Tablero (To Do · Doing · Done)'!$B$6:$B$266,MATCH(204,'Tablero (To Do · Doing · Done)'!$S$6:$S$266,0)),"")</f>
        <v/>
      </c>
      <c r="C209" s="21">
        <f>IFERROR(INDEX('Tablero (To Do · Doing · Done)'!$F$6:$F$266,MATCH(204,'Tablero (To Do · Doing · Done)'!$S$6:$S$266,0))&amp;" · "&amp;INDEX('Tablero (To Do · Doing · Done)'!$G$6:$G$266,MATCH(204,'Tablero (To Do · Doing · Done)'!$S$6:$S$266,0)),"")</f>
        <v/>
      </c>
      <c r="E209" s="21">
        <f>IFERROR(INDEX('Tablero (To Do · Doing · Done)'!$B$6:$B$266,MATCH(204,'Tablero (To Do · Doing · Done)'!$T$6:$T$266,0)),"")</f>
        <v/>
      </c>
      <c r="F209" s="21">
        <f>IFERROR(INDEX('Tablero (To Do · Doing · Done)'!$F$6:$F$266,MATCH(204,'Tablero (To Do · Doing · Done)'!$T$6:$T$266,0))&amp;" · "&amp;INDEX('Tablero (To Do · Doing · Done)'!$G$6:$G$266,MATCH(204,'Tablero (To Do · Doing · Done)'!$T$6:$T$266,0)),"")</f>
        <v/>
      </c>
      <c r="H209" s="21">
        <f>IFERROR(INDEX('Tablero (To Do · Doing · Done)'!$B$6:$B$266,MATCH(204,'Tablero (To Do · Doing · Done)'!$U$6:$U$266,0)),"")</f>
        <v/>
      </c>
      <c r="I209" s="21">
        <f>IFERROR(INDEX('Tablero (To Do · Doing · Done)'!$F$6:$F$266,MATCH(204,'Tablero (To Do · Doing · Done)'!$U$6:$U$266,0))&amp;" · "&amp;INDEX('Tablero (To Do · Doing · Done)'!$G$6:$G$266,MATCH(204,'Tablero (To Do · Doing · Done)'!$U$6:$U$266,0)),"")</f>
        <v/>
      </c>
    </row>
    <row r="210">
      <c r="B210" s="21">
        <f>IFERROR(INDEX('Tablero (To Do · Doing · Done)'!$B$6:$B$266,MATCH(205,'Tablero (To Do · Doing · Done)'!$S$6:$S$266,0)),"")</f>
        <v/>
      </c>
      <c r="C210" s="21">
        <f>IFERROR(INDEX('Tablero (To Do · Doing · Done)'!$F$6:$F$266,MATCH(205,'Tablero (To Do · Doing · Done)'!$S$6:$S$266,0))&amp;" · "&amp;INDEX('Tablero (To Do · Doing · Done)'!$G$6:$G$266,MATCH(205,'Tablero (To Do · Doing · Done)'!$S$6:$S$266,0)),"")</f>
        <v/>
      </c>
      <c r="E210" s="21">
        <f>IFERROR(INDEX('Tablero (To Do · Doing · Done)'!$B$6:$B$266,MATCH(205,'Tablero (To Do · Doing · Done)'!$T$6:$T$266,0)),"")</f>
        <v/>
      </c>
      <c r="F210" s="21">
        <f>IFERROR(INDEX('Tablero (To Do · Doing · Done)'!$F$6:$F$266,MATCH(205,'Tablero (To Do · Doing · Done)'!$T$6:$T$266,0))&amp;" · "&amp;INDEX('Tablero (To Do · Doing · Done)'!$G$6:$G$266,MATCH(205,'Tablero (To Do · Doing · Done)'!$T$6:$T$266,0)),"")</f>
        <v/>
      </c>
      <c r="H210" s="21">
        <f>IFERROR(INDEX('Tablero (To Do · Doing · Done)'!$B$6:$B$266,MATCH(205,'Tablero (To Do · Doing · Done)'!$U$6:$U$266,0)),"")</f>
        <v/>
      </c>
      <c r="I210" s="21">
        <f>IFERROR(INDEX('Tablero (To Do · Doing · Done)'!$F$6:$F$266,MATCH(205,'Tablero (To Do · Doing · Done)'!$U$6:$U$266,0))&amp;" · "&amp;INDEX('Tablero (To Do · Doing · Done)'!$G$6:$G$266,MATCH(205,'Tablero (To Do · Doing · Done)'!$U$6:$U$266,0)),"")</f>
        <v/>
      </c>
    </row>
    <row r="211">
      <c r="B211" s="21">
        <f>IFERROR(INDEX('Tablero (To Do · Doing · Done)'!$B$6:$B$266,MATCH(206,'Tablero (To Do · Doing · Done)'!$S$6:$S$266,0)),"")</f>
        <v/>
      </c>
      <c r="C211" s="21">
        <f>IFERROR(INDEX('Tablero (To Do · Doing · Done)'!$F$6:$F$266,MATCH(206,'Tablero (To Do · Doing · Done)'!$S$6:$S$266,0))&amp;" · "&amp;INDEX('Tablero (To Do · Doing · Done)'!$G$6:$G$266,MATCH(206,'Tablero (To Do · Doing · Done)'!$S$6:$S$266,0)),"")</f>
        <v/>
      </c>
      <c r="E211" s="21">
        <f>IFERROR(INDEX('Tablero (To Do · Doing · Done)'!$B$6:$B$266,MATCH(206,'Tablero (To Do · Doing · Done)'!$T$6:$T$266,0)),"")</f>
        <v/>
      </c>
      <c r="F211" s="21">
        <f>IFERROR(INDEX('Tablero (To Do · Doing · Done)'!$F$6:$F$266,MATCH(206,'Tablero (To Do · Doing · Done)'!$T$6:$T$266,0))&amp;" · "&amp;INDEX('Tablero (To Do · Doing · Done)'!$G$6:$G$266,MATCH(206,'Tablero (To Do · Doing · Done)'!$T$6:$T$266,0)),"")</f>
        <v/>
      </c>
      <c r="H211" s="21">
        <f>IFERROR(INDEX('Tablero (To Do · Doing · Done)'!$B$6:$B$266,MATCH(206,'Tablero (To Do · Doing · Done)'!$U$6:$U$266,0)),"")</f>
        <v/>
      </c>
      <c r="I211" s="21">
        <f>IFERROR(INDEX('Tablero (To Do · Doing · Done)'!$F$6:$F$266,MATCH(206,'Tablero (To Do · Doing · Done)'!$U$6:$U$266,0))&amp;" · "&amp;INDEX('Tablero (To Do · Doing · Done)'!$G$6:$G$266,MATCH(206,'Tablero (To Do · Doing · Done)'!$U$6:$U$266,0)),"")</f>
        <v/>
      </c>
    </row>
    <row r="212">
      <c r="B212" s="21">
        <f>IFERROR(INDEX('Tablero (To Do · Doing · Done)'!$B$6:$B$266,MATCH(207,'Tablero (To Do · Doing · Done)'!$S$6:$S$266,0)),"")</f>
        <v/>
      </c>
      <c r="C212" s="21">
        <f>IFERROR(INDEX('Tablero (To Do · Doing · Done)'!$F$6:$F$266,MATCH(207,'Tablero (To Do · Doing · Done)'!$S$6:$S$266,0))&amp;" · "&amp;INDEX('Tablero (To Do · Doing · Done)'!$G$6:$G$266,MATCH(207,'Tablero (To Do · Doing · Done)'!$S$6:$S$266,0)),"")</f>
        <v/>
      </c>
      <c r="E212" s="21">
        <f>IFERROR(INDEX('Tablero (To Do · Doing · Done)'!$B$6:$B$266,MATCH(207,'Tablero (To Do · Doing · Done)'!$T$6:$T$266,0)),"")</f>
        <v/>
      </c>
      <c r="F212" s="21">
        <f>IFERROR(INDEX('Tablero (To Do · Doing · Done)'!$F$6:$F$266,MATCH(207,'Tablero (To Do · Doing · Done)'!$T$6:$T$266,0))&amp;" · "&amp;INDEX('Tablero (To Do · Doing · Done)'!$G$6:$G$266,MATCH(207,'Tablero (To Do · Doing · Done)'!$T$6:$T$266,0)),"")</f>
        <v/>
      </c>
      <c r="H212" s="21">
        <f>IFERROR(INDEX('Tablero (To Do · Doing · Done)'!$B$6:$B$266,MATCH(207,'Tablero (To Do · Doing · Done)'!$U$6:$U$266,0)),"")</f>
        <v/>
      </c>
      <c r="I212" s="21">
        <f>IFERROR(INDEX('Tablero (To Do · Doing · Done)'!$F$6:$F$266,MATCH(207,'Tablero (To Do · Doing · Done)'!$U$6:$U$266,0))&amp;" · "&amp;INDEX('Tablero (To Do · Doing · Done)'!$G$6:$G$266,MATCH(207,'Tablero (To Do · Doing · Done)'!$U$6:$U$266,0)),"")</f>
        <v/>
      </c>
    </row>
    <row r="213">
      <c r="B213" s="21">
        <f>IFERROR(INDEX('Tablero (To Do · Doing · Done)'!$B$6:$B$266,MATCH(208,'Tablero (To Do · Doing · Done)'!$S$6:$S$266,0)),"")</f>
        <v/>
      </c>
      <c r="C213" s="21">
        <f>IFERROR(INDEX('Tablero (To Do · Doing · Done)'!$F$6:$F$266,MATCH(208,'Tablero (To Do · Doing · Done)'!$S$6:$S$266,0))&amp;" · "&amp;INDEX('Tablero (To Do · Doing · Done)'!$G$6:$G$266,MATCH(208,'Tablero (To Do · Doing · Done)'!$S$6:$S$266,0)),"")</f>
        <v/>
      </c>
      <c r="E213" s="21">
        <f>IFERROR(INDEX('Tablero (To Do · Doing · Done)'!$B$6:$B$266,MATCH(208,'Tablero (To Do · Doing · Done)'!$T$6:$T$266,0)),"")</f>
        <v/>
      </c>
      <c r="F213" s="21">
        <f>IFERROR(INDEX('Tablero (To Do · Doing · Done)'!$F$6:$F$266,MATCH(208,'Tablero (To Do · Doing · Done)'!$T$6:$T$266,0))&amp;" · "&amp;INDEX('Tablero (To Do · Doing · Done)'!$G$6:$G$266,MATCH(208,'Tablero (To Do · Doing · Done)'!$T$6:$T$266,0)),"")</f>
        <v/>
      </c>
      <c r="H213" s="21">
        <f>IFERROR(INDEX('Tablero (To Do · Doing · Done)'!$B$6:$B$266,MATCH(208,'Tablero (To Do · Doing · Done)'!$U$6:$U$266,0)),"")</f>
        <v/>
      </c>
      <c r="I213" s="21">
        <f>IFERROR(INDEX('Tablero (To Do · Doing · Done)'!$F$6:$F$266,MATCH(208,'Tablero (To Do · Doing · Done)'!$U$6:$U$266,0))&amp;" · "&amp;INDEX('Tablero (To Do · Doing · Done)'!$G$6:$G$266,MATCH(208,'Tablero (To Do · Doing · Done)'!$U$6:$U$266,0)),"")</f>
        <v/>
      </c>
    </row>
    <row r="214">
      <c r="B214" s="21">
        <f>IFERROR(INDEX('Tablero (To Do · Doing · Done)'!$B$6:$B$266,MATCH(209,'Tablero (To Do · Doing · Done)'!$S$6:$S$266,0)),"")</f>
        <v/>
      </c>
      <c r="C214" s="21">
        <f>IFERROR(INDEX('Tablero (To Do · Doing · Done)'!$F$6:$F$266,MATCH(209,'Tablero (To Do · Doing · Done)'!$S$6:$S$266,0))&amp;" · "&amp;INDEX('Tablero (To Do · Doing · Done)'!$G$6:$G$266,MATCH(209,'Tablero (To Do · Doing · Done)'!$S$6:$S$266,0)),"")</f>
        <v/>
      </c>
      <c r="E214" s="21">
        <f>IFERROR(INDEX('Tablero (To Do · Doing · Done)'!$B$6:$B$266,MATCH(209,'Tablero (To Do · Doing · Done)'!$T$6:$T$266,0)),"")</f>
        <v/>
      </c>
      <c r="F214" s="21">
        <f>IFERROR(INDEX('Tablero (To Do · Doing · Done)'!$F$6:$F$266,MATCH(209,'Tablero (To Do · Doing · Done)'!$T$6:$T$266,0))&amp;" · "&amp;INDEX('Tablero (To Do · Doing · Done)'!$G$6:$G$266,MATCH(209,'Tablero (To Do · Doing · Done)'!$T$6:$T$266,0)),"")</f>
        <v/>
      </c>
      <c r="H214" s="21">
        <f>IFERROR(INDEX('Tablero (To Do · Doing · Done)'!$B$6:$B$266,MATCH(209,'Tablero (To Do · Doing · Done)'!$U$6:$U$266,0)),"")</f>
        <v/>
      </c>
      <c r="I214" s="21">
        <f>IFERROR(INDEX('Tablero (To Do · Doing · Done)'!$F$6:$F$266,MATCH(209,'Tablero (To Do · Doing · Done)'!$U$6:$U$266,0))&amp;" · "&amp;INDEX('Tablero (To Do · Doing · Done)'!$G$6:$G$266,MATCH(209,'Tablero (To Do · Doing · Done)'!$U$6:$U$266,0)),"")</f>
        <v/>
      </c>
    </row>
    <row r="215">
      <c r="B215" s="21">
        <f>IFERROR(INDEX('Tablero (To Do · Doing · Done)'!$B$6:$B$266,MATCH(210,'Tablero (To Do · Doing · Done)'!$S$6:$S$266,0)),"")</f>
        <v/>
      </c>
      <c r="C215" s="21">
        <f>IFERROR(INDEX('Tablero (To Do · Doing · Done)'!$F$6:$F$266,MATCH(210,'Tablero (To Do · Doing · Done)'!$S$6:$S$266,0))&amp;" · "&amp;INDEX('Tablero (To Do · Doing · Done)'!$G$6:$G$266,MATCH(210,'Tablero (To Do · Doing · Done)'!$S$6:$S$266,0)),"")</f>
        <v/>
      </c>
      <c r="E215" s="21">
        <f>IFERROR(INDEX('Tablero (To Do · Doing · Done)'!$B$6:$B$266,MATCH(210,'Tablero (To Do · Doing · Done)'!$T$6:$T$266,0)),"")</f>
        <v/>
      </c>
      <c r="F215" s="21">
        <f>IFERROR(INDEX('Tablero (To Do · Doing · Done)'!$F$6:$F$266,MATCH(210,'Tablero (To Do · Doing · Done)'!$T$6:$T$266,0))&amp;" · "&amp;INDEX('Tablero (To Do · Doing · Done)'!$G$6:$G$266,MATCH(210,'Tablero (To Do · Doing · Done)'!$T$6:$T$266,0)),"")</f>
        <v/>
      </c>
      <c r="H215" s="21">
        <f>IFERROR(INDEX('Tablero (To Do · Doing · Done)'!$B$6:$B$266,MATCH(210,'Tablero (To Do · Doing · Done)'!$U$6:$U$266,0)),"")</f>
        <v/>
      </c>
      <c r="I215" s="21">
        <f>IFERROR(INDEX('Tablero (To Do · Doing · Done)'!$F$6:$F$266,MATCH(210,'Tablero (To Do · Doing · Done)'!$U$6:$U$266,0))&amp;" · "&amp;INDEX('Tablero (To Do · Doing · Done)'!$G$6:$G$266,MATCH(210,'Tablero (To Do · Doing · Done)'!$U$6:$U$266,0)),"")</f>
        <v/>
      </c>
    </row>
    <row r="216">
      <c r="B216" s="21">
        <f>IFERROR(INDEX('Tablero (To Do · Doing · Done)'!$B$6:$B$266,MATCH(211,'Tablero (To Do · Doing · Done)'!$S$6:$S$266,0)),"")</f>
        <v/>
      </c>
      <c r="C216" s="21">
        <f>IFERROR(INDEX('Tablero (To Do · Doing · Done)'!$F$6:$F$266,MATCH(211,'Tablero (To Do · Doing · Done)'!$S$6:$S$266,0))&amp;" · "&amp;INDEX('Tablero (To Do · Doing · Done)'!$G$6:$G$266,MATCH(211,'Tablero (To Do · Doing · Done)'!$S$6:$S$266,0)),"")</f>
        <v/>
      </c>
      <c r="E216" s="21">
        <f>IFERROR(INDEX('Tablero (To Do · Doing · Done)'!$B$6:$B$266,MATCH(211,'Tablero (To Do · Doing · Done)'!$T$6:$T$266,0)),"")</f>
        <v/>
      </c>
      <c r="F216" s="21">
        <f>IFERROR(INDEX('Tablero (To Do · Doing · Done)'!$F$6:$F$266,MATCH(211,'Tablero (To Do · Doing · Done)'!$T$6:$T$266,0))&amp;" · "&amp;INDEX('Tablero (To Do · Doing · Done)'!$G$6:$G$266,MATCH(211,'Tablero (To Do · Doing · Done)'!$T$6:$T$266,0)),"")</f>
        <v/>
      </c>
      <c r="H216" s="21">
        <f>IFERROR(INDEX('Tablero (To Do · Doing · Done)'!$B$6:$B$266,MATCH(211,'Tablero (To Do · Doing · Done)'!$U$6:$U$266,0)),"")</f>
        <v/>
      </c>
      <c r="I216" s="21">
        <f>IFERROR(INDEX('Tablero (To Do · Doing · Done)'!$F$6:$F$266,MATCH(211,'Tablero (To Do · Doing · Done)'!$U$6:$U$266,0))&amp;" · "&amp;INDEX('Tablero (To Do · Doing · Done)'!$G$6:$G$266,MATCH(211,'Tablero (To Do · Doing · Done)'!$U$6:$U$266,0)),"")</f>
        <v/>
      </c>
    </row>
    <row r="217">
      <c r="B217" s="21">
        <f>IFERROR(INDEX('Tablero (To Do · Doing · Done)'!$B$6:$B$266,MATCH(212,'Tablero (To Do · Doing · Done)'!$S$6:$S$266,0)),"")</f>
        <v/>
      </c>
      <c r="C217" s="21">
        <f>IFERROR(INDEX('Tablero (To Do · Doing · Done)'!$F$6:$F$266,MATCH(212,'Tablero (To Do · Doing · Done)'!$S$6:$S$266,0))&amp;" · "&amp;INDEX('Tablero (To Do · Doing · Done)'!$G$6:$G$266,MATCH(212,'Tablero (To Do · Doing · Done)'!$S$6:$S$266,0)),"")</f>
        <v/>
      </c>
      <c r="E217" s="21">
        <f>IFERROR(INDEX('Tablero (To Do · Doing · Done)'!$B$6:$B$266,MATCH(212,'Tablero (To Do · Doing · Done)'!$T$6:$T$266,0)),"")</f>
        <v/>
      </c>
      <c r="F217" s="21">
        <f>IFERROR(INDEX('Tablero (To Do · Doing · Done)'!$F$6:$F$266,MATCH(212,'Tablero (To Do · Doing · Done)'!$T$6:$T$266,0))&amp;" · "&amp;INDEX('Tablero (To Do · Doing · Done)'!$G$6:$G$266,MATCH(212,'Tablero (To Do · Doing · Done)'!$T$6:$T$266,0)),"")</f>
        <v/>
      </c>
      <c r="H217" s="21">
        <f>IFERROR(INDEX('Tablero (To Do · Doing · Done)'!$B$6:$B$266,MATCH(212,'Tablero (To Do · Doing · Done)'!$U$6:$U$266,0)),"")</f>
        <v/>
      </c>
      <c r="I217" s="21">
        <f>IFERROR(INDEX('Tablero (To Do · Doing · Done)'!$F$6:$F$266,MATCH(212,'Tablero (To Do · Doing · Done)'!$U$6:$U$266,0))&amp;" · "&amp;INDEX('Tablero (To Do · Doing · Done)'!$G$6:$G$266,MATCH(212,'Tablero (To Do · Doing · Done)'!$U$6:$U$266,0)),"")</f>
        <v/>
      </c>
    </row>
    <row r="218">
      <c r="B218" s="21">
        <f>IFERROR(INDEX('Tablero (To Do · Doing · Done)'!$B$6:$B$266,MATCH(213,'Tablero (To Do · Doing · Done)'!$S$6:$S$266,0)),"")</f>
        <v/>
      </c>
      <c r="C218" s="21">
        <f>IFERROR(INDEX('Tablero (To Do · Doing · Done)'!$F$6:$F$266,MATCH(213,'Tablero (To Do · Doing · Done)'!$S$6:$S$266,0))&amp;" · "&amp;INDEX('Tablero (To Do · Doing · Done)'!$G$6:$G$266,MATCH(213,'Tablero (To Do · Doing · Done)'!$S$6:$S$266,0)),"")</f>
        <v/>
      </c>
      <c r="E218" s="21">
        <f>IFERROR(INDEX('Tablero (To Do · Doing · Done)'!$B$6:$B$266,MATCH(213,'Tablero (To Do · Doing · Done)'!$T$6:$T$266,0)),"")</f>
        <v/>
      </c>
      <c r="F218" s="21">
        <f>IFERROR(INDEX('Tablero (To Do · Doing · Done)'!$F$6:$F$266,MATCH(213,'Tablero (To Do · Doing · Done)'!$T$6:$T$266,0))&amp;" · "&amp;INDEX('Tablero (To Do · Doing · Done)'!$G$6:$G$266,MATCH(213,'Tablero (To Do · Doing · Done)'!$T$6:$T$266,0)),"")</f>
        <v/>
      </c>
      <c r="H218" s="21">
        <f>IFERROR(INDEX('Tablero (To Do · Doing · Done)'!$B$6:$B$266,MATCH(213,'Tablero (To Do · Doing · Done)'!$U$6:$U$266,0)),"")</f>
        <v/>
      </c>
      <c r="I218" s="21">
        <f>IFERROR(INDEX('Tablero (To Do · Doing · Done)'!$F$6:$F$266,MATCH(213,'Tablero (To Do · Doing · Done)'!$U$6:$U$266,0))&amp;" · "&amp;INDEX('Tablero (To Do · Doing · Done)'!$G$6:$G$266,MATCH(213,'Tablero (To Do · Doing · Done)'!$U$6:$U$266,0)),"")</f>
        <v/>
      </c>
    </row>
    <row r="219">
      <c r="B219" s="21">
        <f>IFERROR(INDEX('Tablero (To Do · Doing · Done)'!$B$6:$B$266,MATCH(214,'Tablero (To Do · Doing · Done)'!$S$6:$S$266,0)),"")</f>
        <v/>
      </c>
      <c r="C219" s="21">
        <f>IFERROR(INDEX('Tablero (To Do · Doing · Done)'!$F$6:$F$266,MATCH(214,'Tablero (To Do · Doing · Done)'!$S$6:$S$266,0))&amp;" · "&amp;INDEX('Tablero (To Do · Doing · Done)'!$G$6:$G$266,MATCH(214,'Tablero (To Do · Doing · Done)'!$S$6:$S$266,0)),"")</f>
        <v/>
      </c>
      <c r="E219" s="21">
        <f>IFERROR(INDEX('Tablero (To Do · Doing · Done)'!$B$6:$B$266,MATCH(214,'Tablero (To Do · Doing · Done)'!$T$6:$T$266,0)),"")</f>
        <v/>
      </c>
      <c r="F219" s="21">
        <f>IFERROR(INDEX('Tablero (To Do · Doing · Done)'!$F$6:$F$266,MATCH(214,'Tablero (To Do · Doing · Done)'!$T$6:$T$266,0))&amp;" · "&amp;INDEX('Tablero (To Do · Doing · Done)'!$G$6:$G$266,MATCH(214,'Tablero (To Do · Doing · Done)'!$T$6:$T$266,0)),"")</f>
        <v/>
      </c>
      <c r="H219" s="21">
        <f>IFERROR(INDEX('Tablero (To Do · Doing · Done)'!$B$6:$B$266,MATCH(214,'Tablero (To Do · Doing · Done)'!$U$6:$U$266,0)),"")</f>
        <v/>
      </c>
      <c r="I219" s="21">
        <f>IFERROR(INDEX('Tablero (To Do · Doing · Done)'!$F$6:$F$266,MATCH(214,'Tablero (To Do · Doing · Done)'!$U$6:$U$266,0))&amp;" · "&amp;INDEX('Tablero (To Do · Doing · Done)'!$G$6:$G$266,MATCH(214,'Tablero (To Do · Doing · Done)'!$U$6:$U$266,0)),"")</f>
        <v/>
      </c>
    </row>
    <row r="220">
      <c r="B220" s="21">
        <f>IFERROR(INDEX('Tablero (To Do · Doing · Done)'!$B$6:$B$266,MATCH(215,'Tablero (To Do · Doing · Done)'!$S$6:$S$266,0)),"")</f>
        <v/>
      </c>
      <c r="C220" s="21">
        <f>IFERROR(INDEX('Tablero (To Do · Doing · Done)'!$F$6:$F$266,MATCH(215,'Tablero (To Do · Doing · Done)'!$S$6:$S$266,0))&amp;" · "&amp;INDEX('Tablero (To Do · Doing · Done)'!$G$6:$G$266,MATCH(215,'Tablero (To Do · Doing · Done)'!$S$6:$S$266,0)),"")</f>
        <v/>
      </c>
      <c r="E220" s="21">
        <f>IFERROR(INDEX('Tablero (To Do · Doing · Done)'!$B$6:$B$266,MATCH(215,'Tablero (To Do · Doing · Done)'!$T$6:$T$266,0)),"")</f>
        <v/>
      </c>
      <c r="F220" s="21">
        <f>IFERROR(INDEX('Tablero (To Do · Doing · Done)'!$F$6:$F$266,MATCH(215,'Tablero (To Do · Doing · Done)'!$T$6:$T$266,0))&amp;" · "&amp;INDEX('Tablero (To Do · Doing · Done)'!$G$6:$G$266,MATCH(215,'Tablero (To Do · Doing · Done)'!$T$6:$T$266,0)),"")</f>
        <v/>
      </c>
      <c r="H220" s="21">
        <f>IFERROR(INDEX('Tablero (To Do · Doing · Done)'!$B$6:$B$266,MATCH(215,'Tablero (To Do · Doing · Done)'!$U$6:$U$266,0)),"")</f>
        <v/>
      </c>
      <c r="I220" s="21">
        <f>IFERROR(INDEX('Tablero (To Do · Doing · Done)'!$F$6:$F$266,MATCH(215,'Tablero (To Do · Doing · Done)'!$U$6:$U$266,0))&amp;" · "&amp;INDEX('Tablero (To Do · Doing · Done)'!$G$6:$G$266,MATCH(215,'Tablero (To Do · Doing · Done)'!$U$6:$U$266,0)),"")</f>
        <v/>
      </c>
    </row>
    <row r="221">
      <c r="B221" s="21">
        <f>IFERROR(INDEX('Tablero (To Do · Doing · Done)'!$B$6:$B$266,MATCH(216,'Tablero (To Do · Doing · Done)'!$S$6:$S$266,0)),"")</f>
        <v/>
      </c>
      <c r="C221" s="21">
        <f>IFERROR(INDEX('Tablero (To Do · Doing · Done)'!$F$6:$F$266,MATCH(216,'Tablero (To Do · Doing · Done)'!$S$6:$S$266,0))&amp;" · "&amp;INDEX('Tablero (To Do · Doing · Done)'!$G$6:$G$266,MATCH(216,'Tablero (To Do · Doing · Done)'!$S$6:$S$266,0)),"")</f>
        <v/>
      </c>
      <c r="E221" s="21">
        <f>IFERROR(INDEX('Tablero (To Do · Doing · Done)'!$B$6:$B$266,MATCH(216,'Tablero (To Do · Doing · Done)'!$T$6:$T$266,0)),"")</f>
        <v/>
      </c>
      <c r="F221" s="21">
        <f>IFERROR(INDEX('Tablero (To Do · Doing · Done)'!$F$6:$F$266,MATCH(216,'Tablero (To Do · Doing · Done)'!$T$6:$T$266,0))&amp;" · "&amp;INDEX('Tablero (To Do · Doing · Done)'!$G$6:$G$266,MATCH(216,'Tablero (To Do · Doing · Done)'!$T$6:$T$266,0)),"")</f>
        <v/>
      </c>
      <c r="H221" s="21">
        <f>IFERROR(INDEX('Tablero (To Do · Doing · Done)'!$B$6:$B$266,MATCH(216,'Tablero (To Do · Doing · Done)'!$U$6:$U$266,0)),"")</f>
        <v/>
      </c>
      <c r="I221" s="21">
        <f>IFERROR(INDEX('Tablero (To Do · Doing · Done)'!$F$6:$F$266,MATCH(216,'Tablero (To Do · Doing · Done)'!$U$6:$U$266,0))&amp;" · "&amp;INDEX('Tablero (To Do · Doing · Done)'!$G$6:$G$266,MATCH(216,'Tablero (To Do · Doing · Done)'!$U$6:$U$266,0)),"")</f>
        <v/>
      </c>
    </row>
    <row r="222">
      <c r="B222" s="21">
        <f>IFERROR(INDEX('Tablero (To Do · Doing · Done)'!$B$6:$B$266,MATCH(217,'Tablero (To Do · Doing · Done)'!$S$6:$S$266,0)),"")</f>
        <v/>
      </c>
      <c r="C222" s="21">
        <f>IFERROR(INDEX('Tablero (To Do · Doing · Done)'!$F$6:$F$266,MATCH(217,'Tablero (To Do · Doing · Done)'!$S$6:$S$266,0))&amp;" · "&amp;INDEX('Tablero (To Do · Doing · Done)'!$G$6:$G$266,MATCH(217,'Tablero (To Do · Doing · Done)'!$S$6:$S$266,0)),"")</f>
        <v/>
      </c>
      <c r="E222" s="21">
        <f>IFERROR(INDEX('Tablero (To Do · Doing · Done)'!$B$6:$B$266,MATCH(217,'Tablero (To Do · Doing · Done)'!$T$6:$T$266,0)),"")</f>
        <v/>
      </c>
      <c r="F222" s="21">
        <f>IFERROR(INDEX('Tablero (To Do · Doing · Done)'!$F$6:$F$266,MATCH(217,'Tablero (To Do · Doing · Done)'!$T$6:$T$266,0))&amp;" · "&amp;INDEX('Tablero (To Do · Doing · Done)'!$G$6:$G$266,MATCH(217,'Tablero (To Do · Doing · Done)'!$T$6:$T$266,0)),"")</f>
        <v/>
      </c>
      <c r="H222" s="21">
        <f>IFERROR(INDEX('Tablero (To Do · Doing · Done)'!$B$6:$B$266,MATCH(217,'Tablero (To Do · Doing · Done)'!$U$6:$U$266,0)),"")</f>
        <v/>
      </c>
      <c r="I222" s="21">
        <f>IFERROR(INDEX('Tablero (To Do · Doing · Done)'!$F$6:$F$266,MATCH(217,'Tablero (To Do · Doing · Done)'!$U$6:$U$266,0))&amp;" · "&amp;INDEX('Tablero (To Do · Doing · Done)'!$G$6:$G$266,MATCH(217,'Tablero (To Do · Doing · Done)'!$U$6:$U$266,0)),"")</f>
        <v/>
      </c>
    </row>
    <row r="223">
      <c r="B223" s="21">
        <f>IFERROR(INDEX('Tablero (To Do · Doing · Done)'!$B$6:$B$266,MATCH(218,'Tablero (To Do · Doing · Done)'!$S$6:$S$266,0)),"")</f>
        <v/>
      </c>
      <c r="C223" s="21">
        <f>IFERROR(INDEX('Tablero (To Do · Doing · Done)'!$F$6:$F$266,MATCH(218,'Tablero (To Do · Doing · Done)'!$S$6:$S$266,0))&amp;" · "&amp;INDEX('Tablero (To Do · Doing · Done)'!$G$6:$G$266,MATCH(218,'Tablero (To Do · Doing · Done)'!$S$6:$S$266,0)),"")</f>
        <v/>
      </c>
      <c r="E223" s="21">
        <f>IFERROR(INDEX('Tablero (To Do · Doing · Done)'!$B$6:$B$266,MATCH(218,'Tablero (To Do · Doing · Done)'!$T$6:$T$266,0)),"")</f>
        <v/>
      </c>
      <c r="F223" s="21">
        <f>IFERROR(INDEX('Tablero (To Do · Doing · Done)'!$F$6:$F$266,MATCH(218,'Tablero (To Do · Doing · Done)'!$T$6:$T$266,0))&amp;" · "&amp;INDEX('Tablero (To Do · Doing · Done)'!$G$6:$G$266,MATCH(218,'Tablero (To Do · Doing · Done)'!$T$6:$T$266,0)),"")</f>
        <v/>
      </c>
      <c r="H223" s="21">
        <f>IFERROR(INDEX('Tablero (To Do · Doing · Done)'!$B$6:$B$266,MATCH(218,'Tablero (To Do · Doing · Done)'!$U$6:$U$266,0)),"")</f>
        <v/>
      </c>
      <c r="I223" s="21">
        <f>IFERROR(INDEX('Tablero (To Do · Doing · Done)'!$F$6:$F$266,MATCH(218,'Tablero (To Do · Doing · Done)'!$U$6:$U$266,0))&amp;" · "&amp;INDEX('Tablero (To Do · Doing · Done)'!$G$6:$G$266,MATCH(218,'Tablero (To Do · Doing · Done)'!$U$6:$U$266,0)),"")</f>
        <v/>
      </c>
    </row>
    <row r="224">
      <c r="B224" s="21">
        <f>IFERROR(INDEX('Tablero (To Do · Doing · Done)'!$B$6:$B$266,MATCH(219,'Tablero (To Do · Doing · Done)'!$S$6:$S$266,0)),"")</f>
        <v/>
      </c>
      <c r="C224" s="21">
        <f>IFERROR(INDEX('Tablero (To Do · Doing · Done)'!$F$6:$F$266,MATCH(219,'Tablero (To Do · Doing · Done)'!$S$6:$S$266,0))&amp;" · "&amp;INDEX('Tablero (To Do · Doing · Done)'!$G$6:$G$266,MATCH(219,'Tablero (To Do · Doing · Done)'!$S$6:$S$266,0)),"")</f>
        <v/>
      </c>
      <c r="E224" s="21">
        <f>IFERROR(INDEX('Tablero (To Do · Doing · Done)'!$B$6:$B$266,MATCH(219,'Tablero (To Do · Doing · Done)'!$T$6:$T$266,0)),"")</f>
        <v/>
      </c>
      <c r="F224" s="21">
        <f>IFERROR(INDEX('Tablero (To Do · Doing · Done)'!$F$6:$F$266,MATCH(219,'Tablero (To Do · Doing · Done)'!$T$6:$T$266,0))&amp;" · "&amp;INDEX('Tablero (To Do · Doing · Done)'!$G$6:$G$266,MATCH(219,'Tablero (To Do · Doing · Done)'!$T$6:$T$266,0)),"")</f>
        <v/>
      </c>
      <c r="H224" s="21">
        <f>IFERROR(INDEX('Tablero (To Do · Doing · Done)'!$B$6:$B$266,MATCH(219,'Tablero (To Do · Doing · Done)'!$U$6:$U$266,0)),"")</f>
        <v/>
      </c>
      <c r="I224" s="21">
        <f>IFERROR(INDEX('Tablero (To Do · Doing · Done)'!$F$6:$F$266,MATCH(219,'Tablero (To Do · Doing · Done)'!$U$6:$U$266,0))&amp;" · "&amp;INDEX('Tablero (To Do · Doing · Done)'!$G$6:$G$266,MATCH(219,'Tablero (To Do · Doing · Done)'!$U$6:$U$266,0)),"")</f>
        <v/>
      </c>
    </row>
    <row r="225">
      <c r="B225" s="21">
        <f>IFERROR(INDEX('Tablero (To Do · Doing · Done)'!$B$6:$B$266,MATCH(220,'Tablero (To Do · Doing · Done)'!$S$6:$S$266,0)),"")</f>
        <v/>
      </c>
      <c r="C225" s="21">
        <f>IFERROR(INDEX('Tablero (To Do · Doing · Done)'!$F$6:$F$266,MATCH(220,'Tablero (To Do · Doing · Done)'!$S$6:$S$266,0))&amp;" · "&amp;INDEX('Tablero (To Do · Doing · Done)'!$G$6:$G$266,MATCH(220,'Tablero (To Do · Doing · Done)'!$S$6:$S$266,0)),"")</f>
        <v/>
      </c>
      <c r="E225" s="21">
        <f>IFERROR(INDEX('Tablero (To Do · Doing · Done)'!$B$6:$B$266,MATCH(220,'Tablero (To Do · Doing · Done)'!$T$6:$T$266,0)),"")</f>
        <v/>
      </c>
      <c r="F225" s="21">
        <f>IFERROR(INDEX('Tablero (To Do · Doing · Done)'!$F$6:$F$266,MATCH(220,'Tablero (To Do · Doing · Done)'!$T$6:$T$266,0))&amp;" · "&amp;INDEX('Tablero (To Do · Doing · Done)'!$G$6:$G$266,MATCH(220,'Tablero (To Do · Doing · Done)'!$T$6:$T$266,0)),"")</f>
        <v/>
      </c>
      <c r="H225" s="21">
        <f>IFERROR(INDEX('Tablero (To Do · Doing · Done)'!$B$6:$B$266,MATCH(220,'Tablero (To Do · Doing · Done)'!$U$6:$U$266,0)),"")</f>
        <v/>
      </c>
      <c r="I225" s="21">
        <f>IFERROR(INDEX('Tablero (To Do · Doing · Done)'!$F$6:$F$266,MATCH(220,'Tablero (To Do · Doing · Done)'!$U$6:$U$266,0))&amp;" · "&amp;INDEX('Tablero (To Do · Doing · Done)'!$G$6:$G$266,MATCH(220,'Tablero (To Do · Doing · Done)'!$U$6:$U$266,0)),"")</f>
        <v/>
      </c>
    </row>
    <row r="226">
      <c r="B226" s="21">
        <f>IFERROR(INDEX('Tablero (To Do · Doing · Done)'!$B$6:$B$266,MATCH(221,'Tablero (To Do · Doing · Done)'!$S$6:$S$266,0)),"")</f>
        <v/>
      </c>
      <c r="C226" s="21">
        <f>IFERROR(INDEX('Tablero (To Do · Doing · Done)'!$F$6:$F$266,MATCH(221,'Tablero (To Do · Doing · Done)'!$S$6:$S$266,0))&amp;" · "&amp;INDEX('Tablero (To Do · Doing · Done)'!$G$6:$G$266,MATCH(221,'Tablero (To Do · Doing · Done)'!$S$6:$S$266,0)),"")</f>
        <v/>
      </c>
      <c r="E226" s="21">
        <f>IFERROR(INDEX('Tablero (To Do · Doing · Done)'!$B$6:$B$266,MATCH(221,'Tablero (To Do · Doing · Done)'!$T$6:$T$266,0)),"")</f>
        <v/>
      </c>
      <c r="F226" s="21">
        <f>IFERROR(INDEX('Tablero (To Do · Doing · Done)'!$F$6:$F$266,MATCH(221,'Tablero (To Do · Doing · Done)'!$T$6:$T$266,0))&amp;" · "&amp;INDEX('Tablero (To Do · Doing · Done)'!$G$6:$G$266,MATCH(221,'Tablero (To Do · Doing · Done)'!$T$6:$T$266,0)),"")</f>
        <v/>
      </c>
      <c r="H226" s="21">
        <f>IFERROR(INDEX('Tablero (To Do · Doing · Done)'!$B$6:$B$266,MATCH(221,'Tablero (To Do · Doing · Done)'!$U$6:$U$266,0)),"")</f>
        <v/>
      </c>
      <c r="I226" s="21">
        <f>IFERROR(INDEX('Tablero (To Do · Doing · Done)'!$F$6:$F$266,MATCH(221,'Tablero (To Do · Doing · Done)'!$U$6:$U$266,0))&amp;" · "&amp;INDEX('Tablero (To Do · Doing · Done)'!$G$6:$G$266,MATCH(221,'Tablero (To Do · Doing · Done)'!$U$6:$U$266,0)),"")</f>
        <v/>
      </c>
    </row>
    <row r="227">
      <c r="B227" s="21">
        <f>IFERROR(INDEX('Tablero (To Do · Doing · Done)'!$B$6:$B$266,MATCH(222,'Tablero (To Do · Doing · Done)'!$S$6:$S$266,0)),"")</f>
        <v/>
      </c>
      <c r="C227" s="21">
        <f>IFERROR(INDEX('Tablero (To Do · Doing · Done)'!$F$6:$F$266,MATCH(222,'Tablero (To Do · Doing · Done)'!$S$6:$S$266,0))&amp;" · "&amp;INDEX('Tablero (To Do · Doing · Done)'!$G$6:$G$266,MATCH(222,'Tablero (To Do · Doing · Done)'!$S$6:$S$266,0)),"")</f>
        <v/>
      </c>
      <c r="E227" s="21">
        <f>IFERROR(INDEX('Tablero (To Do · Doing · Done)'!$B$6:$B$266,MATCH(222,'Tablero (To Do · Doing · Done)'!$T$6:$T$266,0)),"")</f>
        <v/>
      </c>
      <c r="F227" s="21">
        <f>IFERROR(INDEX('Tablero (To Do · Doing · Done)'!$F$6:$F$266,MATCH(222,'Tablero (To Do · Doing · Done)'!$T$6:$T$266,0))&amp;" · "&amp;INDEX('Tablero (To Do · Doing · Done)'!$G$6:$G$266,MATCH(222,'Tablero (To Do · Doing · Done)'!$T$6:$T$266,0)),"")</f>
        <v/>
      </c>
      <c r="H227" s="21">
        <f>IFERROR(INDEX('Tablero (To Do · Doing · Done)'!$B$6:$B$266,MATCH(222,'Tablero (To Do · Doing · Done)'!$U$6:$U$266,0)),"")</f>
        <v/>
      </c>
      <c r="I227" s="21">
        <f>IFERROR(INDEX('Tablero (To Do · Doing · Done)'!$F$6:$F$266,MATCH(222,'Tablero (To Do · Doing · Done)'!$U$6:$U$266,0))&amp;" · "&amp;INDEX('Tablero (To Do · Doing · Done)'!$G$6:$G$266,MATCH(222,'Tablero (To Do · Doing · Done)'!$U$6:$U$266,0)),"")</f>
        <v/>
      </c>
    </row>
    <row r="228">
      <c r="B228" s="21">
        <f>IFERROR(INDEX('Tablero (To Do · Doing · Done)'!$B$6:$B$266,MATCH(223,'Tablero (To Do · Doing · Done)'!$S$6:$S$266,0)),"")</f>
        <v/>
      </c>
      <c r="C228" s="21">
        <f>IFERROR(INDEX('Tablero (To Do · Doing · Done)'!$F$6:$F$266,MATCH(223,'Tablero (To Do · Doing · Done)'!$S$6:$S$266,0))&amp;" · "&amp;INDEX('Tablero (To Do · Doing · Done)'!$G$6:$G$266,MATCH(223,'Tablero (To Do · Doing · Done)'!$S$6:$S$266,0)),"")</f>
        <v/>
      </c>
      <c r="E228" s="21">
        <f>IFERROR(INDEX('Tablero (To Do · Doing · Done)'!$B$6:$B$266,MATCH(223,'Tablero (To Do · Doing · Done)'!$T$6:$T$266,0)),"")</f>
        <v/>
      </c>
      <c r="F228" s="21">
        <f>IFERROR(INDEX('Tablero (To Do · Doing · Done)'!$F$6:$F$266,MATCH(223,'Tablero (To Do · Doing · Done)'!$T$6:$T$266,0))&amp;" · "&amp;INDEX('Tablero (To Do · Doing · Done)'!$G$6:$G$266,MATCH(223,'Tablero (To Do · Doing · Done)'!$T$6:$T$266,0)),"")</f>
        <v/>
      </c>
      <c r="H228" s="21">
        <f>IFERROR(INDEX('Tablero (To Do · Doing · Done)'!$B$6:$B$266,MATCH(223,'Tablero (To Do · Doing · Done)'!$U$6:$U$266,0)),"")</f>
        <v/>
      </c>
      <c r="I228" s="21">
        <f>IFERROR(INDEX('Tablero (To Do · Doing · Done)'!$F$6:$F$266,MATCH(223,'Tablero (To Do · Doing · Done)'!$U$6:$U$266,0))&amp;" · "&amp;INDEX('Tablero (To Do · Doing · Done)'!$G$6:$G$266,MATCH(223,'Tablero (To Do · Doing · Done)'!$U$6:$U$266,0)),"")</f>
        <v/>
      </c>
    </row>
    <row r="229">
      <c r="B229" s="21">
        <f>IFERROR(INDEX('Tablero (To Do · Doing · Done)'!$B$6:$B$266,MATCH(224,'Tablero (To Do · Doing · Done)'!$S$6:$S$266,0)),"")</f>
        <v/>
      </c>
      <c r="C229" s="21">
        <f>IFERROR(INDEX('Tablero (To Do · Doing · Done)'!$F$6:$F$266,MATCH(224,'Tablero (To Do · Doing · Done)'!$S$6:$S$266,0))&amp;" · "&amp;INDEX('Tablero (To Do · Doing · Done)'!$G$6:$G$266,MATCH(224,'Tablero (To Do · Doing · Done)'!$S$6:$S$266,0)),"")</f>
        <v/>
      </c>
      <c r="E229" s="21">
        <f>IFERROR(INDEX('Tablero (To Do · Doing · Done)'!$B$6:$B$266,MATCH(224,'Tablero (To Do · Doing · Done)'!$T$6:$T$266,0)),"")</f>
        <v/>
      </c>
      <c r="F229" s="21">
        <f>IFERROR(INDEX('Tablero (To Do · Doing · Done)'!$F$6:$F$266,MATCH(224,'Tablero (To Do · Doing · Done)'!$T$6:$T$266,0))&amp;" · "&amp;INDEX('Tablero (To Do · Doing · Done)'!$G$6:$G$266,MATCH(224,'Tablero (To Do · Doing · Done)'!$T$6:$T$266,0)),"")</f>
        <v/>
      </c>
      <c r="H229" s="21">
        <f>IFERROR(INDEX('Tablero (To Do · Doing · Done)'!$B$6:$B$266,MATCH(224,'Tablero (To Do · Doing · Done)'!$U$6:$U$266,0)),"")</f>
        <v/>
      </c>
      <c r="I229" s="21">
        <f>IFERROR(INDEX('Tablero (To Do · Doing · Done)'!$F$6:$F$266,MATCH(224,'Tablero (To Do · Doing · Done)'!$U$6:$U$266,0))&amp;" · "&amp;INDEX('Tablero (To Do · Doing · Done)'!$G$6:$G$266,MATCH(224,'Tablero (To Do · Doing · Done)'!$U$6:$U$266,0)),"")</f>
        <v/>
      </c>
    </row>
    <row r="230">
      <c r="B230" s="21">
        <f>IFERROR(INDEX('Tablero (To Do · Doing · Done)'!$B$6:$B$266,MATCH(225,'Tablero (To Do · Doing · Done)'!$S$6:$S$266,0)),"")</f>
        <v/>
      </c>
      <c r="C230" s="21">
        <f>IFERROR(INDEX('Tablero (To Do · Doing · Done)'!$F$6:$F$266,MATCH(225,'Tablero (To Do · Doing · Done)'!$S$6:$S$266,0))&amp;" · "&amp;INDEX('Tablero (To Do · Doing · Done)'!$G$6:$G$266,MATCH(225,'Tablero (To Do · Doing · Done)'!$S$6:$S$266,0)),"")</f>
        <v/>
      </c>
      <c r="E230" s="21">
        <f>IFERROR(INDEX('Tablero (To Do · Doing · Done)'!$B$6:$B$266,MATCH(225,'Tablero (To Do · Doing · Done)'!$T$6:$T$266,0)),"")</f>
        <v/>
      </c>
      <c r="F230" s="21">
        <f>IFERROR(INDEX('Tablero (To Do · Doing · Done)'!$F$6:$F$266,MATCH(225,'Tablero (To Do · Doing · Done)'!$T$6:$T$266,0))&amp;" · "&amp;INDEX('Tablero (To Do · Doing · Done)'!$G$6:$G$266,MATCH(225,'Tablero (To Do · Doing · Done)'!$T$6:$T$266,0)),"")</f>
        <v/>
      </c>
      <c r="H230" s="21">
        <f>IFERROR(INDEX('Tablero (To Do · Doing · Done)'!$B$6:$B$266,MATCH(225,'Tablero (To Do · Doing · Done)'!$U$6:$U$266,0)),"")</f>
        <v/>
      </c>
      <c r="I230" s="21">
        <f>IFERROR(INDEX('Tablero (To Do · Doing · Done)'!$F$6:$F$266,MATCH(225,'Tablero (To Do · Doing · Done)'!$U$6:$U$266,0))&amp;" · "&amp;INDEX('Tablero (To Do · Doing · Done)'!$G$6:$G$266,MATCH(225,'Tablero (To Do · Doing · Done)'!$U$6:$U$266,0)),"")</f>
        <v/>
      </c>
    </row>
    <row r="231">
      <c r="B231" s="21">
        <f>IFERROR(INDEX('Tablero (To Do · Doing · Done)'!$B$6:$B$266,MATCH(226,'Tablero (To Do · Doing · Done)'!$S$6:$S$266,0)),"")</f>
        <v/>
      </c>
      <c r="C231" s="21">
        <f>IFERROR(INDEX('Tablero (To Do · Doing · Done)'!$F$6:$F$266,MATCH(226,'Tablero (To Do · Doing · Done)'!$S$6:$S$266,0))&amp;" · "&amp;INDEX('Tablero (To Do · Doing · Done)'!$G$6:$G$266,MATCH(226,'Tablero (To Do · Doing · Done)'!$S$6:$S$266,0)),"")</f>
        <v/>
      </c>
      <c r="E231" s="21">
        <f>IFERROR(INDEX('Tablero (To Do · Doing · Done)'!$B$6:$B$266,MATCH(226,'Tablero (To Do · Doing · Done)'!$T$6:$T$266,0)),"")</f>
        <v/>
      </c>
      <c r="F231" s="21">
        <f>IFERROR(INDEX('Tablero (To Do · Doing · Done)'!$F$6:$F$266,MATCH(226,'Tablero (To Do · Doing · Done)'!$T$6:$T$266,0))&amp;" · "&amp;INDEX('Tablero (To Do · Doing · Done)'!$G$6:$G$266,MATCH(226,'Tablero (To Do · Doing · Done)'!$T$6:$T$266,0)),"")</f>
        <v/>
      </c>
      <c r="H231" s="21">
        <f>IFERROR(INDEX('Tablero (To Do · Doing · Done)'!$B$6:$B$266,MATCH(226,'Tablero (To Do · Doing · Done)'!$U$6:$U$266,0)),"")</f>
        <v/>
      </c>
      <c r="I231" s="21">
        <f>IFERROR(INDEX('Tablero (To Do · Doing · Done)'!$F$6:$F$266,MATCH(226,'Tablero (To Do · Doing · Done)'!$U$6:$U$266,0))&amp;" · "&amp;INDEX('Tablero (To Do · Doing · Done)'!$G$6:$G$266,MATCH(226,'Tablero (To Do · Doing · Done)'!$U$6:$U$266,0)),"")</f>
        <v/>
      </c>
    </row>
    <row r="232">
      <c r="B232" s="21">
        <f>IFERROR(INDEX('Tablero (To Do · Doing · Done)'!$B$6:$B$266,MATCH(227,'Tablero (To Do · Doing · Done)'!$S$6:$S$266,0)),"")</f>
        <v/>
      </c>
      <c r="C232" s="21">
        <f>IFERROR(INDEX('Tablero (To Do · Doing · Done)'!$F$6:$F$266,MATCH(227,'Tablero (To Do · Doing · Done)'!$S$6:$S$266,0))&amp;" · "&amp;INDEX('Tablero (To Do · Doing · Done)'!$G$6:$G$266,MATCH(227,'Tablero (To Do · Doing · Done)'!$S$6:$S$266,0)),"")</f>
        <v/>
      </c>
      <c r="E232" s="21">
        <f>IFERROR(INDEX('Tablero (To Do · Doing · Done)'!$B$6:$B$266,MATCH(227,'Tablero (To Do · Doing · Done)'!$T$6:$T$266,0)),"")</f>
        <v/>
      </c>
      <c r="F232" s="21">
        <f>IFERROR(INDEX('Tablero (To Do · Doing · Done)'!$F$6:$F$266,MATCH(227,'Tablero (To Do · Doing · Done)'!$T$6:$T$266,0))&amp;" · "&amp;INDEX('Tablero (To Do · Doing · Done)'!$G$6:$G$266,MATCH(227,'Tablero (To Do · Doing · Done)'!$T$6:$T$266,0)),"")</f>
        <v/>
      </c>
      <c r="H232" s="21">
        <f>IFERROR(INDEX('Tablero (To Do · Doing · Done)'!$B$6:$B$266,MATCH(227,'Tablero (To Do · Doing · Done)'!$U$6:$U$266,0)),"")</f>
        <v/>
      </c>
      <c r="I232" s="21">
        <f>IFERROR(INDEX('Tablero (To Do · Doing · Done)'!$F$6:$F$266,MATCH(227,'Tablero (To Do · Doing · Done)'!$U$6:$U$266,0))&amp;" · "&amp;INDEX('Tablero (To Do · Doing · Done)'!$G$6:$G$266,MATCH(227,'Tablero (To Do · Doing · Done)'!$U$6:$U$266,0)),"")</f>
        <v/>
      </c>
    </row>
    <row r="233">
      <c r="B233" s="21">
        <f>IFERROR(INDEX('Tablero (To Do · Doing · Done)'!$B$6:$B$266,MATCH(228,'Tablero (To Do · Doing · Done)'!$S$6:$S$266,0)),"")</f>
        <v/>
      </c>
      <c r="C233" s="21">
        <f>IFERROR(INDEX('Tablero (To Do · Doing · Done)'!$F$6:$F$266,MATCH(228,'Tablero (To Do · Doing · Done)'!$S$6:$S$266,0))&amp;" · "&amp;INDEX('Tablero (To Do · Doing · Done)'!$G$6:$G$266,MATCH(228,'Tablero (To Do · Doing · Done)'!$S$6:$S$266,0)),"")</f>
        <v/>
      </c>
      <c r="E233" s="21">
        <f>IFERROR(INDEX('Tablero (To Do · Doing · Done)'!$B$6:$B$266,MATCH(228,'Tablero (To Do · Doing · Done)'!$T$6:$T$266,0)),"")</f>
        <v/>
      </c>
      <c r="F233" s="21">
        <f>IFERROR(INDEX('Tablero (To Do · Doing · Done)'!$F$6:$F$266,MATCH(228,'Tablero (To Do · Doing · Done)'!$T$6:$T$266,0))&amp;" · "&amp;INDEX('Tablero (To Do · Doing · Done)'!$G$6:$G$266,MATCH(228,'Tablero (To Do · Doing · Done)'!$T$6:$T$266,0)),"")</f>
        <v/>
      </c>
      <c r="H233" s="21">
        <f>IFERROR(INDEX('Tablero (To Do · Doing · Done)'!$B$6:$B$266,MATCH(228,'Tablero (To Do · Doing · Done)'!$U$6:$U$266,0)),"")</f>
        <v/>
      </c>
      <c r="I233" s="21">
        <f>IFERROR(INDEX('Tablero (To Do · Doing · Done)'!$F$6:$F$266,MATCH(228,'Tablero (To Do · Doing · Done)'!$U$6:$U$266,0))&amp;" · "&amp;INDEX('Tablero (To Do · Doing · Done)'!$G$6:$G$266,MATCH(228,'Tablero (To Do · Doing · Done)'!$U$6:$U$266,0)),"")</f>
        <v/>
      </c>
    </row>
    <row r="234">
      <c r="B234" s="21">
        <f>IFERROR(INDEX('Tablero (To Do · Doing · Done)'!$B$6:$B$266,MATCH(229,'Tablero (To Do · Doing · Done)'!$S$6:$S$266,0)),"")</f>
        <v/>
      </c>
      <c r="C234" s="21">
        <f>IFERROR(INDEX('Tablero (To Do · Doing · Done)'!$F$6:$F$266,MATCH(229,'Tablero (To Do · Doing · Done)'!$S$6:$S$266,0))&amp;" · "&amp;INDEX('Tablero (To Do · Doing · Done)'!$G$6:$G$266,MATCH(229,'Tablero (To Do · Doing · Done)'!$S$6:$S$266,0)),"")</f>
        <v/>
      </c>
      <c r="E234" s="21">
        <f>IFERROR(INDEX('Tablero (To Do · Doing · Done)'!$B$6:$B$266,MATCH(229,'Tablero (To Do · Doing · Done)'!$T$6:$T$266,0)),"")</f>
        <v/>
      </c>
      <c r="F234" s="21">
        <f>IFERROR(INDEX('Tablero (To Do · Doing · Done)'!$F$6:$F$266,MATCH(229,'Tablero (To Do · Doing · Done)'!$T$6:$T$266,0))&amp;" · "&amp;INDEX('Tablero (To Do · Doing · Done)'!$G$6:$G$266,MATCH(229,'Tablero (To Do · Doing · Done)'!$T$6:$T$266,0)),"")</f>
        <v/>
      </c>
      <c r="H234" s="21">
        <f>IFERROR(INDEX('Tablero (To Do · Doing · Done)'!$B$6:$B$266,MATCH(229,'Tablero (To Do · Doing · Done)'!$U$6:$U$266,0)),"")</f>
        <v/>
      </c>
      <c r="I234" s="21">
        <f>IFERROR(INDEX('Tablero (To Do · Doing · Done)'!$F$6:$F$266,MATCH(229,'Tablero (To Do · Doing · Done)'!$U$6:$U$266,0))&amp;" · "&amp;INDEX('Tablero (To Do · Doing · Done)'!$G$6:$G$266,MATCH(229,'Tablero (To Do · Doing · Done)'!$U$6:$U$266,0)),"")</f>
        <v/>
      </c>
    </row>
    <row r="235">
      <c r="B235" s="21">
        <f>IFERROR(INDEX('Tablero (To Do · Doing · Done)'!$B$6:$B$266,MATCH(230,'Tablero (To Do · Doing · Done)'!$S$6:$S$266,0)),"")</f>
        <v/>
      </c>
      <c r="C235" s="21">
        <f>IFERROR(INDEX('Tablero (To Do · Doing · Done)'!$F$6:$F$266,MATCH(230,'Tablero (To Do · Doing · Done)'!$S$6:$S$266,0))&amp;" · "&amp;INDEX('Tablero (To Do · Doing · Done)'!$G$6:$G$266,MATCH(230,'Tablero (To Do · Doing · Done)'!$S$6:$S$266,0)),"")</f>
        <v/>
      </c>
      <c r="E235" s="21">
        <f>IFERROR(INDEX('Tablero (To Do · Doing · Done)'!$B$6:$B$266,MATCH(230,'Tablero (To Do · Doing · Done)'!$T$6:$T$266,0)),"")</f>
        <v/>
      </c>
      <c r="F235" s="21">
        <f>IFERROR(INDEX('Tablero (To Do · Doing · Done)'!$F$6:$F$266,MATCH(230,'Tablero (To Do · Doing · Done)'!$T$6:$T$266,0))&amp;" · "&amp;INDEX('Tablero (To Do · Doing · Done)'!$G$6:$G$266,MATCH(230,'Tablero (To Do · Doing · Done)'!$T$6:$T$266,0)),"")</f>
        <v/>
      </c>
      <c r="H235" s="21">
        <f>IFERROR(INDEX('Tablero (To Do · Doing · Done)'!$B$6:$B$266,MATCH(230,'Tablero (To Do · Doing · Done)'!$U$6:$U$266,0)),"")</f>
        <v/>
      </c>
      <c r="I235" s="21">
        <f>IFERROR(INDEX('Tablero (To Do · Doing · Done)'!$F$6:$F$266,MATCH(230,'Tablero (To Do · Doing · Done)'!$U$6:$U$266,0))&amp;" · "&amp;INDEX('Tablero (To Do · Doing · Done)'!$G$6:$G$266,MATCH(230,'Tablero (To Do · Doing · Done)'!$U$6:$U$266,0)),"")</f>
        <v/>
      </c>
    </row>
    <row r="236">
      <c r="B236" s="21">
        <f>IFERROR(INDEX('Tablero (To Do · Doing · Done)'!$B$6:$B$266,MATCH(231,'Tablero (To Do · Doing · Done)'!$S$6:$S$266,0)),"")</f>
        <v/>
      </c>
      <c r="C236" s="21">
        <f>IFERROR(INDEX('Tablero (To Do · Doing · Done)'!$F$6:$F$266,MATCH(231,'Tablero (To Do · Doing · Done)'!$S$6:$S$266,0))&amp;" · "&amp;INDEX('Tablero (To Do · Doing · Done)'!$G$6:$G$266,MATCH(231,'Tablero (To Do · Doing · Done)'!$S$6:$S$266,0)),"")</f>
        <v/>
      </c>
      <c r="E236" s="21">
        <f>IFERROR(INDEX('Tablero (To Do · Doing · Done)'!$B$6:$B$266,MATCH(231,'Tablero (To Do · Doing · Done)'!$T$6:$T$266,0)),"")</f>
        <v/>
      </c>
      <c r="F236" s="21">
        <f>IFERROR(INDEX('Tablero (To Do · Doing · Done)'!$F$6:$F$266,MATCH(231,'Tablero (To Do · Doing · Done)'!$T$6:$T$266,0))&amp;" · "&amp;INDEX('Tablero (To Do · Doing · Done)'!$G$6:$G$266,MATCH(231,'Tablero (To Do · Doing · Done)'!$T$6:$T$266,0)),"")</f>
        <v/>
      </c>
      <c r="H236" s="21">
        <f>IFERROR(INDEX('Tablero (To Do · Doing · Done)'!$B$6:$B$266,MATCH(231,'Tablero (To Do · Doing · Done)'!$U$6:$U$266,0)),"")</f>
        <v/>
      </c>
      <c r="I236" s="21">
        <f>IFERROR(INDEX('Tablero (To Do · Doing · Done)'!$F$6:$F$266,MATCH(231,'Tablero (To Do · Doing · Done)'!$U$6:$U$266,0))&amp;" · "&amp;INDEX('Tablero (To Do · Doing · Done)'!$G$6:$G$266,MATCH(231,'Tablero (To Do · Doing · Done)'!$U$6:$U$266,0)),"")</f>
        <v/>
      </c>
    </row>
    <row r="237">
      <c r="B237" s="21">
        <f>IFERROR(INDEX('Tablero (To Do · Doing · Done)'!$B$6:$B$266,MATCH(232,'Tablero (To Do · Doing · Done)'!$S$6:$S$266,0)),"")</f>
        <v/>
      </c>
      <c r="C237" s="21">
        <f>IFERROR(INDEX('Tablero (To Do · Doing · Done)'!$F$6:$F$266,MATCH(232,'Tablero (To Do · Doing · Done)'!$S$6:$S$266,0))&amp;" · "&amp;INDEX('Tablero (To Do · Doing · Done)'!$G$6:$G$266,MATCH(232,'Tablero (To Do · Doing · Done)'!$S$6:$S$266,0)),"")</f>
        <v/>
      </c>
      <c r="E237" s="21">
        <f>IFERROR(INDEX('Tablero (To Do · Doing · Done)'!$B$6:$B$266,MATCH(232,'Tablero (To Do · Doing · Done)'!$T$6:$T$266,0)),"")</f>
        <v/>
      </c>
      <c r="F237" s="21">
        <f>IFERROR(INDEX('Tablero (To Do · Doing · Done)'!$F$6:$F$266,MATCH(232,'Tablero (To Do · Doing · Done)'!$T$6:$T$266,0))&amp;" · "&amp;INDEX('Tablero (To Do · Doing · Done)'!$G$6:$G$266,MATCH(232,'Tablero (To Do · Doing · Done)'!$T$6:$T$266,0)),"")</f>
        <v/>
      </c>
      <c r="H237" s="21">
        <f>IFERROR(INDEX('Tablero (To Do · Doing · Done)'!$B$6:$B$266,MATCH(232,'Tablero (To Do · Doing · Done)'!$U$6:$U$266,0)),"")</f>
        <v/>
      </c>
      <c r="I237" s="21">
        <f>IFERROR(INDEX('Tablero (To Do · Doing · Done)'!$F$6:$F$266,MATCH(232,'Tablero (To Do · Doing · Done)'!$U$6:$U$266,0))&amp;" · "&amp;INDEX('Tablero (To Do · Doing · Done)'!$G$6:$G$266,MATCH(232,'Tablero (To Do · Doing · Done)'!$U$6:$U$266,0)),"")</f>
        <v/>
      </c>
    </row>
    <row r="238">
      <c r="B238" s="21">
        <f>IFERROR(INDEX('Tablero (To Do · Doing · Done)'!$B$6:$B$266,MATCH(233,'Tablero (To Do · Doing · Done)'!$S$6:$S$266,0)),"")</f>
        <v/>
      </c>
      <c r="C238" s="21">
        <f>IFERROR(INDEX('Tablero (To Do · Doing · Done)'!$F$6:$F$266,MATCH(233,'Tablero (To Do · Doing · Done)'!$S$6:$S$266,0))&amp;" · "&amp;INDEX('Tablero (To Do · Doing · Done)'!$G$6:$G$266,MATCH(233,'Tablero (To Do · Doing · Done)'!$S$6:$S$266,0)),"")</f>
        <v/>
      </c>
      <c r="E238" s="21">
        <f>IFERROR(INDEX('Tablero (To Do · Doing · Done)'!$B$6:$B$266,MATCH(233,'Tablero (To Do · Doing · Done)'!$T$6:$T$266,0)),"")</f>
        <v/>
      </c>
      <c r="F238" s="21">
        <f>IFERROR(INDEX('Tablero (To Do · Doing · Done)'!$F$6:$F$266,MATCH(233,'Tablero (To Do · Doing · Done)'!$T$6:$T$266,0))&amp;" · "&amp;INDEX('Tablero (To Do · Doing · Done)'!$G$6:$G$266,MATCH(233,'Tablero (To Do · Doing · Done)'!$T$6:$T$266,0)),"")</f>
        <v/>
      </c>
      <c r="H238" s="21">
        <f>IFERROR(INDEX('Tablero (To Do · Doing · Done)'!$B$6:$B$266,MATCH(233,'Tablero (To Do · Doing · Done)'!$U$6:$U$266,0)),"")</f>
        <v/>
      </c>
      <c r="I238" s="21">
        <f>IFERROR(INDEX('Tablero (To Do · Doing · Done)'!$F$6:$F$266,MATCH(233,'Tablero (To Do · Doing · Done)'!$U$6:$U$266,0))&amp;" · "&amp;INDEX('Tablero (To Do · Doing · Done)'!$G$6:$G$266,MATCH(233,'Tablero (To Do · Doing · Done)'!$U$6:$U$266,0)),"")</f>
        <v/>
      </c>
    </row>
    <row r="239">
      <c r="B239" s="21">
        <f>IFERROR(INDEX('Tablero (To Do · Doing · Done)'!$B$6:$B$266,MATCH(234,'Tablero (To Do · Doing · Done)'!$S$6:$S$266,0)),"")</f>
        <v/>
      </c>
      <c r="C239" s="21">
        <f>IFERROR(INDEX('Tablero (To Do · Doing · Done)'!$F$6:$F$266,MATCH(234,'Tablero (To Do · Doing · Done)'!$S$6:$S$266,0))&amp;" · "&amp;INDEX('Tablero (To Do · Doing · Done)'!$G$6:$G$266,MATCH(234,'Tablero (To Do · Doing · Done)'!$S$6:$S$266,0)),"")</f>
        <v/>
      </c>
      <c r="E239" s="21">
        <f>IFERROR(INDEX('Tablero (To Do · Doing · Done)'!$B$6:$B$266,MATCH(234,'Tablero (To Do · Doing · Done)'!$T$6:$T$266,0)),"")</f>
        <v/>
      </c>
      <c r="F239" s="21">
        <f>IFERROR(INDEX('Tablero (To Do · Doing · Done)'!$F$6:$F$266,MATCH(234,'Tablero (To Do · Doing · Done)'!$T$6:$T$266,0))&amp;" · "&amp;INDEX('Tablero (To Do · Doing · Done)'!$G$6:$G$266,MATCH(234,'Tablero (To Do · Doing · Done)'!$T$6:$T$266,0)),"")</f>
        <v/>
      </c>
      <c r="H239" s="21">
        <f>IFERROR(INDEX('Tablero (To Do · Doing · Done)'!$B$6:$B$266,MATCH(234,'Tablero (To Do · Doing · Done)'!$U$6:$U$266,0)),"")</f>
        <v/>
      </c>
      <c r="I239" s="21">
        <f>IFERROR(INDEX('Tablero (To Do · Doing · Done)'!$F$6:$F$266,MATCH(234,'Tablero (To Do · Doing · Done)'!$U$6:$U$266,0))&amp;" · "&amp;INDEX('Tablero (To Do · Doing · Done)'!$G$6:$G$266,MATCH(234,'Tablero (To Do · Doing · Done)'!$U$6:$U$266,0)),"")</f>
        <v/>
      </c>
    </row>
    <row r="240">
      <c r="B240" s="21">
        <f>IFERROR(INDEX('Tablero (To Do · Doing · Done)'!$B$6:$B$266,MATCH(235,'Tablero (To Do · Doing · Done)'!$S$6:$S$266,0)),"")</f>
        <v/>
      </c>
      <c r="C240" s="21">
        <f>IFERROR(INDEX('Tablero (To Do · Doing · Done)'!$F$6:$F$266,MATCH(235,'Tablero (To Do · Doing · Done)'!$S$6:$S$266,0))&amp;" · "&amp;INDEX('Tablero (To Do · Doing · Done)'!$G$6:$G$266,MATCH(235,'Tablero (To Do · Doing · Done)'!$S$6:$S$266,0)),"")</f>
        <v/>
      </c>
      <c r="E240" s="21">
        <f>IFERROR(INDEX('Tablero (To Do · Doing · Done)'!$B$6:$B$266,MATCH(235,'Tablero (To Do · Doing · Done)'!$T$6:$T$266,0)),"")</f>
        <v/>
      </c>
      <c r="F240" s="21">
        <f>IFERROR(INDEX('Tablero (To Do · Doing · Done)'!$F$6:$F$266,MATCH(235,'Tablero (To Do · Doing · Done)'!$T$6:$T$266,0))&amp;" · "&amp;INDEX('Tablero (To Do · Doing · Done)'!$G$6:$G$266,MATCH(235,'Tablero (To Do · Doing · Done)'!$T$6:$T$266,0)),"")</f>
        <v/>
      </c>
      <c r="H240" s="21">
        <f>IFERROR(INDEX('Tablero (To Do · Doing · Done)'!$B$6:$B$266,MATCH(235,'Tablero (To Do · Doing · Done)'!$U$6:$U$266,0)),"")</f>
        <v/>
      </c>
      <c r="I240" s="21">
        <f>IFERROR(INDEX('Tablero (To Do · Doing · Done)'!$F$6:$F$266,MATCH(235,'Tablero (To Do · Doing · Done)'!$U$6:$U$266,0))&amp;" · "&amp;INDEX('Tablero (To Do · Doing · Done)'!$G$6:$G$266,MATCH(235,'Tablero (To Do · Doing · Done)'!$U$6:$U$266,0)),"")</f>
        <v/>
      </c>
    </row>
    <row r="241">
      <c r="B241" s="21">
        <f>IFERROR(INDEX('Tablero (To Do · Doing · Done)'!$B$6:$B$266,MATCH(236,'Tablero (To Do · Doing · Done)'!$S$6:$S$266,0)),"")</f>
        <v/>
      </c>
      <c r="C241" s="21">
        <f>IFERROR(INDEX('Tablero (To Do · Doing · Done)'!$F$6:$F$266,MATCH(236,'Tablero (To Do · Doing · Done)'!$S$6:$S$266,0))&amp;" · "&amp;INDEX('Tablero (To Do · Doing · Done)'!$G$6:$G$266,MATCH(236,'Tablero (To Do · Doing · Done)'!$S$6:$S$266,0)),"")</f>
        <v/>
      </c>
      <c r="E241" s="21">
        <f>IFERROR(INDEX('Tablero (To Do · Doing · Done)'!$B$6:$B$266,MATCH(236,'Tablero (To Do · Doing · Done)'!$T$6:$T$266,0)),"")</f>
        <v/>
      </c>
      <c r="F241" s="21">
        <f>IFERROR(INDEX('Tablero (To Do · Doing · Done)'!$F$6:$F$266,MATCH(236,'Tablero (To Do · Doing · Done)'!$T$6:$T$266,0))&amp;" · "&amp;INDEX('Tablero (To Do · Doing · Done)'!$G$6:$G$266,MATCH(236,'Tablero (To Do · Doing · Done)'!$T$6:$T$266,0)),"")</f>
        <v/>
      </c>
      <c r="H241" s="21">
        <f>IFERROR(INDEX('Tablero (To Do · Doing · Done)'!$B$6:$B$266,MATCH(236,'Tablero (To Do · Doing · Done)'!$U$6:$U$266,0)),"")</f>
        <v/>
      </c>
      <c r="I241" s="21">
        <f>IFERROR(INDEX('Tablero (To Do · Doing · Done)'!$F$6:$F$266,MATCH(236,'Tablero (To Do · Doing · Done)'!$U$6:$U$266,0))&amp;" · "&amp;INDEX('Tablero (To Do · Doing · Done)'!$G$6:$G$266,MATCH(236,'Tablero (To Do · Doing · Done)'!$U$6:$U$266,0)),"")</f>
        <v/>
      </c>
    </row>
    <row r="242">
      <c r="B242" s="21">
        <f>IFERROR(INDEX('Tablero (To Do · Doing · Done)'!$B$6:$B$266,MATCH(237,'Tablero (To Do · Doing · Done)'!$S$6:$S$266,0)),"")</f>
        <v/>
      </c>
      <c r="C242" s="21">
        <f>IFERROR(INDEX('Tablero (To Do · Doing · Done)'!$F$6:$F$266,MATCH(237,'Tablero (To Do · Doing · Done)'!$S$6:$S$266,0))&amp;" · "&amp;INDEX('Tablero (To Do · Doing · Done)'!$G$6:$G$266,MATCH(237,'Tablero (To Do · Doing · Done)'!$S$6:$S$266,0)),"")</f>
        <v/>
      </c>
      <c r="E242" s="21">
        <f>IFERROR(INDEX('Tablero (To Do · Doing · Done)'!$B$6:$B$266,MATCH(237,'Tablero (To Do · Doing · Done)'!$T$6:$T$266,0)),"")</f>
        <v/>
      </c>
      <c r="F242" s="21">
        <f>IFERROR(INDEX('Tablero (To Do · Doing · Done)'!$F$6:$F$266,MATCH(237,'Tablero (To Do · Doing · Done)'!$T$6:$T$266,0))&amp;" · "&amp;INDEX('Tablero (To Do · Doing · Done)'!$G$6:$G$266,MATCH(237,'Tablero (To Do · Doing · Done)'!$T$6:$T$266,0)),"")</f>
        <v/>
      </c>
      <c r="H242" s="21">
        <f>IFERROR(INDEX('Tablero (To Do · Doing · Done)'!$B$6:$B$266,MATCH(237,'Tablero (To Do · Doing · Done)'!$U$6:$U$266,0)),"")</f>
        <v/>
      </c>
      <c r="I242" s="21">
        <f>IFERROR(INDEX('Tablero (To Do · Doing · Done)'!$F$6:$F$266,MATCH(237,'Tablero (To Do · Doing · Done)'!$U$6:$U$266,0))&amp;" · "&amp;INDEX('Tablero (To Do · Doing · Done)'!$G$6:$G$266,MATCH(237,'Tablero (To Do · Doing · Done)'!$U$6:$U$266,0)),"")</f>
        <v/>
      </c>
    </row>
    <row r="243">
      <c r="B243" s="21">
        <f>IFERROR(INDEX('Tablero (To Do · Doing · Done)'!$B$6:$B$266,MATCH(238,'Tablero (To Do · Doing · Done)'!$S$6:$S$266,0)),"")</f>
        <v/>
      </c>
      <c r="C243" s="21">
        <f>IFERROR(INDEX('Tablero (To Do · Doing · Done)'!$F$6:$F$266,MATCH(238,'Tablero (To Do · Doing · Done)'!$S$6:$S$266,0))&amp;" · "&amp;INDEX('Tablero (To Do · Doing · Done)'!$G$6:$G$266,MATCH(238,'Tablero (To Do · Doing · Done)'!$S$6:$S$266,0)),"")</f>
        <v/>
      </c>
      <c r="E243" s="21">
        <f>IFERROR(INDEX('Tablero (To Do · Doing · Done)'!$B$6:$B$266,MATCH(238,'Tablero (To Do · Doing · Done)'!$T$6:$T$266,0)),"")</f>
        <v/>
      </c>
      <c r="F243" s="21">
        <f>IFERROR(INDEX('Tablero (To Do · Doing · Done)'!$F$6:$F$266,MATCH(238,'Tablero (To Do · Doing · Done)'!$T$6:$T$266,0))&amp;" · "&amp;INDEX('Tablero (To Do · Doing · Done)'!$G$6:$G$266,MATCH(238,'Tablero (To Do · Doing · Done)'!$T$6:$T$266,0)),"")</f>
        <v/>
      </c>
      <c r="H243" s="21">
        <f>IFERROR(INDEX('Tablero (To Do · Doing · Done)'!$B$6:$B$266,MATCH(238,'Tablero (To Do · Doing · Done)'!$U$6:$U$266,0)),"")</f>
        <v/>
      </c>
      <c r="I243" s="21">
        <f>IFERROR(INDEX('Tablero (To Do · Doing · Done)'!$F$6:$F$266,MATCH(238,'Tablero (To Do · Doing · Done)'!$U$6:$U$266,0))&amp;" · "&amp;INDEX('Tablero (To Do · Doing · Done)'!$G$6:$G$266,MATCH(238,'Tablero (To Do · Doing · Done)'!$U$6:$U$266,0)),"")</f>
        <v/>
      </c>
    </row>
    <row r="244">
      <c r="B244" s="21">
        <f>IFERROR(INDEX('Tablero (To Do · Doing · Done)'!$B$6:$B$266,MATCH(239,'Tablero (To Do · Doing · Done)'!$S$6:$S$266,0)),"")</f>
        <v/>
      </c>
      <c r="C244" s="21">
        <f>IFERROR(INDEX('Tablero (To Do · Doing · Done)'!$F$6:$F$266,MATCH(239,'Tablero (To Do · Doing · Done)'!$S$6:$S$266,0))&amp;" · "&amp;INDEX('Tablero (To Do · Doing · Done)'!$G$6:$G$266,MATCH(239,'Tablero (To Do · Doing · Done)'!$S$6:$S$266,0)),"")</f>
        <v/>
      </c>
      <c r="E244" s="21">
        <f>IFERROR(INDEX('Tablero (To Do · Doing · Done)'!$B$6:$B$266,MATCH(239,'Tablero (To Do · Doing · Done)'!$T$6:$T$266,0)),"")</f>
        <v/>
      </c>
      <c r="F244" s="21">
        <f>IFERROR(INDEX('Tablero (To Do · Doing · Done)'!$F$6:$F$266,MATCH(239,'Tablero (To Do · Doing · Done)'!$T$6:$T$266,0))&amp;" · "&amp;INDEX('Tablero (To Do · Doing · Done)'!$G$6:$G$266,MATCH(239,'Tablero (To Do · Doing · Done)'!$T$6:$T$266,0)),"")</f>
        <v/>
      </c>
      <c r="H244" s="21">
        <f>IFERROR(INDEX('Tablero (To Do · Doing · Done)'!$B$6:$B$266,MATCH(239,'Tablero (To Do · Doing · Done)'!$U$6:$U$266,0)),"")</f>
        <v/>
      </c>
      <c r="I244" s="21">
        <f>IFERROR(INDEX('Tablero (To Do · Doing · Done)'!$F$6:$F$266,MATCH(239,'Tablero (To Do · Doing · Done)'!$U$6:$U$266,0))&amp;" · "&amp;INDEX('Tablero (To Do · Doing · Done)'!$G$6:$G$266,MATCH(239,'Tablero (To Do · Doing · Done)'!$U$6:$U$266,0)),"")</f>
        <v/>
      </c>
    </row>
    <row r="245">
      <c r="B245" s="21">
        <f>IFERROR(INDEX('Tablero (To Do · Doing · Done)'!$B$6:$B$266,MATCH(240,'Tablero (To Do · Doing · Done)'!$S$6:$S$266,0)),"")</f>
        <v/>
      </c>
      <c r="C245" s="21">
        <f>IFERROR(INDEX('Tablero (To Do · Doing · Done)'!$F$6:$F$266,MATCH(240,'Tablero (To Do · Doing · Done)'!$S$6:$S$266,0))&amp;" · "&amp;INDEX('Tablero (To Do · Doing · Done)'!$G$6:$G$266,MATCH(240,'Tablero (To Do · Doing · Done)'!$S$6:$S$266,0)),"")</f>
        <v/>
      </c>
      <c r="E245" s="21">
        <f>IFERROR(INDEX('Tablero (To Do · Doing · Done)'!$B$6:$B$266,MATCH(240,'Tablero (To Do · Doing · Done)'!$T$6:$T$266,0)),"")</f>
        <v/>
      </c>
      <c r="F245" s="21">
        <f>IFERROR(INDEX('Tablero (To Do · Doing · Done)'!$F$6:$F$266,MATCH(240,'Tablero (To Do · Doing · Done)'!$T$6:$T$266,0))&amp;" · "&amp;INDEX('Tablero (To Do · Doing · Done)'!$G$6:$G$266,MATCH(240,'Tablero (To Do · Doing · Done)'!$T$6:$T$266,0)),"")</f>
        <v/>
      </c>
      <c r="H245" s="21">
        <f>IFERROR(INDEX('Tablero (To Do · Doing · Done)'!$B$6:$B$266,MATCH(240,'Tablero (To Do · Doing · Done)'!$U$6:$U$266,0)),"")</f>
        <v/>
      </c>
      <c r="I245" s="21">
        <f>IFERROR(INDEX('Tablero (To Do · Doing · Done)'!$F$6:$F$266,MATCH(240,'Tablero (To Do · Doing · Done)'!$U$6:$U$266,0))&amp;" · "&amp;INDEX('Tablero (To Do · Doing · Done)'!$G$6:$G$266,MATCH(240,'Tablero (To Do · Doing · Done)'!$U$6:$U$266,0)),"")</f>
        <v/>
      </c>
    </row>
    <row r="246">
      <c r="B246" s="21">
        <f>IFERROR(INDEX('Tablero (To Do · Doing · Done)'!$B$6:$B$266,MATCH(241,'Tablero (To Do · Doing · Done)'!$S$6:$S$266,0)),"")</f>
        <v/>
      </c>
      <c r="C246" s="21">
        <f>IFERROR(INDEX('Tablero (To Do · Doing · Done)'!$F$6:$F$266,MATCH(241,'Tablero (To Do · Doing · Done)'!$S$6:$S$266,0))&amp;" · "&amp;INDEX('Tablero (To Do · Doing · Done)'!$G$6:$G$266,MATCH(241,'Tablero (To Do · Doing · Done)'!$S$6:$S$266,0)),"")</f>
        <v/>
      </c>
      <c r="E246" s="21">
        <f>IFERROR(INDEX('Tablero (To Do · Doing · Done)'!$B$6:$B$266,MATCH(241,'Tablero (To Do · Doing · Done)'!$T$6:$T$266,0)),"")</f>
        <v/>
      </c>
      <c r="F246" s="21">
        <f>IFERROR(INDEX('Tablero (To Do · Doing · Done)'!$F$6:$F$266,MATCH(241,'Tablero (To Do · Doing · Done)'!$T$6:$T$266,0))&amp;" · "&amp;INDEX('Tablero (To Do · Doing · Done)'!$G$6:$G$266,MATCH(241,'Tablero (To Do · Doing · Done)'!$T$6:$T$266,0)),"")</f>
        <v/>
      </c>
      <c r="H246" s="21">
        <f>IFERROR(INDEX('Tablero (To Do · Doing · Done)'!$B$6:$B$266,MATCH(241,'Tablero (To Do · Doing · Done)'!$U$6:$U$266,0)),"")</f>
        <v/>
      </c>
      <c r="I246" s="21">
        <f>IFERROR(INDEX('Tablero (To Do · Doing · Done)'!$F$6:$F$266,MATCH(241,'Tablero (To Do · Doing · Done)'!$U$6:$U$266,0))&amp;" · "&amp;INDEX('Tablero (To Do · Doing · Done)'!$G$6:$G$266,MATCH(241,'Tablero (To Do · Doing · Done)'!$U$6:$U$266,0)),"")</f>
        <v/>
      </c>
    </row>
    <row r="247">
      <c r="B247" s="21">
        <f>IFERROR(INDEX('Tablero (To Do · Doing · Done)'!$B$6:$B$266,MATCH(242,'Tablero (To Do · Doing · Done)'!$S$6:$S$266,0)),"")</f>
        <v/>
      </c>
      <c r="C247" s="21">
        <f>IFERROR(INDEX('Tablero (To Do · Doing · Done)'!$F$6:$F$266,MATCH(242,'Tablero (To Do · Doing · Done)'!$S$6:$S$266,0))&amp;" · "&amp;INDEX('Tablero (To Do · Doing · Done)'!$G$6:$G$266,MATCH(242,'Tablero (To Do · Doing · Done)'!$S$6:$S$266,0)),"")</f>
        <v/>
      </c>
      <c r="E247" s="21">
        <f>IFERROR(INDEX('Tablero (To Do · Doing · Done)'!$B$6:$B$266,MATCH(242,'Tablero (To Do · Doing · Done)'!$T$6:$T$266,0)),"")</f>
        <v/>
      </c>
      <c r="F247" s="21">
        <f>IFERROR(INDEX('Tablero (To Do · Doing · Done)'!$F$6:$F$266,MATCH(242,'Tablero (To Do · Doing · Done)'!$T$6:$T$266,0))&amp;" · "&amp;INDEX('Tablero (To Do · Doing · Done)'!$G$6:$G$266,MATCH(242,'Tablero (To Do · Doing · Done)'!$T$6:$T$266,0)),"")</f>
        <v/>
      </c>
      <c r="H247" s="21">
        <f>IFERROR(INDEX('Tablero (To Do · Doing · Done)'!$B$6:$B$266,MATCH(242,'Tablero (To Do · Doing · Done)'!$U$6:$U$266,0)),"")</f>
        <v/>
      </c>
      <c r="I247" s="21">
        <f>IFERROR(INDEX('Tablero (To Do · Doing · Done)'!$F$6:$F$266,MATCH(242,'Tablero (To Do · Doing · Done)'!$U$6:$U$266,0))&amp;" · "&amp;INDEX('Tablero (To Do · Doing · Done)'!$G$6:$G$266,MATCH(242,'Tablero (To Do · Doing · Done)'!$U$6:$U$266,0)),"")</f>
        <v/>
      </c>
    </row>
    <row r="248">
      <c r="B248" s="21">
        <f>IFERROR(INDEX('Tablero (To Do · Doing · Done)'!$B$6:$B$266,MATCH(243,'Tablero (To Do · Doing · Done)'!$S$6:$S$266,0)),"")</f>
        <v/>
      </c>
      <c r="C248" s="21">
        <f>IFERROR(INDEX('Tablero (To Do · Doing · Done)'!$F$6:$F$266,MATCH(243,'Tablero (To Do · Doing · Done)'!$S$6:$S$266,0))&amp;" · "&amp;INDEX('Tablero (To Do · Doing · Done)'!$G$6:$G$266,MATCH(243,'Tablero (To Do · Doing · Done)'!$S$6:$S$266,0)),"")</f>
        <v/>
      </c>
      <c r="E248" s="21">
        <f>IFERROR(INDEX('Tablero (To Do · Doing · Done)'!$B$6:$B$266,MATCH(243,'Tablero (To Do · Doing · Done)'!$T$6:$T$266,0)),"")</f>
        <v/>
      </c>
      <c r="F248" s="21">
        <f>IFERROR(INDEX('Tablero (To Do · Doing · Done)'!$F$6:$F$266,MATCH(243,'Tablero (To Do · Doing · Done)'!$T$6:$T$266,0))&amp;" · "&amp;INDEX('Tablero (To Do · Doing · Done)'!$G$6:$G$266,MATCH(243,'Tablero (To Do · Doing · Done)'!$T$6:$T$266,0)),"")</f>
        <v/>
      </c>
      <c r="H248" s="21">
        <f>IFERROR(INDEX('Tablero (To Do · Doing · Done)'!$B$6:$B$266,MATCH(243,'Tablero (To Do · Doing · Done)'!$U$6:$U$266,0)),"")</f>
        <v/>
      </c>
      <c r="I248" s="21">
        <f>IFERROR(INDEX('Tablero (To Do · Doing · Done)'!$F$6:$F$266,MATCH(243,'Tablero (To Do · Doing · Done)'!$U$6:$U$266,0))&amp;" · "&amp;INDEX('Tablero (To Do · Doing · Done)'!$G$6:$G$266,MATCH(243,'Tablero (To Do · Doing · Done)'!$U$6:$U$266,0)),"")</f>
        <v/>
      </c>
    </row>
    <row r="249">
      <c r="B249" s="21">
        <f>IFERROR(INDEX('Tablero (To Do · Doing · Done)'!$B$6:$B$266,MATCH(244,'Tablero (To Do · Doing · Done)'!$S$6:$S$266,0)),"")</f>
        <v/>
      </c>
      <c r="C249" s="21">
        <f>IFERROR(INDEX('Tablero (To Do · Doing · Done)'!$F$6:$F$266,MATCH(244,'Tablero (To Do · Doing · Done)'!$S$6:$S$266,0))&amp;" · "&amp;INDEX('Tablero (To Do · Doing · Done)'!$G$6:$G$266,MATCH(244,'Tablero (To Do · Doing · Done)'!$S$6:$S$266,0)),"")</f>
        <v/>
      </c>
      <c r="E249" s="21">
        <f>IFERROR(INDEX('Tablero (To Do · Doing · Done)'!$B$6:$B$266,MATCH(244,'Tablero (To Do · Doing · Done)'!$T$6:$T$266,0)),"")</f>
        <v/>
      </c>
      <c r="F249" s="21">
        <f>IFERROR(INDEX('Tablero (To Do · Doing · Done)'!$F$6:$F$266,MATCH(244,'Tablero (To Do · Doing · Done)'!$T$6:$T$266,0))&amp;" · "&amp;INDEX('Tablero (To Do · Doing · Done)'!$G$6:$G$266,MATCH(244,'Tablero (To Do · Doing · Done)'!$T$6:$T$266,0)),"")</f>
        <v/>
      </c>
      <c r="H249" s="21">
        <f>IFERROR(INDEX('Tablero (To Do · Doing · Done)'!$B$6:$B$266,MATCH(244,'Tablero (To Do · Doing · Done)'!$U$6:$U$266,0)),"")</f>
        <v/>
      </c>
      <c r="I249" s="21">
        <f>IFERROR(INDEX('Tablero (To Do · Doing · Done)'!$F$6:$F$266,MATCH(244,'Tablero (To Do · Doing · Done)'!$U$6:$U$266,0))&amp;" · "&amp;INDEX('Tablero (To Do · Doing · Done)'!$G$6:$G$266,MATCH(244,'Tablero (To Do · Doing · Done)'!$U$6:$U$266,0)),"")</f>
        <v/>
      </c>
    </row>
    <row r="250">
      <c r="B250" s="21">
        <f>IFERROR(INDEX('Tablero (To Do · Doing · Done)'!$B$6:$B$266,MATCH(245,'Tablero (To Do · Doing · Done)'!$S$6:$S$266,0)),"")</f>
        <v/>
      </c>
      <c r="C250" s="21">
        <f>IFERROR(INDEX('Tablero (To Do · Doing · Done)'!$F$6:$F$266,MATCH(245,'Tablero (To Do · Doing · Done)'!$S$6:$S$266,0))&amp;" · "&amp;INDEX('Tablero (To Do · Doing · Done)'!$G$6:$G$266,MATCH(245,'Tablero (To Do · Doing · Done)'!$S$6:$S$266,0)),"")</f>
        <v/>
      </c>
      <c r="E250" s="21">
        <f>IFERROR(INDEX('Tablero (To Do · Doing · Done)'!$B$6:$B$266,MATCH(245,'Tablero (To Do · Doing · Done)'!$T$6:$T$266,0)),"")</f>
        <v/>
      </c>
      <c r="F250" s="21">
        <f>IFERROR(INDEX('Tablero (To Do · Doing · Done)'!$F$6:$F$266,MATCH(245,'Tablero (To Do · Doing · Done)'!$T$6:$T$266,0))&amp;" · "&amp;INDEX('Tablero (To Do · Doing · Done)'!$G$6:$G$266,MATCH(245,'Tablero (To Do · Doing · Done)'!$T$6:$T$266,0)),"")</f>
        <v/>
      </c>
      <c r="H250" s="21">
        <f>IFERROR(INDEX('Tablero (To Do · Doing · Done)'!$B$6:$B$266,MATCH(245,'Tablero (To Do · Doing · Done)'!$U$6:$U$266,0)),"")</f>
        <v/>
      </c>
      <c r="I250" s="21">
        <f>IFERROR(INDEX('Tablero (To Do · Doing · Done)'!$F$6:$F$266,MATCH(245,'Tablero (To Do · Doing · Done)'!$U$6:$U$266,0))&amp;" · "&amp;INDEX('Tablero (To Do · Doing · Done)'!$G$6:$G$266,MATCH(245,'Tablero (To Do · Doing · Done)'!$U$6:$U$266,0)),"")</f>
        <v/>
      </c>
    </row>
    <row r="251">
      <c r="B251" s="21">
        <f>IFERROR(INDEX('Tablero (To Do · Doing · Done)'!$B$6:$B$266,MATCH(246,'Tablero (To Do · Doing · Done)'!$S$6:$S$266,0)),"")</f>
        <v/>
      </c>
      <c r="C251" s="21">
        <f>IFERROR(INDEX('Tablero (To Do · Doing · Done)'!$F$6:$F$266,MATCH(246,'Tablero (To Do · Doing · Done)'!$S$6:$S$266,0))&amp;" · "&amp;INDEX('Tablero (To Do · Doing · Done)'!$G$6:$G$266,MATCH(246,'Tablero (To Do · Doing · Done)'!$S$6:$S$266,0)),"")</f>
        <v/>
      </c>
      <c r="E251" s="21">
        <f>IFERROR(INDEX('Tablero (To Do · Doing · Done)'!$B$6:$B$266,MATCH(246,'Tablero (To Do · Doing · Done)'!$T$6:$T$266,0)),"")</f>
        <v/>
      </c>
      <c r="F251" s="21">
        <f>IFERROR(INDEX('Tablero (To Do · Doing · Done)'!$F$6:$F$266,MATCH(246,'Tablero (To Do · Doing · Done)'!$T$6:$T$266,0))&amp;" · "&amp;INDEX('Tablero (To Do · Doing · Done)'!$G$6:$G$266,MATCH(246,'Tablero (To Do · Doing · Done)'!$T$6:$T$266,0)),"")</f>
        <v/>
      </c>
      <c r="H251" s="21">
        <f>IFERROR(INDEX('Tablero (To Do · Doing · Done)'!$B$6:$B$266,MATCH(246,'Tablero (To Do · Doing · Done)'!$U$6:$U$266,0)),"")</f>
        <v/>
      </c>
      <c r="I251" s="21">
        <f>IFERROR(INDEX('Tablero (To Do · Doing · Done)'!$F$6:$F$266,MATCH(246,'Tablero (To Do · Doing · Done)'!$U$6:$U$266,0))&amp;" · "&amp;INDEX('Tablero (To Do · Doing · Done)'!$G$6:$G$266,MATCH(246,'Tablero (To Do · Doing · Done)'!$U$6:$U$266,0)),"")</f>
        <v/>
      </c>
    </row>
    <row r="252">
      <c r="B252" s="21">
        <f>IFERROR(INDEX('Tablero (To Do · Doing · Done)'!$B$6:$B$266,MATCH(247,'Tablero (To Do · Doing · Done)'!$S$6:$S$266,0)),"")</f>
        <v/>
      </c>
      <c r="C252" s="21">
        <f>IFERROR(INDEX('Tablero (To Do · Doing · Done)'!$F$6:$F$266,MATCH(247,'Tablero (To Do · Doing · Done)'!$S$6:$S$266,0))&amp;" · "&amp;INDEX('Tablero (To Do · Doing · Done)'!$G$6:$G$266,MATCH(247,'Tablero (To Do · Doing · Done)'!$S$6:$S$266,0)),"")</f>
        <v/>
      </c>
      <c r="E252" s="21">
        <f>IFERROR(INDEX('Tablero (To Do · Doing · Done)'!$B$6:$B$266,MATCH(247,'Tablero (To Do · Doing · Done)'!$T$6:$T$266,0)),"")</f>
        <v/>
      </c>
      <c r="F252" s="21">
        <f>IFERROR(INDEX('Tablero (To Do · Doing · Done)'!$F$6:$F$266,MATCH(247,'Tablero (To Do · Doing · Done)'!$T$6:$T$266,0))&amp;" · "&amp;INDEX('Tablero (To Do · Doing · Done)'!$G$6:$G$266,MATCH(247,'Tablero (To Do · Doing · Done)'!$T$6:$T$266,0)),"")</f>
        <v/>
      </c>
      <c r="H252" s="21">
        <f>IFERROR(INDEX('Tablero (To Do · Doing · Done)'!$B$6:$B$266,MATCH(247,'Tablero (To Do · Doing · Done)'!$U$6:$U$266,0)),"")</f>
        <v/>
      </c>
      <c r="I252" s="21">
        <f>IFERROR(INDEX('Tablero (To Do · Doing · Done)'!$F$6:$F$266,MATCH(247,'Tablero (To Do · Doing · Done)'!$U$6:$U$266,0))&amp;" · "&amp;INDEX('Tablero (To Do · Doing · Done)'!$G$6:$G$266,MATCH(247,'Tablero (To Do · Doing · Done)'!$U$6:$U$266,0)),"")</f>
        <v/>
      </c>
    </row>
    <row r="253">
      <c r="B253" s="21">
        <f>IFERROR(INDEX('Tablero (To Do · Doing · Done)'!$B$6:$B$266,MATCH(248,'Tablero (To Do · Doing · Done)'!$S$6:$S$266,0)),"")</f>
        <v/>
      </c>
      <c r="C253" s="21">
        <f>IFERROR(INDEX('Tablero (To Do · Doing · Done)'!$F$6:$F$266,MATCH(248,'Tablero (To Do · Doing · Done)'!$S$6:$S$266,0))&amp;" · "&amp;INDEX('Tablero (To Do · Doing · Done)'!$G$6:$G$266,MATCH(248,'Tablero (To Do · Doing · Done)'!$S$6:$S$266,0)),"")</f>
        <v/>
      </c>
      <c r="E253" s="21">
        <f>IFERROR(INDEX('Tablero (To Do · Doing · Done)'!$B$6:$B$266,MATCH(248,'Tablero (To Do · Doing · Done)'!$T$6:$T$266,0)),"")</f>
        <v/>
      </c>
      <c r="F253" s="21">
        <f>IFERROR(INDEX('Tablero (To Do · Doing · Done)'!$F$6:$F$266,MATCH(248,'Tablero (To Do · Doing · Done)'!$T$6:$T$266,0))&amp;" · "&amp;INDEX('Tablero (To Do · Doing · Done)'!$G$6:$G$266,MATCH(248,'Tablero (To Do · Doing · Done)'!$T$6:$T$266,0)),"")</f>
        <v/>
      </c>
      <c r="H253" s="21">
        <f>IFERROR(INDEX('Tablero (To Do · Doing · Done)'!$B$6:$B$266,MATCH(248,'Tablero (To Do · Doing · Done)'!$U$6:$U$266,0)),"")</f>
        <v/>
      </c>
      <c r="I253" s="21">
        <f>IFERROR(INDEX('Tablero (To Do · Doing · Done)'!$F$6:$F$266,MATCH(248,'Tablero (To Do · Doing · Done)'!$U$6:$U$266,0))&amp;" · "&amp;INDEX('Tablero (To Do · Doing · Done)'!$G$6:$G$266,MATCH(248,'Tablero (To Do · Doing · Done)'!$U$6:$U$266,0)),"")</f>
        <v/>
      </c>
    </row>
    <row r="254">
      <c r="B254" s="21">
        <f>IFERROR(INDEX('Tablero (To Do · Doing · Done)'!$B$6:$B$266,MATCH(249,'Tablero (To Do · Doing · Done)'!$S$6:$S$266,0)),"")</f>
        <v/>
      </c>
      <c r="C254" s="21">
        <f>IFERROR(INDEX('Tablero (To Do · Doing · Done)'!$F$6:$F$266,MATCH(249,'Tablero (To Do · Doing · Done)'!$S$6:$S$266,0))&amp;" · "&amp;INDEX('Tablero (To Do · Doing · Done)'!$G$6:$G$266,MATCH(249,'Tablero (To Do · Doing · Done)'!$S$6:$S$266,0)),"")</f>
        <v/>
      </c>
      <c r="E254" s="21">
        <f>IFERROR(INDEX('Tablero (To Do · Doing · Done)'!$B$6:$B$266,MATCH(249,'Tablero (To Do · Doing · Done)'!$T$6:$T$266,0)),"")</f>
        <v/>
      </c>
      <c r="F254" s="21">
        <f>IFERROR(INDEX('Tablero (To Do · Doing · Done)'!$F$6:$F$266,MATCH(249,'Tablero (To Do · Doing · Done)'!$T$6:$T$266,0))&amp;" · "&amp;INDEX('Tablero (To Do · Doing · Done)'!$G$6:$G$266,MATCH(249,'Tablero (To Do · Doing · Done)'!$T$6:$T$266,0)),"")</f>
        <v/>
      </c>
      <c r="H254" s="21">
        <f>IFERROR(INDEX('Tablero (To Do · Doing · Done)'!$B$6:$B$266,MATCH(249,'Tablero (To Do · Doing · Done)'!$U$6:$U$266,0)),"")</f>
        <v/>
      </c>
      <c r="I254" s="21">
        <f>IFERROR(INDEX('Tablero (To Do · Doing · Done)'!$F$6:$F$266,MATCH(249,'Tablero (To Do · Doing · Done)'!$U$6:$U$266,0))&amp;" · "&amp;INDEX('Tablero (To Do · Doing · Done)'!$G$6:$G$266,MATCH(249,'Tablero (To Do · Doing · Done)'!$U$6:$U$266,0)),"")</f>
        <v/>
      </c>
    </row>
    <row r="255">
      <c r="B255" s="21">
        <f>IFERROR(INDEX('Tablero (To Do · Doing · Done)'!$B$6:$B$266,MATCH(250,'Tablero (To Do · Doing · Done)'!$S$6:$S$266,0)),"")</f>
        <v/>
      </c>
      <c r="C255" s="21">
        <f>IFERROR(INDEX('Tablero (To Do · Doing · Done)'!$F$6:$F$266,MATCH(250,'Tablero (To Do · Doing · Done)'!$S$6:$S$266,0))&amp;" · "&amp;INDEX('Tablero (To Do · Doing · Done)'!$G$6:$G$266,MATCH(250,'Tablero (To Do · Doing · Done)'!$S$6:$S$266,0)),"")</f>
        <v/>
      </c>
      <c r="E255" s="21">
        <f>IFERROR(INDEX('Tablero (To Do · Doing · Done)'!$B$6:$B$266,MATCH(250,'Tablero (To Do · Doing · Done)'!$T$6:$T$266,0)),"")</f>
        <v/>
      </c>
      <c r="F255" s="21">
        <f>IFERROR(INDEX('Tablero (To Do · Doing · Done)'!$F$6:$F$266,MATCH(250,'Tablero (To Do · Doing · Done)'!$T$6:$T$266,0))&amp;" · "&amp;INDEX('Tablero (To Do · Doing · Done)'!$G$6:$G$266,MATCH(250,'Tablero (To Do · Doing · Done)'!$T$6:$T$266,0)),"")</f>
        <v/>
      </c>
      <c r="H255" s="21">
        <f>IFERROR(INDEX('Tablero (To Do · Doing · Done)'!$B$6:$B$266,MATCH(250,'Tablero (To Do · Doing · Done)'!$U$6:$U$266,0)),"")</f>
        <v/>
      </c>
      <c r="I255" s="21">
        <f>IFERROR(INDEX('Tablero (To Do · Doing · Done)'!$F$6:$F$266,MATCH(250,'Tablero (To Do · Doing · Done)'!$U$6:$U$266,0))&amp;" · "&amp;INDEX('Tablero (To Do · Doing · Done)'!$G$6:$G$266,MATCH(250,'Tablero (To Do · Doing · Done)'!$U$6:$U$266,0)),"")</f>
        <v/>
      </c>
    </row>
    <row r="256">
      <c r="B256" s="21">
        <f>IFERROR(INDEX('Tablero (To Do · Doing · Done)'!$B$6:$B$266,MATCH(251,'Tablero (To Do · Doing · Done)'!$S$6:$S$266,0)),"")</f>
        <v/>
      </c>
      <c r="C256" s="21">
        <f>IFERROR(INDEX('Tablero (To Do · Doing · Done)'!$F$6:$F$266,MATCH(251,'Tablero (To Do · Doing · Done)'!$S$6:$S$266,0))&amp;" · "&amp;INDEX('Tablero (To Do · Doing · Done)'!$G$6:$G$266,MATCH(251,'Tablero (To Do · Doing · Done)'!$S$6:$S$266,0)),"")</f>
        <v/>
      </c>
      <c r="E256" s="21">
        <f>IFERROR(INDEX('Tablero (To Do · Doing · Done)'!$B$6:$B$266,MATCH(251,'Tablero (To Do · Doing · Done)'!$T$6:$T$266,0)),"")</f>
        <v/>
      </c>
      <c r="F256" s="21">
        <f>IFERROR(INDEX('Tablero (To Do · Doing · Done)'!$F$6:$F$266,MATCH(251,'Tablero (To Do · Doing · Done)'!$T$6:$T$266,0))&amp;" · "&amp;INDEX('Tablero (To Do · Doing · Done)'!$G$6:$G$266,MATCH(251,'Tablero (To Do · Doing · Done)'!$T$6:$T$266,0)),"")</f>
        <v/>
      </c>
      <c r="H256" s="21">
        <f>IFERROR(INDEX('Tablero (To Do · Doing · Done)'!$B$6:$B$266,MATCH(251,'Tablero (To Do · Doing · Done)'!$U$6:$U$266,0)),"")</f>
        <v/>
      </c>
      <c r="I256" s="21">
        <f>IFERROR(INDEX('Tablero (To Do · Doing · Done)'!$F$6:$F$266,MATCH(251,'Tablero (To Do · Doing · Done)'!$U$6:$U$266,0))&amp;" · "&amp;INDEX('Tablero (To Do · Doing · Done)'!$G$6:$G$266,MATCH(251,'Tablero (To Do · Doing · Done)'!$U$6:$U$266,0)),"")</f>
        <v/>
      </c>
    </row>
    <row r="257">
      <c r="B257" s="21">
        <f>IFERROR(INDEX('Tablero (To Do · Doing · Done)'!$B$6:$B$266,MATCH(252,'Tablero (To Do · Doing · Done)'!$S$6:$S$266,0)),"")</f>
        <v/>
      </c>
      <c r="C257" s="21">
        <f>IFERROR(INDEX('Tablero (To Do · Doing · Done)'!$F$6:$F$266,MATCH(252,'Tablero (To Do · Doing · Done)'!$S$6:$S$266,0))&amp;" · "&amp;INDEX('Tablero (To Do · Doing · Done)'!$G$6:$G$266,MATCH(252,'Tablero (To Do · Doing · Done)'!$S$6:$S$266,0)),"")</f>
        <v/>
      </c>
      <c r="E257" s="21">
        <f>IFERROR(INDEX('Tablero (To Do · Doing · Done)'!$B$6:$B$266,MATCH(252,'Tablero (To Do · Doing · Done)'!$T$6:$T$266,0)),"")</f>
        <v/>
      </c>
      <c r="F257" s="21">
        <f>IFERROR(INDEX('Tablero (To Do · Doing · Done)'!$F$6:$F$266,MATCH(252,'Tablero (To Do · Doing · Done)'!$T$6:$T$266,0))&amp;" · "&amp;INDEX('Tablero (To Do · Doing · Done)'!$G$6:$G$266,MATCH(252,'Tablero (To Do · Doing · Done)'!$T$6:$T$266,0)),"")</f>
        <v/>
      </c>
      <c r="H257" s="21">
        <f>IFERROR(INDEX('Tablero (To Do · Doing · Done)'!$B$6:$B$266,MATCH(252,'Tablero (To Do · Doing · Done)'!$U$6:$U$266,0)),"")</f>
        <v/>
      </c>
      <c r="I257" s="21">
        <f>IFERROR(INDEX('Tablero (To Do · Doing · Done)'!$F$6:$F$266,MATCH(252,'Tablero (To Do · Doing · Done)'!$U$6:$U$266,0))&amp;" · "&amp;INDEX('Tablero (To Do · Doing · Done)'!$G$6:$G$266,MATCH(252,'Tablero (To Do · Doing · Done)'!$U$6:$U$266,0)),"")</f>
        <v/>
      </c>
    </row>
    <row r="258">
      <c r="B258" s="21">
        <f>IFERROR(INDEX('Tablero (To Do · Doing · Done)'!$B$6:$B$266,MATCH(253,'Tablero (To Do · Doing · Done)'!$S$6:$S$266,0)),"")</f>
        <v/>
      </c>
      <c r="C258" s="21">
        <f>IFERROR(INDEX('Tablero (To Do · Doing · Done)'!$F$6:$F$266,MATCH(253,'Tablero (To Do · Doing · Done)'!$S$6:$S$266,0))&amp;" · "&amp;INDEX('Tablero (To Do · Doing · Done)'!$G$6:$G$266,MATCH(253,'Tablero (To Do · Doing · Done)'!$S$6:$S$266,0)),"")</f>
        <v/>
      </c>
      <c r="E258" s="21">
        <f>IFERROR(INDEX('Tablero (To Do · Doing · Done)'!$B$6:$B$266,MATCH(253,'Tablero (To Do · Doing · Done)'!$T$6:$T$266,0)),"")</f>
        <v/>
      </c>
      <c r="F258" s="21">
        <f>IFERROR(INDEX('Tablero (To Do · Doing · Done)'!$F$6:$F$266,MATCH(253,'Tablero (To Do · Doing · Done)'!$T$6:$T$266,0))&amp;" · "&amp;INDEX('Tablero (To Do · Doing · Done)'!$G$6:$G$266,MATCH(253,'Tablero (To Do · Doing · Done)'!$T$6:$T$266,0)),"")</f>
        <v/>
      </c>
      <c r="H258" s="21">
        <f>IFERROR(INDEX('Tablero (To Do · Doing · Done)'!$B$6:$B$266,MATCH(253,'Tablero (To Do · Doing · Done)'!$U$6:$U$266,0)),"")</f>
        <v/>
      </c>
      <c r="I258" s="21">
        <f>IFERROR(INDEX('Tablero (To Do · Doing · Done)'!$F$6:$F$266,MATCH(253,'Tablero (To Do · Doing · Done)'!$U$6:$U$266,0))&amp;" · "&amp;INDEX('Tablero (To Do · Doing · Done)'!$G$6:$G$266,MATCH(253,'Tablero (To Do · Doing · Done)'!$U$6:$U$266,0)),"")</f>
        <v/>
      </c>
    </row>
    <row r="259">
      <c r="B259" s="21">
        <f>IFERROR(INDEX('Tablero (To Do · Doing · Done)'!$B$6:$B$266,MATCH(254,'Tablero (To Do · Doing · Done)'!$S$6:$S$266,0)),"")</f>
        <v/>
      </c>
      <c r="C259" s="21">
        <f>IFERROR(INDEX('Tablero (To Do · Doing · Done)'!$F$6:$F$266,MATCH(254,'Tablero (To Do · Doing · Done)'!$S$6:$S$266,0))&amp;" · "&amp;INDEX('Tablero (To Do · Doing · Done)'!$G$6:$G$266,MATCH(254,'Tablero (To Do · Doing · Done)'!$S$6:$S$266,0)),"")</f>
        <v/>
      </c>
      <c r="E259" s="21">
        <f>IFERROR(INDEX('Tablero (To Do · Doing · Done)'!$B$6:$B$266,MATCH(254,'Tablero (To Do · Doing · Done)'!$T$6:$T$266,0)),"")</f>
        <v/>
      </c>
      <c r="F259" s="21">
        <f>IFERROR(INDEX('Tablero (To Do · Doing · Done)'!$F$6:$F$266,MATCH(254,'Tablero (To Do · Doing · Done)'!$T$6:$T$266,0))&amp;" · "&amp;INDEX('Tablero (To Do · Doing · Done)'!$G$6:$G$266,MATCH(254,'Tablero (To Do · Doing · Done)'!$T$6:$T$266,0)),"")</f>
        <v/>
      </c>
      <c r="H259" s="21">
        <f>IFERROR(INDEX('Tablero (To Do · Doing · Done)'!$B$6:$B$266,MATCH(254,'Tablero (To Do · Doing · Done)'!$U$6:$U$266,0)),"")</f>
        <v/>
      </c>
      <c r="I259" s="21">
        <f>IFERROR(INDEX('Tablero (To Do · Doing · Done)'!$F$6:$F$266,MATCH(254,'Tablero (To Do · Doing · Done)'!$U$6:$U$266,0))&amp;" · "&amp;INDEX('Tablero (To Do · Doing · Done)'!$G$6:$G$266,MATCH(254,'Tablero (To Do · Doing · Done)'!$U$6:$U$266,0)),"")</f>
        <v/>
      </c>
    </row>
    <row r="260">
      <c r="B260" s="21">
        <f>IFERROR(INDEX('Tablero (To Do · Doing · Done)'!$B$6:$B$266,MATCH(255,'Tablero (To Do · Doing · Done)'!$S$6:$S$266,0)),"")</f>
        <v/>
      </c>
      <c r="C260" s="21">
        <f>IFERROR(INDEX('Tablero (To Do · Doing · Done)'!$F$6:$F$266,MATCH(255,'Tablero (To Do · Doing · Done)'!$S$6:$S$266,0))&amp;" · "&amp;INDEX('Tablero (To Do · Doing · Done)'!$G$6:$G$266,MATCH(255,'Tablero (To Do · Doing · Done)'!$S$6:$S$266,0)),"")</f>
        <v/>
      </c>
      <c r="E260" s="21">
        <f>IFERROR(INDEX('Tablero (To Do · Doing · Done)'!$B$6:$B$266,MATCH(255,'Tablero (To Do · Doing · Done)'!$T$6:$T$266,0)),"")</f>
        <v/>
      </c>
      <c r="F260" s="21">
        <f>IFERROR(INDEX('Tablero (To Do · Doing · Done)'!$F$6:$F$266,MATCH(255,'Tablero (To Do · Doing · Done)'!$T$6:$T$266,0))&amp;" · "&amp;INDEX('Tablero (To Do · Doing · Done)'!$G$6:$G$266,MATCH(255,'Tablero (To Do · Doing · Done)'!$T$6:$T$266,0)),"")</f>
        <v/>
      </c>
      <c r="H260" s="21">
        <f>IFERROR(INDEX('Tablero (To Do · Doing · Done)'!$B$6:$B$266,MATCH(255,'Tablero (To Do · Doing · Done)'!$U$6:$U$266,0)),"")</f>
        <v/>
      </c>
      <c r="I260" s="21">
        <f>IFERROR(INDEX('Tablero (To Do · Doing · Done)'!$F$6:$F$266,MATCH(255,'Tablero (To Do · Doing · Done)'!$U$6:$U$266,0))&amp;" · "&amp;INDEX('Tablero (To Do · Doing · Done)'!$G$6:$G$266,MATCH(255,'Tablero (To Do · Doing · Done)'!$U$6:$U$266,0)),"")</f>
        <v/>
      </c>
    </row>
    <row r="261">
      <c r="B261" s="21">
        <f>IFERROR(INDEX('Tablero (To Do · Doing · Done)'!$B$6:$B$266,MATCH(256,'Tablero (To Do · Doing · Done)'!$S$6:$S$266,0)),"")</f>
        <v/>
      </c>
      <c r="C261" s="21">
        <f>IFERROR(INDEX('Tablero (To Do · Doing · Done)'!$F$6:$F$266,MATCH(256,'Tablero (To Do · Doing · Done)'!$S$6:$S$266,0))&amp;" · "&amp;INDEX('Tablero (To Do · Doing · Done)'!$G$6:$G$266,MATCH(256,'Tablero (To Do · Doing · Done)'!$S$6:$S$266,0)),"")</f>
        <v/>
      </c>
      <c r="E261" s="21">
        <f>IFERROR(INDEX('Tablero (To Do · Doing · Done)'!$B$6:$B$266,MATCH(256,'Tablero (To Do · Doing · Done)'!$T$6:$T$266,0)),"")</f>
        <v/>
      </c>
      <c r="F261" s="21">
        <f>IFERROR(INDEX('Tablero (To Do · Doing · Done)'!$F$6:$F$266,MATCH(256,'Tablero (To Do · Doing · Done)'!$T$6:$T$266,0))&amp;" · "&amp;INDEX('Tablero (To Do · Doing · Done)'!$G$6:$G$266,MATCH(256,'Tablero (To Do · Doing · Done)'!$T$6:$T$266,0)),"")</f>
        <v/>
      </c>
      <c r="H261" s="21">
        <f>IFERROR(INDEX('Tablero (To Do · Doing · Done)'!$B$6:$B$266,MATCH(256,'Tablero (To Do · Doing · Done)'!$U$6:$U$266,0)),"")</f>
        <v/>
      </c>
      <c r="I261" s="21">
        <f>IFERROR(INDEX('Tablero (To Do · Doing · Done)'!$F$6:$F$266,MATCH(256,'Tablero (To Do · Doing · Done)'!$U$6:$U$266,0))&amp;" · "&amp;INDEX('Tablero (To Do · Doing · Done)'!$G$6:$G$266,MATCH(256,'Tablero (To Do · Doing · Done)'!$U$6:$U$266,0)),"")</f>
        <v/>
      </c>
    </row>
    <row r="262">
      <c r="B262" s="21">
        <f>IFERROR(INDEX('Tablero (To Do · Doing · Done)'!$B$6:$B$266,MATCH(257,'Tablero (To Do · Doing · Done)'!$S$6:$S$266,0)),"")</f>
        <v/>
      </c>
      <c r="C262" s="21">
        <f>IFERROR(INDEX('Tablero (To Do · Doing · Done)'!$F$6:$F$266,MATCH(257,'Tablero (To Do · Doing · Done)'!$S$6:$S$266,0))&amp;" · "&amp;INDEX('Tablero (To Do · Doing · Done)'!$G$6:$G$266,MATCH(257,'Tablero (To Do · Doing · Done)'!$S$6:$S$266,0)),"")</f>
        <v/>
      </c>
      <c r="E262" s="21">
        <f>IFERROR(INDEX('Tablero (To Do · Doing · Done)'!$B$6:$B$266,MATCH(257,'Tablero (To Do · Doing · Done)'!$T$6:$T$266,0)),"")</f>
        <v/>
      </c>
      <c r="F262" s="21">
        <f>IFERROR(INDEX('Tablero (To Do · Doing · Done)'!$F$6:$F$266,MATCH(257,'Tablero (To Do · Doing · Done)'!$T$6:$T$266,0))&amp;" · "&amp;INDEX('Tablero (To Do · Doing · Done)'!$G$6:$G$266,MATCH(257,'Tablero (To Do · Doing · Done)'!$T$6:$T$266,0)),"")</f>
        <v/>
      </c>
      <c r="H262" s="21">
        <f>IFERROR(INDEX('Tablero (To Do · Doing · Done)'!$B$6:$B$266,MATCH(257,'Tablero (To Do · Doing · Done)'!$U$6:$U$266,0)),"")</f>
        <v/>
      </c>
      <c r="I262" s="21">
        <f>IFERROR(INDEX('Tablero (To Do · Doing · Done)'!$F$6:$F$266,MATCH(257,'Tablero (To Do · Doing · Done)'!$U$6:$U$266,0))&amp;" · "&amp;INDEX('Tablero (To Do · Doing · Done)'!$G$6:$G$266,MATCH(257,'Tablero (To Do · Doing · Done)'!$U$6:$U$266,0)),"")</f>
        <v/>
      </c>
    </row>
    <row r="263">
      <c r="B263" s="21">
        <f>IFERROR(INDEX('Tablero (To Do · Doing · Done)'!$B$6:$B$266,MATCH(258,'Tablero (To Do · Doing · Done)'!$S$6:$S$266,0)),"")</f>
        <v/>
      </c>
      <c r="C263" s="21">
        <f>IFERROR(INDEX('Tablero (To Do · Doing · Done)'!$F$6:$F$266,MATCH(258,'Tablero (To Do · Doing · Done)'!$S$6:$S$266,0))&amp;" · "&amp;INDEX('Tablero (To Do · Doing · Done)'!$G$6:$G$266,MATCH(258,'Tablero (To Do · Doing · Done)'!$S$6:$S$266,0)),"")</f>
        <v/>
      </c>
      <c r="E263" s="21">
        <f>IFERROR(INDEX('Tablero (To Do · Doing · Done)'!$B$6:$B$266,MATCH(258,'Tablero (To Do · Doing · Done)'!$T$6:$T$266,0)),"")</f>
        <v/>
      </c>
      <c r="F263" s="21">
        <f>IFERROR(INDEX('Tablero (To Do · Doing · Done)'!$F$6:$F$266,MATCH(258,'Tablero (To Do · Doing · Done)'!$T$6:$T$266,0))&amp;" · "&amp;INDEX('Tablero (To Do · Doing · Done)'!$G$6:$G$266,MATCH(258,'Tablero (To Do · Doing · Done)'!$T$6:$T$266,0)),"")</f>
        <v/>
      </c>
      <c r="H263" s="21">
        <f>IFERROR(INDEX('Tablero (To Do · Doing · Done)'!$B$6:$B$266,MATCH(258,'Tablero (To Do · Doing · Done)'!$U$6:$U$266,0)),"")</f>
        <v/>
      </c>
      <c r="I263" s="21">
        <f>IFERROR(INDEX('Tablero (To Do · Doing · Done)'!$F$6:$F$266,MATCH(258,'Tablero (To Do · Doing · Done)'!$U$6:$U$266,0))&amp;" · "&amp;INDEX('Tablero (To Do · Doing · Done)'!$G$6:$G$266,MATCH(258,'Tablero (To Do · Doing · Done)'!$U$6:$U$266,0)),"")</f>
        <v/>
      </c>
    </row>
    <row r="264">
      <c r="B264" s="21">
        <f>IFERROR(INDEX('Tablero (To Do · Doing · Done)'!$B$6:$B$266,MATCH(259,'Tablero (To Do · Doing · Done)'!$S$6:$S$266,0)),"")</f>
        <v/>
      </c>
      <c r="C264" s="21">
        <f>IFERROR(INDEX('Tablero (To Do · Doing · Done)'!$F$6:$F$266,MATCH(259,'Tablero (To Do · Doing · Done)'!$S$6:$S$266,0))&amp;" · "&amp;INDEX('Tablero (To Do · Doing · Done)'!$G$6:$G$266,MATCH(259,'Tablero (To Do · Doing · Done)'!$S$6:$S$266,0)),"")</f>
        <v/>
      </c>
      <c r="E264" s="21">
        <f>IFERROR(INDEX('Tablero (To Do · Doing · Done)'!$B$6:$B$266,MATCH(259,'Tablero (To Do · Doing · Done)'!$T$6:$T$266,0)),"")</f>
        <v/>
      </c>
      <c r="F264" s="21">
        <f>IFERROR(INDEX('Tablero (To Do · Doing · Done)'!$F$6:$F$266,MATCH(259,'Tablero (To Do · Doing · Done)'!$T$6:$T$266,0))&amp;" · "&amp;INDEX('Tablero (To Do · Doing · Done)'!$G$6:$G$266,MATCH(259,'Tablero (To Do · Doing · Done)'!$T$6:$T$266,0)),"")</f>
        <v/>
      </c>
      <c r="H264" s="21">
        <f>IFERROR(INDEX('Tablero (To Do · Doing · Done)'!$B$6:$B$266,MATCH(259,'Tablero (To Do · Doing · Done)'!$U$6:$U$266,0)),"")</f>
        <v/>
      </c>
      <c r="I264" s="21">
        <f>IFERROR(INDEX('Tablero (To Do · Doing · Done)'!$F$6:$F$266,MATCH(259,'Tablero (To Do · Doing · Done)'!$U$6:$U$266,0))&amp;" · "&amp;INDEX('Tablero (To Do · Doing · Done)'!$G$6:$G$266,MATCH(259,'Tablero (To Do · Doing · Done)'!$U$6:$U$266,0)),"")</f>
        <v/>
      </c>
    </row>
    <row r="265">
      <c r="B265" s="21">
        <f>IFERROR(INDEX('Tablero (To Do · Doing · Done)'!$B$6:$B$266,MATCH(260,'Tablero (To Do · Doing · Done)'!$S$6:$S$266,0)),"")</f>
        <v/>
      </c>
      <c r="C265" s="21">
        <f>IFERROR(INDEX('Tablero (To Do · Doing · Done)'!$F$6:$F$266,MATCH(260,'Tablero (To Do · Doing · Done)'!$S$6:$S$266,0))&amp;" · "&amp;INDEX('Tablero (To Do · Doing · Done)'!$G$6:$G$266,MATCH(260,'Tablero (To Do · Doing · Done)'!$S$6:$S$266,0)),"")</f>
        <v/>
      </c>
      <c r="E265" s="21">
        <f>IFERROR(INDEX('Tablero (To Do · Doing · Done)'!$B$6:$B$266,MATCH(260,'Tablero (To Do · Doing · Done)'!$T$6:$T$266,0)),"")</f>
        <v/>
      </c>
      <c r="F265" s="21">
        <f>IFERROR(INDEX('Tablero (To Do · Doing · Done)'!$F$6:$F$266,MATCH(260,'Tablero (To Do · Doing · Done)'!$T$6:$T$266,0))&amp;" · "&amp;INDEX('Tablero (To Do · Doing · Done)'!$G$6:$G$266,MATCH(260,'Tablero (To Do · Doing · Done)'!$T$6:$T$266,0)),"")</f>
        <v/>
      </c>
      <c r="H265" s="21">
        <f>IFERROR(INDEX('Tablero (To Do · Doing · Done)'!$B$6:$B$266,MATCH(260,'Tablero (To Do · Doing · Done)'!$U$6:$U$266,0)),"")</f>
        <v/>
      </c>
      <c r="I265" s="21">
        <f>IFERROR(INDEX('Tablero (To Do · Doing · Done)'!$F$6:$F$266,MATCH(260,'Tablero (To Do · Doing · Done)'!$U$6:$U$266,0))&amp;" · "&amp;INDEX('Tablero (To Do · Doing · Done)'!$G$6:$G$266,MATCH(260,'Tablero (To Do · Doing · Done)'!$U$6:$U$266,0)),"")</f>
        <v/>
      </c>
    </row>
    <row r="266">
      <c r="B266" s="21">
        <f>IFERROR(INDEX('Tablero (To Do · Doing · Done)'!$B$6:$B$266,MATCH(261,'Tablero (To Do · Doing · Done)'!$S$6:$S$266,0)),"")</f>
        <v/>
      </c>
      <c r="C266" s="21">
        <f>IFERROR(INDEX('Tablero (To Do · Doing · Done)'!$F$6:$F$266,MATCH(261,'Tablero (To Do · Doing · Done)'!$S$6:$S$266,0))&amp;" · "&amp;INDEX('Tablero (To Do · Doing · Done)'!$G$6:$G$266,MATCH(261,'Tablero (To Do · Doing · Done)'!$S$6:$S$266,0)),"")</f>
        <v/>
      </c>
      <c r="E266" s="21">
        <f>IFERROR(INDEX('Tablero (To Do · Doing · Done)'!$B$6:$B$266,MATCH(261,'Tablero (To Do · Doing · Done)'!$T$6:$T$266,0)),"")</f>
        <v/>
      </c>
      <c r="F266" s="21">
        <f>IFERROR(INDEX('Tablero (To Do · Doing · Done)'!$F$6:$F$266,MATCH(261,'Tablero (To Do · Doing · Done)'!$T$6:$T$266,0))&amp;" · "&amp;INDEX('Tablero (To Do · Doing · Done)'!$G$6:$G$266,MATCH(261,'Tablero (To Do · Doing · Done)'!$T$6:$T$266,0)),"")</f>
        <v/>
      </c>
      <c r="H266" s="21">
        <f>IFERROR(INDEX('Tablero (To Do · Doing · Done)'!$B$6:$B$266,MATCH(261,'Tablero (To Do · Doing · Done)'!$U$6:$U$266,0)),"")</f>
        <v/>
      </c>
      <c r="I266" s="21">
        <f>IFERROR(INDEX('Tablero (To Do · Doing · Done)'!$F$6:$F$266,MATCH(261,'Tablero (To Do · Doing · Done)'!$U$6:$U$266,0))&amp;" · "&amp;INDEX('Tablero (To Do · Doing · Done)'!$G$6:$G$266,MATCH(261,'Tablero (To Do · Doing · Done)'!$U$6:$U$266,0)),"")</f>
        <v/>
      </c>
    </row>
  </sheetData>
  <mergeCells count="3">
    <mergeCell ref="E4:F4"/>
    <mergeCell ref="B4:C4"/>
    <mergeCell ref="H4:I4"/>
  </mergeCells>
  <pageMargins left="0.4" right="0.4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38" customWidth="1" min="3" max="3"/>
    <col width="10" customWidth="1" min="4" max="4"/>
    <col width="9" customWidth="1" min="5" max="5"/>
    <col width="12" customWidth="1" min="6" max="6"/>
    <col width="11" customWidth="1" min="7" max="7"/>
    <col width="18" customWidth="1" min="8" max="8"/>
  </cols>
  <sheetData>
    <row r="2">
      <c r="B2" s="16" t="inlineStr">
        <is>
          <t>Resumen del sprint (se actualiza solo)</t>
        </is>
      </c>
    </row>
    <row r="4">
      <c r="B4" s="22" t="inlineStr">
        <is>
          <t>Responsable</t>
        </is>
      </c>
      <c r="C4" s="22" t="inlineStr">
        <is>
          <t>To Do</t>
        </is>
      </c>
      <c r="D4" s="22" t="inlineStr">
        <is>
          <t>Doing</t>
        </is>
      </c>
      <c r="E4" s="22" t="inlineStr">
        <is>
          <t>Done</t>
        </is>
      </c>
      <c r="F4" s="22" t="inlineStr">
        <is>
          <t>Horas pendientes</t>
        </is>
      </c>
      <c r="G4" s="22" t="inlineStr">
        <is>
          <t>Alertas de control</t>
        </is>
      </c>
    </row>
    <row r="5">
      <c r="B5" s="23" t="inlineStr">
        <is>
          <t>Fernando</t>
        </is>
      </c>
      <c r="C5" s="23">
        <f>COUNTIFS('Tablero (To Do · Doing · Done)'!$G$6:$G$266,B5,'Tablero (To Do · Doing · Done)'!$K$6:$K$266,"To Do")</f>
        <v/>
      </c>
      <c r="D5" s="23">
        <f>COUNTIFS('Tablero (To Do · Doing · Done)'!$G$6:$G$266,B5,'Tablero (To Do · Doing · Done)'!$K$6:$K$266,"Doing")</f>
        <v/>
      </c>
      <c r="E5" s="23">
        <f>COUNTIFS('Tablero (To Do · Doing · Done)'!$G$6:$G$266,B5,'Tablero (To Do · Doing · Done)'!$K$6:$K$266,"Done")</f>
        <v/>
      </c>
      <c r="F5" s="23">
        <f>SUMIFS('Tablero (To Do · Doing · Done)'!$H$6:$H$266,'Tablero (To Do · Doing · Done)'!$G$6:$G$266,B5,'Tablero (To Do · Doing · Done)'!$K$6:$K$266,"&lt;&gt;Done")</f>
        <v/>
      </c>
      <c r="G5" s="23">
        <f>COUNTIFS('Tablero (To Do · Doing · Done)'!$G$6:$G$266,B5,'Tablero (To Do · Doing · Done)'!$R$6:$R$266,"⚠*")</f>
        <v/>
      </c>
    </row>
    <row r="6">
      <c r="B6" s="23" t="inlineStr">
        <is>
          <t>Henry</t>
        </is>
      </c>
      <c r="C6" s="23">
        <f>COUNTIFS('Tablero (To Do · Doing · Done)'!$G$6:$G$266,B6,'Tablero (To Do · Doing · Done)'!$K$6:$K$266,"To Do")</f>
        <v/>
      </c>
      <c r="D6" s="23">
        <f>COUNTIFS('Tablero (To Do · Doing · Done)'!$G$6:$G$266,B6,'Tablero (To Do · Doing · Done)'!$K$6:$K$266,"Doing")</f>
        <v/>
      </c>
      <c r="E6" s="23">
        <f>COUNTIFS('Tablero (To Do · Doing · Done)'!$G$6:$G$266,B6,'Tablero (To Do · Doing · Done)'!$K$6:$K$266,"Done")</f>
        <v/>
      </c>
      <c r="F6" s="23">
        <f>SUMIFS('Tablero (To Do · Doing · Done)'!$H$6:$H$266,'Tablero (To Do · Doing · Done)'!$G$6:$G$266,B6,'Tablero (To Do · Doing · Done)'!$K$6:$K$266,"&lt;&gt;Done")</f>
        <v/>
      </c>
      <c r="G6" s="23">
        <f>COUNTIFS('Tablero (To Do · Doing · Done)'!$G$6:$G$266,B6,'Tablero (To Do · Doing · Done)'!$R$6:$R$266,"⚠*")</f>
        <v/>
      </c>
    </row>
    <row r="7">
      <c r="B7" s="23" t="inlineStr">
        <is>
          <t>Nicolás</t>
        </is>
      </c>
      <c r="C7" s="23">
        <f>COUNTIFS('Tablero (To Do · Doing · Done)'!$G$6:$G$266,B7,'Tablero (To Do · Doing · Done)'!$K$6:$K$266,"To Do")</f>
        <v/>
      </c>
      <c r="D7" s="23">
        <f>COUNTIFS('Tablero (To Do · Doing · Done)'!$G$6:$G$266,B7,'Tablero (To Do · Doing · Done)'!$K$6:$K$266,"Doing")</f>
        <v/>
      </c>
      <c r="E7" s="23">
        <f>COUNTIFS('Tablero (To Do · Doing · Done)'!$G$6:$G$266,B7,'Tablero (To Do · Doing · Done)'!$K$6:$K$266,"Done")</f>
        <v/>
      </c>
      <c r="F7" s="23">
        <f>SUMIFS('Tablero (To Do · Doing · Done)'!$H$6:$H$266,'Tablero (To Do · Doing · Done)'!$G$6:$G$266,B7,'Tablero (To Do · Doing · Done)'!$K$6:$K$266,"&lt;&gt;Done")</f>
        <v/>
      </c>
      <c r="G7" s="23">
        <f>COUNTIFS('Tablero (To Do · Doing · Done)'!$G$6:$G$266,B7,'Tablero (To Do · Doing · Done)'!$R$6:$R$266,"⚠*")</f>
        <v/>
      </c>
    </row>
    <row r="8">
      <c r="B8" s="23" t="inlineStr">
        <is>
          <t>Adiel</t>
        </is>
      </c>
      <c r="C8" s="23">
        <f>COUNTIFS('Tablero (To Do · Doing · Done)'!$G$6:$G$266,B8,'Tablero (To Do · Doing · Done)'!$K$6:$K$266,"To Do")</f>
        <v/>
      </c>
      <c r="D8" s="23">
        <f>COUNTIFS('Tablero (To Do · Doing · Done)'!$G$6:$G$266,B8,'Tablero (To Do · Doing · Done)'!$K$6:$K$266,"Doing")</f>
        <v/>
      </c>
      <c r="E8" s="23">
        <f>COUNTIFS('Tablero (To Do · Doing · Done)'!$G$6:$G$266,B8,'Tablero (To Do · Doing · Done)'!$K$6:$K$266,"Done")</f>
        <v/>
      </c>
      <c r="F8" s="23">
        <f>SUMIFS('Tablero (To Do · Doing · Done)'!$H$6:$H$266,'Tablero (To Do · Doing · Done)'!$G$6:$G$266,B8,'Tablero (To Do · Doing · Done)'!$K$6:$K$266,"&lt;&gt;Done")</f>
        <v/>
      </c>
      <c r="G8" s="23">
        <f>COUNTIFS('Tablero (To Do · Doing · Done)'!$G$6:$G$266,B8,'Tablero (To Do · Doing · Done)'!$R$6:$R$266,"⚠*")</f>
        <v/>
      </c>
    </row>
    <row r="9">
      <c r="B9" s="24" t="inlineStr">
        <is>
          <t>Total</t>
        </is>
      </c>
      <c r="C9" s="24">
        <f>SUM(C5:C8)</f>
        <v/>
      </c>
      <c r="D9" s="24">
        <f>SUM(D5:D8)</f>
        <v/>
      </c>
      <c r="E9" s="24">
        <f>SUM(E5:E8)</f>
        <v/>
      </c>
      <c r="F9" s="24">
        <f>SUM(F5:F8)</f>
        <v/>
      </c>
      <c r="G9" s="24">
        <f>SUM(G5:G8)</f>
        <v/>
      </c>
    </row>
    <row r="12">
      <c r="B12" s="22" t="inlineStr">
        <is>
          <t>Historia</t>
        </is>
      </c>
      <c r="C12" s="22" t="inlineStr">
        <is>
          <t>Nombre</t>
        </is>
      </c>
      <c r="D12" s="22" t="inlineStr">
        <is>
          <t>Puntos</t>
        </is>
      </c>
      <c r="E12" s="22" t="inlineStr">
        <is>
          <t>Tareas</t>
        </is>
      </c>
      <c r="F12" s="22" t="inlineStr">
        <is>
          <t>Done</t>
        </is>
      </c>
      <c r="G12" s="22" t="inlineStr">
        <is>
          <t>% avance</t>
        </is>
      </c>
      <c r="H12" s="22" t="inlineStr">
        <is>
          <t>Estado de la historia</t>
        </is>
      </c>
    </row>
    <row r="13">
      <c r="B13" s="23" t="inlineStr">
        <is>
          <t>HU-01</t>
        </is>
      </c>
      <c r="C13" s="23" t="inlineStr">
        <is>
          <t>Crear proyecto</t>
        </is>
      </c>
      <c r="D13" s="23" t="n">
        <v>3</v>
      </c>
      <c r="E13" s="23">
        <f>COUNTIF('Tablero (To Do · Doing · Done)'!$C$6:$C$266,B13)</f>
        <v/>
      </c>
      <c r="F13" s="23">
        <f>COUNTIFS('Tablero (To Do · Doing · Done)'!$C$6:$C$266,B13,'Tablero (To Do · Doing · Done)'!$K$6:$K$266,"Done")</f>
        <v/>
      </c>
      <c r="G13" s="25">
        <f>IF(E13=0,0,F13/E13)</f>
        <v/>
      </c>
      <c r="H13" s="23">
        <f>IF(COUNTIFS('Tablero (To Do · Doing · Done)'!$C$6:$C$266,B13,'Tablero (To Do · Doing · Done)'!$E$6:$E$266,"Aceptación",'Tablero (To Do · Doing · Done)'!$K$6:$K$266,"Done")=1,"Done",IF(F13&gt;0,"Doing","To Do"))</f>
        <v/>
      </c>
    </row>
    <row r="14">
      <c r="B14" s="23" t="inlineStr">
        <is>
          <t>HU-03</t>
        </is>
      </c>
      <c r="C14" s="23" t="inlineStr">
        <is>
          <t>Reportar la obra en semanas</t>
        </is>
      </c>
      <c r="D14" s="23" t="n">
        <v>3</v>
      </c>
      <c r="E14" s="23">
        <f>COUNTIF('Tablero (To Do · Doing · Done)'!$C$6:$C$266,B14)</f>
        <v/>
      </c>
      <c r="F14" s="23">
        <f>COUNTIFS('Tablero (To Do · Doing · Done)'!$C$6:$C$266,B14,'Tablero (To Do · Doing · Done)'!$K$6:$K$266,"Done")</f>
        <v/>
      </c>
      <c r="G14" s="25">
        <f>IF(E14=0,0,F14/E14)</f>
        <v/>
      </c>
      <c r="H14" s="23">
        <f>IF(COUNTIFS('Tablero (To Do · Doing · Done)'!$C$6:$C$266,B14,'Tablero (To Do · Doing · Done)'!$E$6:$E$266,"Aceptación",'Tablero (To Do · Doing · Done)'!$K$6:$K$266,"Done")=1,"Done",IF(F14&gt;0,"Doing","To Do"))</f>
        <v/>
      </c>
    </row>
    <row r="15">
      <c r="B15" s="23" t="inlineStr">
        <is>
          <t>HU-07</t>
        </is>
      </c>
      <c r="C15" s="23" t="inlineStr">
        <is>
          <t>Importar catálogo de insumos del S10</t>
        </is>
      </c>
      <c r="D15" s="23" t="n">
        <v>8</v>
      </c>
      <c r="E15" s="23">
        <f>COUNTIF('Tablero (To Do · Doing · Done)'!$C$6:$C$266,B15)</f>
        <v/>
      </c>
      <c r="F15" s="23">
        <f>COUNTIFS('Tablero (To Do · Doing · Done)'!$C$6:$C$266,B15,'Tablero (To Do · Doing · Done)'!$K$6:$K$266,"Done")</f>
        <v/>
      </c>
      <c r="G15" s="25">
        <f>IF(E15=0,0,F15/E15)</f>
        <v/>
      </c>
      <c r="H15" s="23">
        <f>IF(COUNTIFS('Tablero (To Do · Doing · Done)'!$C$6:$C$266,B15,'Tablero (To Do · Doing · Done)'!$E$6:$E$266,"Aceptación",'Tablero (To Do · Doing · Done)'!$K$6:$K$266,"Done")=1,"Done",IF(F15&gt;0,"Doing","To Do"))</f>
        <v/>
      </c>
    </row>
    <row r="16">
      <c r="B16" s="23" t="inlineStr">
        <is>
          <t>HU-08</t>
        </is>
      </c>
      <c r="C16" s="23" t="inlineStr">
        <is>
          <t>Registrar insumos</t>
        </is>
      </c>
      <c r="D16" s="23" t="n">
        <v>5</v>
      </c>
      <c r="E16" s="23">
        <f>COUNTIF('Tablero (To Do · Doing · Done)'!$C$6:$C$266,B16)</f>
        <v/>
      </c>
      <c r="F16" s="23">
        <f>COUNTIFS('Tablero (To Do · Doing · Done)'!$C$6:$C$266,B16,'Tablero (To Do · Doing · Done)'!$K$6:$K$266,"Done")</f>
        <v/>
      </c>
      <c r="G16" s="25">
        <f>IF(E16=0,0,F16/E16)</f>
        <v/>
      </c>
      <c r="H16" s="23">
        <f>IF(COUNTIFS('Tablero (To Do · Doing · Done)'!$C$6:$C$266,B16,'Tablero (To Do · Doing · Done)'!$E$6:$E$266,"Aceptación",'Tablero (To Do · Doing · Done)'!$K$6:$K$266,"Done")=1,"Done",IF(F16&gt;0,"Doing","To Do"))</f>
        <v/>
      </c>
    </row>
    <row r="17">
      <c r="B17" s="23" t="inlineStr">
        <is>
          <t>HU-12</t>
        </is>
      </c>
      <c r="C17" s="23" t="inlineStr">
        <is>
          <t>Loguear usuario</t>
        </is>
      </c>
      <c r="D17" s="23" t="n">
        <v>5</v>
      </c>
      <c r="E17" s="23">
        <f>COUNTIF('Tablero (To Do · Doing · Done)'!$C$6:$C$266,B17)</f>
        <v/>
      </c>
      <c r="F17" s="23">
        <f>COUNTIFS('Tablero (To Do · Doing · Done)'!$C$6:$C$266,B17,'Tablero (To Do · Doing · Done)'!$K$6:$K$266,"Done")</f>
        <v/>
      </c>
      <c r="G17" s="25">
        <f>IF(E17=0,0,F17/E17)</f>
        <v/>
      </c>
      <c r="H17" s="23">
        <f>IF(COUNTIFS('Tablero (To Do · Doing · Done)'!$C$6:$C$266,B17,'Tablero (To Do · Doing · Done)'!$E$6:$E$266,"Aceptación",'Tablero (To Do · Doing · Done)'!$K$6:$K$266,"Done")=1,"Done",IF(F17&gt;0,"Doing","To Do"))</f>
        <v/>
      </c>
    </row>
    <row r="18">
      <c r="B18" s="23" t="inlineStr">
        <is>
          <t>HU-13</t>
        </is>
      </c>
      <c r="C18" s="23" t="inlineStr">
        <is>
          <t>Asignar roles</t>
        </is>
      </c>
      <c r="D18" s="23" t="n">
        <v>5</v>
      </c>
      <c r="E18" s="23">
        <f>COUNTIF('Tablero (To Do · Doing · Done)'!$C$6:$C$266,B18)</f>
        <v/>
      </c>
      <c r="F18" s="23">
        <f>COUNTIFS('Tablero (To Do · Doing · Done)'!$C$6:$C$266,B18,'Tablero (To Do · Doing · Done)'!$K$6:$K$266,"Done")</f>
        <v/>
      </c>
      <c r="G18" s="25">
        <f>IF(E18=0,0,F18/E18)</f>
        <v/>
      </c>
      <c r="H18" s="23">
        <f>IF(COUNTIFS('Tablero (To Do · Doing · Done)'!$C$6:$C$266,B18,'Tablero (To Do · Doing · Done)'!$E$6:$E$266,"Aceptación",'Tablero (To Do · Doing · Done)'!$K$6:$K$266,"Done")=1,"Done",IF(F18&gt;0,"Doing","To Do"))</f>
        <v/>
      </c>
    </row>
    <row r="19">
      <c r="B19" s="23" t="inlineStr">
        <is>
          <t>HU-14</t>
        </is>
      </c>
      <c r="C19" s="23" t="inlineStr">
        <is>
          <t>Asignar usuarios a obras</t>
        </is>
      </c>
      <c r="D19" s="23" t="n">
        <v>3</v>
      </c>
      <c r="E19" s="23">
        <f>COUNTIF('Tablero (To Do · Doing · Done)'!$C$6:$C$266,B19)</f>
        <v/>
      </c>
      <c r="F19" s="23">
        <f>COUNTIFS('Tablero (To Do · Doing · Done)'!$C$6:$C$266,B19,'Tablero (To Do · Doing · Done)'!$K$6:$K$266,"Done")</f>
        <v/>
      </c>
      <c r="G19" s="25">
        <f>IF(E19=0,0,F19/E19)</f>
        <v/>
      </c>
      <c r="H19" s="23">
        <f>IF(COUNTIFS('Tablero (To Do · Doing · Done)'!$C$6:$C$266,B19,'Tablero (To Do · Doing · Done)'!$E$6:$E$266,"Aceptación",'Tablero (To Do · Doing · Done)'!$K$6:$K$266,"Done")=1,"Done",IF(F19&gt;0,"Doing","To Do"))</f>
        <v/>
      </c>
    </row>
    <row r="20">
      <c r="B20" s="23" t="inlineStr">
        <is>
          <t>HU-15</t>
        </is>
      </c>
      <c r="C20" s="23" t="inlineStr">
        <is>
          <t>Autorizar celular de la obra</t>
        </is>
      </c>
      <c r="D20" s="23" t="n">
        <v>5</v>
      </c>
      <c r="E20" s="23">
        <f>COUNTIF('Tablero (To Do · Doing · Done)'!$C$6:$C$266,B20)</f>
        <v/>
      </c>
      <c r="F20" s="23">
        <f>COUNTIFS('Tablero (To Do · Doing · Done)'!$C$6:$C$266,B20,'Tablero (To Do · Doing · Done)'!$K$6:$K$266,"Done")</f>
        <v/>
      </c>
      <c r="G20" s="25">
        <f>IF(E20=0,0,F20/E20)</f>
        <v/>
      </c>
      <c r="H20" s="23">
        <f>IF(COUNTIFS('Tablero (To Do · Doing · Done)'!$C$6:$C$266,B20,'Tablero (To Do · Doing · Done)'!$E$6:$E$266,"Aceptación",'Tablero (To Do · Doing · Done)'!$K$6:$K$266,"Done")=1,"Done",IF(F20&gt;0,"Doing","To Do"))</f>
        <v/>
      </c>
    </row>
    <row r="21">
      <c r="B21" s="23" t="inlineStr">
        <is>
          <t>HU-16</t>
        </is>
      </c>
      <c r="C21" s="23" t="inlineStr">
        <is>
          <t>Importar precios unitarios</t>
        </is>
      </c>
      <c r="D21" s="23" t="n">
        <v>8</v>
      </c>
      <c r="E21" s="23">
        <f>COUNTIF('Tablero (To Do · Doing · Done)'!$C$6:$C$266,B21)</f>
        <v/>
      </c>
      <c r="F21" s="23">
        <f>COUNTIFS('Tablero (To Do · Doing · Done)'!$C$6:$C$266,B21,'Tablero (To Do · Doing · Done)'!$K$6:$K$266,"Done")</f>
        <v/>
      </c>
      <c r="G21" s="25">
        <f>IF(E21=0,0,F21/E21)</f>
        <v/>
      </c>
      <c r="H21" s="23">
        <f>IF(COUNTIFS('Tablero (To Do · Doing · Done)'!$C$6:$C$266,B21,'Tablero (To Do · Doing · Done)'!$E$6:$E$266,"Aceptación",'Tablero (To Do · Doing · Done)'!$K$6:$K$266,"Done")=1,"Done",IF(F21&gt;0,"Doing","To Do"))</f>
        <v/>
      </c>
    </row>
    <row r="22">
      <c r="B22" s="23" t="inlineStr">
        <is>
          <t>HU-17</t>
        </is>
      </c>
      <c r="C22" s="23" t="inlineStr">
        <is>
          <t>Convertir unidades (kg a varillas)</t>
        </is>
      </c>
      <c r="D22" s="23" t="n">
        <v>3</v>
      </c>
      <c r="E22" s="23">
        <f>COUNTIF('Tablero (To Do · Doing · Done)'!$C$6:$C$266,B22)</f>
        <v/>
      </c>
      <c r="F22" s="23">
        <f>COUNTIFS('Tablero (To Do · Doing · Done)'!$C$6:$C$266,B22,'Tablero (To Do · Doing · Done)'!$K$6:$K$266,"Done")</f>
        <v/>
      </c>
      <c r="G22" s="25">
        <f>IF(E22=0,0,F22/E22)</f>
        <v/>
      </c>
      <c r="H22" s="23">
        <f>IF(COUNTIFS('Tablero (To Do · Doing · Done)'!$C$6:$C$266,B22,'Tablero (To Do · Doing · Done)'!$E$6:$E$266,"Aceptación",'Tablero (To Do · Doing · Done)'!$K$6:$K$266,"Done")=1,"Done",IF(F22&gt;0,"Doing","To Do"))</f>
        <v/>
      </c>
    </row>
    <row r="23">
      <c r="B23" s="23" t="inlineStr">
        <is>
          <t>HU-19</t>
        </is>
      </c>
      <c r="C23" s="23" t="inlineStr">
        <is>
          <t>Importar requerimiento de la obra</t>
        </is>
      </c>
      <c r="D23" s="23" t="n">
        <v>5</v>
      </c>
      <c r="E23" s="23">
        <f>COUNTIF('Tablero (To Do · Doing · Done)'!$C$6:$C$266,B23)</f>
        <v/>
      </c>
      <c r="F23" s="23">
        <f>COUNTIFS('Tablero (To Do · Doing · Done)'!$C$6:$C$266,B23,'Tablero (To Do · Doing · Done)'!$K$6:$K$266,"Done")</f>
        <v/>
      </c>
      <c r="G23" s="25">
        <f>IF(E23=0,0,F23/E23)</f>
        <v/>
      </c>
      <c r="H23" s="23">
        <f>IF(COUNTIFS('Tablero (To Do · Doing · Done)'!$C$6:$C$266,B23,'Tablero (To Do · Doing · Done)'!$E$6:$E$266,"Aceptación",'Tablero (To Do · Doing · Done)'!$K$6:$K$266,"Done")=1,"Done",IF(F23&gt;0,"Doing","To Do"))</f>
        <v/>
      </c>
    </row>
    <row r="24">
      <c r="B24" s="23" t="inlineStr">
        <is>
          <t>HU-23</t>
        </is>
      </c>
      <c r="C24" s="23" t="inlineStr">
        <is>
          <t>Consultar cuánto se compró y consumió</t>
        </is>
      </c>
      <c r="D24" s="23" t="n">
        <v>5</v>
      </c>
      <c r="E24" s="23">
        <f>COUNTIF('Tablero (To Do · Doing · Done)'!$C$6:$C$266,B24)</f>
        <v/>
      </c>
      <c r="F24" s="23">
        <f>COUNTIFS('Tablero (To Do · Doing · Done)'!$C$6:$C$266,B24,'Tablero (To Do · Doing · Done)'!$K$6:$K$266,"Done")</f>
        <v/>
      </c>
      <c r="G24" s="25">
        <f>IF(E24=0,0,F24/E24)</f>
        <v/>
      </c>
      <c r="H24" s="23">
        <f>IF(COUNTIFS('Tablero (To Do · Doing · Done)'!$C$6:$C$266,B24,'Tablero (To Do · Doing · Done)'!$E$6:$E$266,"Aceptación",'Tablero (To Do · Doing · Done)'!$K$6:$K$266,"Done")=1,"Done",IF(F24&gt;0,"Doing","To Do"))</f>
        <v/>
      </c>
    </row>
    <row r="25">
      <c r="B25" s="23" t="inlineStr">
        <is>
          <t>HU-24</t>
        </is>
      </c>
      <c r="C25" s="23" t="inlineStr">
        <is>
          <t>Consultar cuánto falta comprar</t>
        </is>
      </c>
      <c r="D25" s="23" t="n">
        <v>3</v>
      </c>
      <c r="E25" s="23">
        <f>COUNTIF('Tablero (To Do · Doing · Done)'!$C$6:$C$266,B25)</f>
        <v/>
      </c>
      <c r="F25" s="23">
        <f>COUNTIFS('Tablero (To Do · Doing · Done)'!$C$6:$C$266,B25,'Tablero (To Do · Doing · Done)'!$K$6:$K$266,"Done")</f>
        <v/>
      </c>
      <c r="G25" s="25">
        <f>IF(E25=0,0,F25/E25)</f>
        <v/>
      </c>
      <c r="H25" s="23">
        <f>IF(COUNTIFS('Tablero (To Do · Doing · Done)'!$C$6:$C$266,B25,'Tablero (To Do · Doing · Done)'!$E$6:$E$266,"Aceptación",'Tablero (To Do · Doing · Done)'!$K$6:$K$266,"Done")=1,"Done",IF(F25&gt;0,"Doing","To Do"))</f>
        <v/>
      </c>
    </row>
    <row r="26">
      <c r="B26" s="23" t="inlineStr">
        <is>
          <t>HU-25</t>
        </is>
      </c>
      <c r="C26" s="23" t="inlineStr">
        <is>
          <t>Definir punto de reposición</t>
        </is>
      </c>
      <c r="D26" s="23" t="n">
        <v>5</v>
      </c>
      <c r="E26" s="23">
        <f>COUNTIF('Tablero (To Do · Doing · Done)'!$C$6:$C$266,B26)</f>
        <v/>
      </c>
      <c r="F26" s="23">
        <f>COUNTIFS('Tablero (To Do · Doing · Done)'!$C$6:$C$266,B26,'Tablero (To Do · Doing · Done)'!$K$6:$K$266,"Done")</f>
        <v/>
      </c>
      <c r="G26" s="25">
        <f>IF(E26=0,0,F26/E26)</f>
        <v/>
      </c>
      <c r="H26" s="23">
        <f>IF(COUNTIFS('Tablero (To Do · Doing · Done)'!$C$6:$C$266,B26,'Tablero (To Do · Doing · Done)'!$E$6:$E$266,"Aceptación",'Tablero (To Do · Doing · Done)'!$K$6:$K$266,"Done")=1,"Done",IF(F26&gt;0,"Doing","To Do"))</f>
        <v/>
      </c>
    </row>
    <row r="27">
      <c r="B27" s="23" t="inlineStr">
        <is>
          <t>HU-26</t>
        </is>
      </c>
      <c r="C27" s="23" t="inlineStr">
        <is>
          <t>Avisar cuándo reponer</t>
        </is>
      </c>
      <c r="D27" s="23" t="n">
        <v>5</v>
      </c>
      <c r="E27" s="23">
        <f>COUNTIF('Tablero (To Do · Doing · Done)'!$C$6:$C$266,B27)</f>
        <v/>
      </c>
      <c r="F27" s="23">
        <f>COUNTIFS('Tablero (To Do · Doing · Done)'!$C$6:$C$266,B27,'Tablero (To Do · Doing · Done)'!$K$6:$K$266,"Done")</f>
        <v/>
      </c>
      <c r="G27" s="25">
        <f>IF(E27=0,0,F27/E27)</f>
        <v/>
      </c>
      <c r="H27" s="23">
        <f>IF(COUNTIFS('Tablero (To Do · Doing · Done)'!$C$6:$C$266,B27,'Tablero (To Do · Doing · Done)'!$E$6:$E$266,"Aceptación",'Tablero (To Do · Doing · Done)'!$K$6:$K$266,"Done")=1,"Done",IF(F27&gt;0,"Doing","To Do"))</f>
        <v/>
      </c>
    </row>
    <row r="28">
      <c r="B28" s="23" t="inlineStr">
        <is>
          <t>HU-27</t>
        </is>
      </c>
      <c r="C28" s="23" t="inlineStr">
        <is>
          <t>Sugerir cuánto comprar</t>
        </is>
      </c>
      <c r="D28" s="23" t="n">
        <v>5</v>
      </c>
      <c r="E28" s="23">
        <f>COUNTIF('Tablero (To Do · Doing · Done)'!$C$6:$C$266,B28)</f>
        <v/>
      </c>
      <c r="F28" s="23">
        <f>COUNTIFS('Tablero (To Do · Doing · Done)'!$C$6:$C$266,B28,'Tablero (To Do · Doing · Done)'!$K$6:$K$266,"Done")</f>
        <v/>
      </c>
      <c r="G28" s="25">
        <f>IF(E28=0,0,F28/E28)</f>
        <v/>
      </c>
      <c r="H28" s="23">
        <f>IF(COUNTIFS('Tablero (To Do · Doing · Done)'!$C$6:$C$266,B28,'Tablero (To Do · Doing · Done)'!$E$6:$E$266,"Aceptación",'Tablero (To Do · Doing · Done)'!$K$6:$K$266,"Done")=1,"Done",IF(F28&gt;0,"Doing","To Do"))</f>
        <v/>
      </c>
    </row>
    <row r="29">
      <c r="B29" s="23" t="inlineStr">
        <is>
          <t>HU-29</t>
        </is>
      </c>
      <c r="C29" s="23" t="inlineStr">
        <is>
          <t>Consultar proveedores</t>
        </is>
      </c>
      <c r="D29" s="23" t="n">
        <v>3</v>
      </c>
      <c r="E29" s="23">
        <f>COUNTIF('Tablero (To Do · Doing · Done)'!$C$6:$C$266,B29)</f>
        <v/>
      </c>
      <c r="F29" s="23">
        <f>COUNTIFS('Tablero (To Do · Doing · Done)'!$C$6:$C$266,B29,'Tablero (To Do · Doing · Done)'!$K$6:$K$266,"Done")</f>
        <v/>
      </c>
      <c r="G29" s="25">
        <f>IF(E29=0,0,F29/E29)</f>
        <v/>
      </c>
      <c r="H29" s="23">
        <f>IF(COUNTIFS('Tablero (To Do · Doing · Done)'!$C$6:$C$266,B29,'Tablero (To Do · Doing · Done)'!$E$6:$E$266,"Aceptación",'Tablero (To Do · Doing · Done)'!$K$6:$K$266,"Done")=1,"Done",IF(F29&gt;0,"Doing","To Do"))</f>
        <v/>
      </c>
    </row>
    <row r="30">
      <c r="B30" s="23" t="inlineStr">
        <is>
          <t>HU-30</t>
        </is>
      </c>
      <c r="C30" s="23" t="inlineStr">
        <is>
          <t>Registrar proveedores</t>
        </is>
      </c>
      <c r="D30" s="23" t="n">
        <v>3</v>
      </c>
      <c r="E30" s="23">
        <f>COUNTIF('Tablero (To Do · Doing · Done)'!$C$6:$C$266,B30)</f>
        <v/>
      </c>
      <c r="F30" s="23">
        <f>COUNTIFS('Tablero (To Do · Doing · Done)'!$C$6:$C$266,B30,'Tablero (To Do · Doing · Done)'!$K$6:$K$266,"Done")</f>
        <v/>
      </c>
      <c r="G30" s="25">
        <f>IF(E30=0,0,F30/E30)</f>
        <v/>
      </c>
      <c r="H30" s="23">
        <f>IF(COUNTIFS('Tablero (To Do · Doing · Done)'!$C$6:$C$266,B30,'Tablero (To Do · Doing · Done)'!$E$6:$E$266,"Aceptación",'Tablero (To Do · Doing · Done)'!$K$6:$K$266,"Done")=1,"Done",IF(F30&gt;0,"Doing","To Do"))</f>
        <v/>
      </c>
    </row>
    <row r="31">
      <c r="B31" s="23" t="inlineStr">
        <is>
          <t>HU-32</t>
        </is>
      </c>
      <c r="C31" s="23" t="inlineStr">
        <is>
          <t>Registrar compras</t>
        </is>
      </c>
      <c r="D31" s="23" t="n">
        <v>8</v>
      </c>
      <c r="E31" s="23">
        <f>COUNTIF('Tablero (To Do · Doing · Done)'!$C$6:$C$266,B31)</f>
        <v/>
      </c>
      <c r="F31" s="23">
        <f>COUNTIFS('Tablero (To Do · Doing · Done)'!$C$6:$C$266,B31,'Tablero (To Do · Doing · Done)'!$K$6:$K$266,"Done")</f>
        <v/>
      </c>
      <c r="G31" s="25">
        <f>IF(E31=0,0,F31/E31)</f>
        <v/>
      </c>
      <c r="H31" s="23">
        <f>IF(COUNTIFS('Tablero (To Do · Doing · Done)'!$C$6:$C$266,B31,'Tablero (To Do · Doing · Done)'!$E$6:$E$266,"Aceptación",'Tablero (To Do · Doing · Done)'!$K$6:$K$266,"Done")=1,"Done",IF(F31&gt;0,"Doing","To Do"))</f>
        <v/>
      </c>
    </row>
    <row r="32">
      <c r="B32" s="23" t="inlineStr">
        <is>
          <t>HU-35</t>
        </is>
      </c>
      <c r="C32" s="23" t="inlineStr">
        <is>
          <t>Recibir compras</t>
        </is>
      </c>
      <c r="D32" s="23" t="n">
        <v>8</v>
      </c>
      <c r="E32" s="23">
        <f>COUNTIF('Tablero (To Do · Doing · Done)'!$C$6:$C$266,B32)</f>
        <v/>
      </c>
      <c r="F32" s="23">
        <f>COUNTIFS('Tablero (To Do · Doing · Done)'!$C$6:$C$266,B32,'Tablero (To Do · Doing · Done)'!$K$6:$K$266,"Done")</f>
        <v/>
      </c>
      <c r="G32" s="25">
        <f>IF(E32=0,0,F32/E32)</f>
        <v/>
      </c>
      <c r="H32" s="23">
        <f>IF(COUNTIFS('Tablero (To Do · Doing · Done)'!$C$6:$C$266,B32,'Tablero (To Do · Doing · Done)'!$E$6:$E$266,"Aceptación",'Tablero (To Do · Doing · Done)'!$K$6:$K$266,"Done")=1,"Done",IF(F32&gt;0,"Doing","To Do"))</f>
        <v/>
      </c>
    </row>
    <row r="33">
      <c r="B33" s="23" t="inlineStr">
        <is>
          <t>HU-37</t>
        </is>
      </c>
      <c r="C33" s="23" t="inlineStr">
        <is>
          <t>Registrar sin señal</t>
        </is>
      </c>
      <c r="D33" s="23" t="n">
        <v>8</v>
      </c>
      <c r="E33" s="23">
        <f>COUNTIF('Tablero (To Do · Doing · Done)'!$C$6:$C$266,B33)</f>
        <v/>
      </c>
      <c r="F33" s="23">
        <f>COUNTIFS('Tablero (To Do · Doing · Done)'!$C$6:$C$266,B33,'Tablero (To Do · Doing · Done)'!$K$6:$K$266,"Done")</f>
        <v/>
      </c>
      <c r="G33" s="25">
        <f>IF(E33=0,0,F33/E33)</f>
        <v/>
      </c>
      <c r="H33" s="23">
        <f>IF(COUNTIFS('Tablero (To Do · Doing · Done)'!$C$6:$C$266,B33,'Tablero (To Do · Doing · Done)'!$E$6:$E$266,"Aceptación",'Tablero (To Do · Doing · Done)'!$K$6:$K$266,"Done")=1,"Done",IF(F33&gt;0,"Doing","To Do"))</f>
        <v/>
      </c>
    </row>
    <row r="34">
      <c r="B34" s="23" t="inlineStr">
        <is>
          <t>HU-38</t>
        </is>
      </c>
      <c r="C34" s="23" t="inlineStr">
        <is>
          <t>Sincronizar pendientes</t>
        </is>
      </c>
      <c r="D34" s="23" t="n">
        <v>5</v>
      </c>
      <c r="E34" s="23">
        <f>COUNTIF('Tablero (To Do · Doing · Done)'!$C$6:$C$266,B34)</f>
        <v/>
      </c>
      <c r="F34" s="23">
        <f>COUNTIFS('Tablero (To Do · Doing · Done)'!$C$6:$C$266,B34,'Tablero (To Do · Doing · Done)'!$K$6:$K$266,"Done")</f>
        <v/>
      </c>
      <c r="G34" s="25">
        <f>IF(E34=0,0,F34/E34)</f>
        <v/>
      </c>
      <c r="H34" s="23">
        <f>IF(COUNTIFS('Tablero (To Do · Doing · Done)'!$C$6:$C$266,B34,'Tablero (To Do · Doing · Done)'!$E$6:$E$266,"Aceptación",'Tablero (To Do · Doing · Done)'!$K$6:$K$266,"Done")=1,"Done",IF(F34&gt;0,"Doing","To Do"))</f>
        <v/>
      </c>
    </row>
    <row r="35">
      <c r="B35" s="23" t="inlineStr">
        <is>
          <t>HU-40</t>
        </is>
      </c>
      <c r="C35" s="23" t="inlineStr">
        <is>
          <t>Registrar salidas de material</t>
        </is>
      </c>
      <c r="D35" s="23" t="n">
        <v>8</v>
      </c>
      <c r="E35" s="23">
        <f>COUNTIF('Tablero (To Do · Doing · Done)'!$C$6:$C$266,B35)</f>
        <v/>
      </c>
      <c r="F35" s="23">
        <f>COUNTIFS('Tablero (To Do · Doing · Done)'!$C$6:$C$266,B35,'Tablero (To Do · Doing · Done)'!$K$6:$K$266,"Done")</f>
        <v/>
      </c>
      <c r="G35" s="25">
        <f>IF(E35=0,0,F35/E35)</f>
        <v/>
      </c>
      <c r="H35" s="23">
        <f>IF(COUNTIFS('Tablero (To Do · Doing · Done)'!$C$6:$C$266,B35,'Tablero (To Do · Doing · Done)'!$E$6:$E$266,"Aceptación",'Tablero (To Do · Doing · Done)'!$K$6:$K$266,"Done")=1,"Done",IF(F35&gt;0,"Doing","To Do"))</f>
        <v/>
      </c>
    </row>
    <row r="36">
      <c r="B36" s="23" t="inlineStr">
        <is>
          <t>HU-43</t>
        </is>
      </c>
      <c r="C36" s="23" t="inlineStr">
        <is>
          <t>Consultar stock</t>
        </is>
      </c>
      <c r="D36" s="23" t="n">
        <v>5</v>
      </c>
      <c r="E36" s="23">
        <f>COUNTIF('Tablero (To Do · Doing · Done)'!$C$6:$C$266,B36)</f>
        <v/>
      </c>
      <c r="F36" s="23">
        <f>COUNTIFS('Tablero (To Do · Doing · Done)'!$C$6:$C$266,B36,'Tablero (To Do · Doing · Done)'!$K$6:$K$266,"Done")</f>
        <v/>
      </c>
      <c r="G36" s="25">
        <f>IF(E36=0,0,F36/E36)</f>
        <v/>
      </c>
      <c r="H36" s="23">
        <f>IF(COUNTIFS('Tablero (To Do · Doing · Done)'!$C$6:$C$266,B36,'Tablero (To Do · Doing · Done)'!$E$6:$E$266,"Aceptación",'Tablero (To Do · Doing · Done)'!$K$6:$K$266,"Done")=1,"Done",IF(F36&gt;0,"Doing","To Do"))</f>
        <v/>
      </c>
    </row>
    <row r="37">
      <c r="B37" s="23" t="inlineStr">
        <is>
          <t>HU-45</t>
        </is>
      </c>
      <c r="C37" s="23" t="inlineStr">
        <is>
          <t>Corregir movimientos</t>
        </is>
      </c>
      <c r="D37" s="23" t="n">
        <v>5</v>
      </c>
      <c r="E37" s="23">
        <f>COUNTIF('Tablero (To Do · Doing · Done)'!$C$6:$C$266,B37)</f>
        <v/>
      </c>
      <c r="F37" s="23">
        <f>COUNTIFS('Tablero (To Do · Doing · Done)'!$C$6:$C$266,B37,'Tablero (To Do · Doing · Done)'!$K$6:$K$266,"Done")</f>
        <v/>
      </c>
      <c r="G37" s="25">
        <f>IF(E37=0,0,F37/E37)</f>
        <v/>
      </c>
      <c r="H37" s="23">
        <f>IF(COUNTIFS('Tablero (To Do · Doing · Done)'!$C$6:$C$266,B37,'Tablero (To Do · Doing · Done)'!$E$6:$E$266,"Aceptación",'Tablero (To Do · Doing · Done)'!$K$6:$K$266,"Done")=1,"Done",IF(F37&gt;0,"Doing","To Do"))</f>
        <v/>
      </c>
    </row>
    <row r="38">
      <c r="B38" s="23" t="inlineStr">
        <is>
          <t>HU-55</t>
        </is>
      </c>
      <c r="C38" s="23" t="inlineStr">
        <is>
          <t>Valorizar salidas</t>
        </is>
      </c>
      <c r="D38" s="23" t="n">
        <v>8</v>
      </c>
      <c r="E38" s="23">
        <f>COUNTIF('Tablero (To Do · Doing · Done)'!$C$6:$C$266,B38)</f>
        <v/>
      </c>
      <c r="F38" s="23">
        <f>COUNTIFS('Tablero (To Do · Doing · Done)'!$C$6:$C$266,B38,'Tablero (To Do · Doing · Done)'!$K$6:$K$266,"Done")</f>
        <v/>
      </c>
      <c r="G38" s="25">
        <f>IF(E38=0,0,F38/E38)</f>
        <v/>
      </c>
      <c r="H38" s="23">
        <f>IF(COUNTIFS('Tablero (To Do · Doing · Done)'!$C$6:$C$266,B38,'Tablero (To Do · Doing · Done)'!$E$6:$E$266,"Aceptación",'Tablero (To Do · Doing · Done)'!$K$6:$K$266,"Done")=1,"Done",IF(F38&gt;0,"Doing","To Do"))</f>
        <v/>
      </c>
    </row>
    <row r="39">
      <c r="B39" s="23" t="inlineStr">
        <is>
          <t>HU-57</t>
        </is>
      </c>
      <c r="C39" s="23" t="inlineStr">
        <is>
          <t>Comparar consumo vs. lo planificado</t>
        </is>
      </c>
      <c r="D39" s="23" t="n">
        <v>8</v>
      </c>
      <c r="E39" s="23">
        <f>COUNTIF('Tablero (To Do · Doing · Done)'!$C$6:$C$266,B39)</f>
        <v/>
      </c>
      <c r="F39" s="23">
        <f>COUNTIFS('Tablero (To Do · Doing · Done)'!$C$6:$C$266,B39,'Tablero (To Do · Doing · Done)'!$K$6:$K$266,"Done")</f>
        <v/>
      </c>
      <c r="G39" s="25">
        <f>IF(E39=0,0,F39/E39)</f>
        <v/>
      </c>
      <c r="H39" s="23">
        <f>IF(COUNTIFS('Tablero (To Do · Doing · Done)'!$C$6:$C$266,B39,'Tablero (To Do · Doing · Done)'!$E$6:$E$266,"Aceptación",'Tablero (To Do · Doing · Done)'!$K$6:$K$266,"Done")=1,"Done",IF(F39&gt;0,"Doing","To Do"))</f>
        <v/>
      </c>
    </row>
    <row r="40">
      <c r="B40" s="23" t="inlineStr">
        <is>
          <t>HU-62</t>
        </is>
      </c>
      <c r="C40" s="23" t="inlineStr">
        <is>
          <t>Registrar trabajadores</t>
        </is>
      </c>
      <c r="D40" s="23" t="n">
        <v>3</v>
      </c>
      <c r="E40" s="23">
        <f>COUNTIF('Tablero (To Do · Doing · Done)'!$C$6:$C$266,B40)</f>
        <v/>
      </c>
      <c r="F40" s="23">
        <f>COUNTIFS('Tablero (To Do · Doing · Done)'!$C$6:$C$266,B40,'Tablero (To Do · Doing · Done)'!$K$6:$K$266,"Done")</f>
        <v/>
      </c>
      <c r="G40" s="25">
        <f>IF(E40=0,0,F40/E40)</f>
        <v/>
      </c>
      <c r="H40" s="23">
        <f>IF(COUNTIFS('Tablero (To Do · Doing · Done)'!$C$6:$C$266,B40,'Tablero (To Do · Doing · Done)'!$E$6:$E$266,"Aceptación",'Tablero (To Do · Doing · Done)'!$K$6:$K$266,"Done")=1,"Done",IF(F40&gt;0,"Doing","To Do"))</f>
        <v/>
      </c>
    </row>
    <row r="41">
      <c r="B41" s="23" t="inlineStr">
        <is>
          <t>HU-63</t>
        </is>
      </c>
      <c r="C41" s="23" t="inlineStr">
        <is>
          <t>Tomar asistencia</t>
        </is>
      </c>
      <c r="D41" s="23" t="n">
        <v>5</v>
      </c>
      <c r="E41" s="23">
        <f>COUNTIF('Tablero (To Do · Doing · Done)'!$C$6:$C$266,B41)</f>
        <v/>
      </c>
      <c r="F41" s="23">
        <f>COUNTIFS('Tablero (To Do · Doing · Done)'!$C$6:$C$266,B41,'Tablero (To Do · Doing · Done)'!$K$6:$K$266,"Done")</f>
        <v/>
      </c>
      <c r="G41" s="25">
        <f>IF(E41=0,0,F41/E41)</f>
        <v/>
      </c>
      <c r="H41" s="23">
        <f>IF(COUNTIFS('Tablero (To Do · Doing · Done)'!$C$6:$C$266,B41,'Tablero (To Do · Doing · Done)'!$E$6:$E$266,"Aceptación",'Tablero (To Do · Doing · Done)'!$K$6:$K$266,"Done")=1,"Done",IF(F41&gt;0,"Doing","To Do"))</f>
        <v/>
      </c>
    </row>
    <row r="42">
      <c r="B42" s="23" t="inlineStr">
        <is>
          <t>HT-01</t>
        </is>
      </c>
      <c r="C42" s="23" t="inlineStr">
        <is>
          <t>Desplegar el ambiente de pruebas</t>
        </is>
      </c>
      <c r="D42" s="23" t="inlineStr">
        <is>
          <t>por votar</t>
        </is>
      </c>
      <c r="E42" s="23">
        <f>COUNTIF('Tablero (To Do · Doing · Done)'!$C$6:$C$266,B42)</f>
        <v/>
      </c>
      <c r="F42" s="23">
        <f>COUNTIFS('Tablero (To Do · Doing · Done)'!$C$6:$C$266,B42,'Tablero (To Do · Doing · Done)'!$K$6:$K$266,"Done")</f>
        <v/>
      </c>
      <c r="G42" s="25">
        <f>IF(E42=0,0,F42/E42)</f>
        <v/>
      </c>
      <c r="H42" s="23">
        <f>IF(COUNTIFS('Tablero (To Do · Doing · Done)'!$C$6:$C$266,B42,'Tablero (To Do · Doing · Done)'!$E$6:$E$266,"Aceptación",'Tablero (To Do · Doing · Done)'!$K$6:$K$266,"Done")=1,"Done",IF(F42&gt;0,"Doing","To Do"))</f>
        <v/>
      </c>
    </row>
    <row r="43">
      <c r="B43" s="23" t="inlineStr">
        <is>
          <t>HT-02</t>
        </is>
      </c>
      <c r="C43" s="23" t="inlineStr">
        <is>
          <t>Configurar la integración continua</t>
        </is>
      </c>
      <c r="D43" s="23" t="inlineStr">
        <is>
          <t>por votar</t>
        </is>
      </c>
      <c r="E43" s="23">
        <f>COUNTIF('Tablero (To Do · Doing · Done)'!$C$6:$C$266,B43)</f>
        <v/>
      </c>
      <c r="F43" s="23">
        <f>COUNTIFS('Tablero (To Do · Doing · Done)'!$C$6:$C$266,B43,'Tablero (To Do · Doing · Done)'!$K$6:$K$266,"Done")</f>
        <v/>
      </c>
      <c r="G43" s="25">
        <f>IF(E43=0,0,F43/E43)</f>
        <v/>
      </c>
      <c r="H43" s="23">
        <f>IF(COUNTIFS('Tablero (To Do · Doing · Done)'!$C$6:$C$266,B43,'Tablero (To Do · Doing · Done)'!$E$6:$E$266,"Aceptación",'Tablero (To Do · Doing · Done)'!$K$6:$K$266,"Done")=1,"Done",IF(F43&gt;0,"Doing","To Do"))</f>
        <v/>
      </c>
    </row>
    <row r="44">
      <c r="B44" s="23" t="inlineStr">
        <is>
          <t>HT-03</t>
        </is>
      </c>
      <c r="C44" s="23" t="inlineStr">
        <is>
          <t>Proteger el repositorio y main</t>
        </is>
      </c>
      <c r="D44" s="23" t="inlineStr">
        <is>
          <t>por votar</t>
        </is>
      </c>
      <c r="E44" s="23">
        <f>COUNTIF('Tablero (To Do · Doing · Done)'!$C$6:$C$266,B44)</f>
        <v/>
      </c>
      <c r="F44" s="23">
        <f>COUNTIFS('Tablero (To Do · Doing · Done)'!$C$6:$C$266,B44,'Tablero (To Do · Doing · Done)'!$K$6:$K$266,"Done")</f>
        <v/>
      </c>
      <c r="G44" s="25">
        <f>IF(E44=0,0,F44/E44)</f>
        <v/>
      </c>
      <c r="H44" s="23">
        <f>IF(COUNTIFS('Tablero (To Do · Doing · Done)'!$C$6:$C$266,B44,'Tablero (To Do · Doing · Done)'!$E$6:$E$266,"Aceptación",'Tablero (To Do · Doing · Done)'!$K$6:$K$266,"Done")=1,"Done",IF(F44&gt;0,"Doing","To Do"))</f>
        <v/>
      </c>
    </row>
    <row r="45">
      <c r="B45" s="23" t="inlineStr">
        <is>
          <t>HT-04</t>
        </is>
      </c>
      <c r="C45" s="23" t="inlineStr">
        <is>
          <t>Conectar la web con la API real</t>
        </is>
      </c>
      <c r="D45" s="23" t="inlineStr">
        <is>
          <t>por votar</t>
        </is>
      </c>
      <c r="E45" s="23">
        <f>COUNTIF('Tablero (To Do · Doing · Done)'!$C$6:$C$266,B45)</f>
        <v/>
      </c>
      <c r="F45" s="23">
        <f>COUNTIFS('Tablero (To Do · Doing · Done)'!$C$6:$C$266,B45,'Tablero (To Do · Doing · Done)'!$K$6:$K$266,"Done")</f>
        <v/>
      </c>
      <c r="G45" s="25">
        <f>IF(E45=0,0,F45/E45)</f>
        <v/>
      </c>
      <c r="H45" s="23">
        <f>IF(COUNTIFS('Tablero (To Do · Doing · Done)'!$C$6:$C$266,B45,'Tablero (To Do · Doing · Done)'!$E$6:$E$266,"Aceptación",'Tablero (To Do · Doing · Done)'!$K$6:$K$266,"Done")=1,"Done",IF(F45&gt;0,"Doing","To Do"))</f>
        <v/>
      </c>
    </row>
    <row r="46">
      <c r="B46" s="23" t="inlineStr">
        <is>
          <t>HT-05</t>
        </is>
      </c>
      <c r="C46" s="23" t="inlineStr">
        <is>
          <t>Crear la base de la app Android</t>
        </is>
      </c>
      <c r="D46" s="23" t="inlineStr">
        <is>
          <t>por votar</t>
        </is>
      </c>
      <c r="E46" s="23">
        <f>COUNTIF('Tablero (To Do · Doing · Done)'!$C$6:$C$266,B46)</f>
        <v/>
      </c>
      <c r="F46" s="23">
        <f>COUNTIFS('Tablero (To Do · Doing · Done)'!$C$6:$C$266,B46,'Tablero (To Do · Doing · Done)'!$K$6:$K$266,"Done")</f>
        <v/>
      </c>
      <c r="G46" s="25">
        <f>IF(E46=0,0,F46/E46)</f>
        <v/>
      </c>
      <c r="H46" s="23">
        <f>IF(COUNTIFS('Tablero (To Do · Doing · Done)'!$C$6:$C$266,B46,'Tablero (To Do · Doing · Done)'!$E$6:$E$266,"Aceptación",'Tablero (To Do · Doing · Done)'!$K$6:$K$266,"Done")=1,"Done",IF(F46&gt;0,"Doing","To Do"))</f>
        <v/>
      </c>
    </row>
    <row r="47">
      <c r="B47" s="23" t="inlineStr">
        <is>
          <t>HT-06</t>
        </is>
      </c>
      <c r="C47" s="23" t="inlineStr">
        <is>
          <t>Publicar el contrato de la API y Postman</t>
        </is>
      </c>
      <c r="D47" s="23" t="inlineStr">
        <is>
          <t>por votar</t>
        </is>
      </c>
      <c r="E47" s="23">
        <f>COUNTIF('Tablero (To Do · Doing · Done)'!$C$6:$C$266,B47)</f>
        <v/>
      </c>
      <c r="F47" s="23">
        <f>COUNTIFS('Tablero (To Do · Doing · Done)'!$C$6:$C$266,B47,'Tablero (To Do · Doing · Done)'!$K$6:$K$266,"Done")</f>
        <v/>
      </c>
      <c r="G47" s="25">
        <f>IF(E47=0,0,F47/E47)</f>
        <v/>
      </c>
      <c r="H47" s="23">
        <f>IF(COUNTIFS('Tablero (To Do · Doing · Done)'!$C$6:$C$266,B47,'Tablero (To Do · Doing · Done)'!$E$6:$E$266,"Aceptación",'Tablero (To Do · Doing · Done)'!$K$6:$K$266,"Done")=1,"Done",IF(F47&gt;0,"Doing","To Do"))</f>
        <v/>
      </c>
    </row>
    <row r="48">
      <c r="B48" s="23" t="inlineStr">
        <is>
          <t>HT-07</t>
        </is>
      </c>
      <c r="C48" s="23" t="inlineStr">
        <is>
          <t>Cargar los datos de prueba reales</t>
        </is>
      </c>
      <c r="D48" s="23" t="inlineStr">
        <is>
          <t>por votar</t>
        </is>
      </c>
      <c r="E48" s="23">
        <f>COUNTIF('Tablero (To Do · Doing · Done)'!$C$6:$C$266,B48)</f>
        <v/>
      </c>
      <c r="F48" s="23">
        <f>COUNTIFS('Tablero (To Do · Doing · Done)'!$C$6:$C$266,B48,'Tablero (To Do · Doing · Done)'!$K$6:$K$266,"Done")</f>
        <v/>
      </c>
      <c r="G48" s="25">
        <f>IF(E48=0,0,F48/E48)</f>
        <v/>
      </c>
      <c r="H48" s="23">
        <f>IF(COUNTIFS('Tablero (To Do · Doing · Done)'!$C$6:$C$266,B48,'Tablero (To Do · Doing · Done)'!$E$6:$E$266,"Aceptación",'Tablero (To Do · Doing · Done)'!$K$6:$K$266,"Done")=1,"Done",IF(F48&gt;0,"Doing","To Do"))</f>
        <v/>
      </c>
    </row>
    <row r="49">
      <c r="B49" s="23" t="inlineStr">
        <is>
          <t>HT-08</t>
        </is>
      </c>
      <c r="C49" s="23" t="inlineStr">
        <is>
          <t>Autenticar a los servicios entre sí</t>
        </is>
      </c>
      <c r="D49" s="23" t="inlineStr">
        <is>
          <t>por votar</t>
        </is>
      </c>
      <c r="E49" s="23">
        <f>COUNTIF('Tablero (To Do · Doing · Done)'!$C$6:$C$266,B49)</f>
        <v/>
      </c>
      <c r="F49" s="23">
        <f>COUNTIFS('Tablero (To Do · Doing · Done)'!$C$6:$C$266,B49,'Tablero (To Do · Doing · Done)'!$K$6:$K$266,"Done")</f>
        <v/>
      </c>
      <c r="G49" s="25">
        <f>IF(E49=0,0,F49/E49)</f>
        <v/>
      </c>
      <c r="H49" s="23">
        <f>IF(COUNTIFS('Tablero (To Do · Doing · Done)'!$C$6:$C$266,B49,'Tablero (To Do · Doing · Done)'!$E$6:$E$266,"Aceptación",'Tablero (To Do · Doing · Done)'!$K$6:$K$266,"Done")=1,"Done",IF(F49&gt;0,"Doing","To Do"))</f>
        <v/>
      </c>
    </row>
    <row r="50">
      <c r="B50" s="24" t="inlineStr">
        <is>
          <t>Velocidad (puntos de HU en Done)</t>
        </is>
      </c>
      <c r="D50" s="24">
        <f>SUMIF(H13:H49,"Done",D13:D49)</f>
        <v/>
      </c>
    </row>
    <row r="51">
      <c r="B51" s="24" t="inlineStr">
        <is>
          <t>Puntos comprometidos (HU de usuario)</t>
        </is>
      </c>
      <c r="D51" s="24">
        <f>SUM(D13:D49)</f>
        <v/>
      </c>
    </row>
  </sheetData>
  <pageMargins left="0.4" right="0.4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10" customWidth="1" min="3" max="3"/>
  </cols>
  <sheetData>
    <row r="2">
      <c r="B2" s="16" t="inlineStr">
        <is>
          <t>Criterios acordados del tablero</t>
        </is>
      </c>
    </row>
    <row r="4">
      <c r="B4" s="26" t="inlineStr">
        <is>
          <t>REGLAS DEL TABLERO</t>
        </is>
      </c>
    </row>
    <row r="5" ht="30" customHeight="1">
      <c r="B5" s="27" t="inlineStr">
        <is>
          <t>To Do → Doing</t>
        </is>
      </c>
      <c r="C5" s="28" t="inlineStr">
        <is>
          <t>Solo si la HU cumple la Definición de Listo (L1–L12). Se anota la fecha y «¿DoR de la HU?» = Sí.</t>
        </is>
      </c>
    </row>
    <row r="6" ht="30" customHeight="1">
      <c r="B6" s="27" t="inlineStr">
        <is>
          <t>Doing → Done (tarea)</t>
        </is>
      </c>
      <c r="C6" s="28" t="inlineStr">
        <is>
          <t>Solo si se cumple el «Criterio para Done» de su fase. Se anota la fecha, la evidencia (PR o enlace) y «¿Criterio cumplido?» = Sí.</t>
        </is>
      </c>
    </row>
    <row r="7" ht="30" customHeight="1">
      <c r="B7" s="27" t="inlineStr">
        <is>
          <t>HU → Done</t>
        </is>
      </c>
      <c r="C7" s="28" t="inlineStr">
        <is>
          <t>Cuando su tarea «Aceptación» pasa a Done: DoD T1–T10 + condiciones finales de la tarjeta 3, aceptadas por el PO.</t>
        </is>
      </c>
    </row>
    <row r="8" ht="30" customHeight="1">
      <c r="B8" s="27" t="inlineStr">
        <is>
          <t>Trabajo en curso</t>
        </is>
      </c>
      <c r="C8" s="28" t="inlineStr">
        <is>
          <t>Máximo 2 tareas en Doing por persona (sin contar las de Scrum).</t>
        </is>
      </c>
    </row>
    <row r="9" ht="30" customHeight="1">
      <c r="B9" s="27" t="inlineStr">
        <is>
          <t>Daily</t>
        </is>
      </c>
      <c r="C9" s="28" t="inlineStr">
        <is>
          <t>Todos los días, 15 min, frente al tablero: se mueven las tarjetas y se anota la bitácora.</t>
        </is>
      </c>
    </row>
    <row r="10" ht="30" customHeight="1">
      <c r="B10" s="27" t="inlineStr">
        <is>
          <t>Cierre</t>
        </is>
      </c>
      <c r="C10" s="28" t="inlineStr">
        <is>
          <t>Lunes 27/10 (penúltimo día): todo en Done. Martes 28/10: Review y Retrospectiva. Lo que no llegue vuelve al Product Backlog.</t>
        </is>
      </c>
    </row>
    <row r="11" ht="30" customHeight="1">
      <c r="B11" s="27" t="inlineStr">
        <is>
          <t>Quién prueba</t>
        </is>
      </c>
      <c r="C11" s="28" t="inlineStr">
        <is>
          <t>Siempre alguien distinto del autor de lo que falta en esa HU (T8).</t>
        </is>
      </c>
    </row>
    <row r="13">
      <c r="B13" s="26" t="inlineStr">
        <is>
          <t>CRITERIO PARA DONE POR FASE</t>
        </is>
      </c>
    </row>
    <row r="14" ht="30" customHeight="1">
      <c r="B14" s="27" t="inlineStr">
        <is>
          <t>Diseño UI</t>
        </is>
      </c>
      <c r="C14" s="28" t="inlineStr">
        <is>
          <t>Mockup en el lienzo, revisado por el equipo</t>
        </is>
      </c>
    </row>
    <row r="15" ht="30" customHeight="1">
      <c r="B15" s="27" t="inlineStr">
        <is>
          <t>Modelado UML</t>
        </is>
      </c>
      <c r="C15" s="28" t="inlineStr">
        <is>
          <t>Diagrama publicado en el repo o el lienzo</t>
        </is>
      </c>
    </row>
    <row r="16" ht="30" customHeight="1">
      <c r="B16" s="27" t="inlineStr">
        <is>
          <t>Base de datos</t>
        </is>
      </c>
      <c r="C16" s="28" t="inlineStr">
        <is>
          <t>Migración fusionada, corre en base limpia y con datos, y se revierte</t>
        </is>
      </c>
    </row>
    <row r="17" ht="30" customHeight="1">
      <c r="B17" s="27" t="inlineStr">
        <is>
          <t>Backend</t>
        </is>
      </c>
      <c r="C17" s="28" t="inlineStr">
        <is>
          <t>PR fusionado con sus pruebas automáticas en verde y el endpoint documentado</t>
        </is>
      </c>
    </row>
    <row r="18" ht="30" customHeight="1">
      <c r="B18" s="27" t="inlineStr">
        <is>
          <t>Triggers y funciones</t>
        </is>
      </c>
      <c r="C18" s="28" t="inlineStr">
        <is>
          <t>Regla en la base con su prueba, en un PR fusionado</t>
        </is>
      </c>
    </row>
    <row r="19" ht="30" customHeight="1">
      <c r="B19" s="27" t="inlineStr">
        <is>
          <t>Integración</t>
        </is>
      </c>
      <c r="C19" s="28" t="inlineStr">
        <is>
          <t>Probado con el archivo o servicio real, PR fusionado</t>
        </is>
      </c>
    </row>
    <row r="20" ht="30" customHeight="1">
      <c r="B20" s="27" t="inlineStr">
        <is>
          <t>Front-end web</t>
        </is>
      </c>
      <c r="C20" s="28" t="inlineStr">
        <is>
          <t>PR fusionado, build sin errores, modo claro/oscuro y escala 125 %</t>
        </is>
      </c>
    </row>
    <row r="21" ht="30" customHeight="1">
      <c r="B21" s="27" t="inlineStr">
        <is>
          <t>Front-end app</t>
        </is>
      </c>
      <c r="C21" s="28" t="inlineStr">
        <is>
          <t>PR fusionado; lo que registra movimientos probado en modo avión</t>
        </is>
      </c>
    </row>
    <row r="22" ht="30" customHeight="1">
      <c r="B22" s="27" t="inlineStr">
        <is>
          <t>Conexión API</t>
        </is>
      </c>
      <c r="C22" s="28" t="inlineStr">
        <is>
          <t>La pantalla muestra los datos reales del servidor y sus errores</t>
        </is>
      </c>
    </row>
    <row r="23" ht="30" customHeight="1">
      <c r="B23" s="27" t="inlineStr">
        <is>
          <t>Pruebas</t>
        </is>
      </c>
      <c r="C23" s="28" t="inlineStr">
        <is>
          <t>Cada condición final verificada con Postman y en la interfaz; PR aprobado por alguien distinto del autor</t>
        </is>
      </c>
    </row>
    <row r="24" ht="30" customHeight="1">
      <c r="B24" s="27" t="inlineStr">
        <is>
          <t>Aceptación</t>
        </is>
      </c>
      <c r="C24" s="28" t="inlineStr">
        <is>
          <t>DoD T1–T10 + condiciones finales aceptadas por el PO → la HU pasa a Done</t>
        </is>
      </c>
    </row>
    <row r="26">
      <c r="B26" s="26" t="inlineStr">
        <is>
          <t>DEFINICIÓN DE LISTO (DoR)</t>
        </is>
      </c>
    </row>
    <row r="27" ht="30" customHeight="1">
      <c r="B27" s="27" t="inlineStr">
        <is>
          <t>L1</t>
        </is>
      </c>
      <c r="C27" s="28" t="inlineStr">
        <is>
          <t>Redacción en el formato acordado — Dice «Como [perfil], quiero [necesidad], para [finalidad]», con uno de los perfiles del sistema.</t>
        </is>
      </c>
    </row>
    <row r="28" ht="30" customHeight="1">
      <c r="B28" s="27" t="inlineStr">
        <is>
          <t>L2</t>
        </is>
      </c>
      <c r="C28" s="28" t="inlineStr">
        <is>
          <t>Nombre corto en forma de acción — Verbo en infinitivo más objeto. No se admiten monitorear, administrar, gestionar, manejar, cargar, ver, controlar ni procesar.</t>
        </is>
      </c>
    </row>
    <row r="29" ht="30" customHeight="1">
      <c r="B29" s="27" t="inlineStr">
        <is>
          <t>L3</t>
        </is>
      </c>
      <c r="C29" s="28" t="inlineStr">
        <is>
          <t>Criterios de aceptación escritos y acordados — Al menos dos, redactados por el Product Owner y entendidos por quien la va a construir.</t>
        </is>
      </c>
    </row>
    <row r="30" ht="30" customHeight="1">
      <c r="B30" s="27" t="inlineStr">
        <is>
          <t>L4</t>
        </is>
      </c>
      <c r="C30" s="28" t="inlineStr">
        <is>
          <t>Dependencias resueltas o planificadas antes — Las historias de las que depende ya están Terminadas o comprometidas antes en el mismo sprint.</t>
        </is>
      </c>
    </row>
    <row r="31" ht="30" customHeight="1">
      <c r="B31" s="27" t="inlineStr">
        <is>
          <t>L5</t>
        </is>
      </c>
      <c r="C31" s="28" t="inlineStr">
        <is>
          <t>Estimada por los Developers — Tiene puntos asignados con Planning Poker por quienes la van a construir.</t>
        </is>
      </c>
    </row>
    <row r="32" ht="30" customHeight="1">
      <c r="B32" s="27" t="inlineStr">
        <is>
          <t>L6</t>
        </is>
      </c>
      <c r="C32" s="28" t="inlineStr">
        <is>
          <t>Cabe en un sprint — Si supera los 8 puntos, se divide antes de comprometerla.</t>
        </is>
      </c>
    </row>
    <row r="33" ht="30" customHeight="1">
      <c r="B33" s="27" t="inlineStr">
        <is>
          <t>L7</t>
        </is>
      </c>
      <c r="C33" s="28" t="inlineStr">
        <is>
          <t>Reglas de dominio identificadas — Se declara qué reglas le aplican: libro sin borrado, idempotencia, costo promedio ponderado, dispositivo autorizado.</t>
        </is>
      </c>
    </row>
    <row r="34" ht="30" customHeight="1">
      <c r="B34" s="27" t="inlineStr">
        <is>
          <t>L8</t>
        </is>
      </c>
      <c r="C34" s="28" t="inlineStr">
        <is>
          <t>Datos de prueba disponibles — Existe con qué probarla; para importaciones, el archivo real del S10, nunca uno inventado.</t>
        </is>
      </c>
    </row>
    <row r="35" ht="30" customHeight="1">
      <c r="B35" s="27" t="inlineStr">
        <is>
          <t>L9</t>
        </is>
      </c>
      <c r="C35" s="28" t="inlineStr">
        <is>
          <t>Responsable técnico asignado — Tiene nombre y área: backend, Android, integraciones o web.</t>
        </is>
      </c>
    </row>
    <row r="36" ht="30" customHeight="1">
      <c r="B36" s="27" t="inlineStr">
        <is>
          <t>L10</t>
        </is>
      </c>
      <c r="C36" s="28" t="inlineStr">
        <is>
          <t>Recursos identificados — Personas, dispositivos y datos con que se construye y se prueba la historia.</t>
        </is>
      </c>
    </row>
    <row r="37" ht="30" customHeight="1">
      <c r="B37" s="27" t="inlineStr">
        <is>
          <t>L11</t>
        </is>
      </c>
      <c r="C37" s="28" t="inlineStr">
        <is>
          <t>Requisitos técnicos de programación definidos — Lenguaje, framework y librerías que la historia necesita, ya instalados en el equipo de quien la construye.</t>
        </is>
      </c>
    </row>
    <row r="38" ht="30" customHeight="1">
      <c r="B38" s="27" t="inlineStr">
        <is>
          <t>L12</t>
        </is>
      </c>
      <c r="C38" s="28" t="inlineStr">
        <is>
          <t>Accesos de red disponibles — Repositorio, API, base de datos y servicios externos a los que la historia necesita llegar, con sus credenciales fuera del código.</t>
        </is>
      </c>
    </row>
    <row r="40">
      <c r="B40" s="26" t="inlineStr">
        <is>
          <t>DEFINICIÓN DE TERMINADO (DoD)</t>
        </is>
      </c>
    </row>
    <row r="41" ht="30" customHeight="1">
      <c r="B41" s="27" t="inlineStr">
        <is>
          <t>T1</t>
        </is>
      </c>
      <c r="C41" s="28" t="inlineStr">
        <is>
          <t>Código integrado en la rama principal — Entró por Pull Request aprobado por un integrante distinto del autor, aunque el cambio sea pequeño.</t>
        </is>
      </c>
    </row>
    <row r="42" ht="30" customHeight="1">
      <c r="B42" s="27" t="inlineStr">
        <is>
          <t>T2</t>
        </is>
      </c>
      <c r="C42" s="28" t="inlineStr">
        <is>
          <t>Migración de base de datos aplicada — Corre sobre base limpia y sobre base con datos, y se puede revertir.</t>
        </is>
      </c>
    </row>
    <row r="43" ht="30" customHeight="1">
      <c r="B43" s="27" t="inlineStr">
        <is>
          <t>T3</t>
        </is>
      </c>
      <c r="C43" s="28" t="inlineStr">
        <is>
          <t>Sin defectos críticos ni bloqueantes abiertos — Revisión del tablero de incidencias antes de la Sprint Review.</t>
        </is>
      </c>
    </row>
    <row r="44" ht="30" customHeight="1">
      <c r="B44" s="27" t="inlineStr">
        <is>
          <t>T4</t>
        </is>
      </c>
      <c r="C44" s="28" t="inlineStr">
        <is>
          <t>Criterios de aceptación verificados uno por uno — Se recorre cada criterio y se deja constancia del resultado.</t>
        </is>
      </c>
    </row>
    <row r="45" ht="30" customHeight="1">
      <c r="B45" s="27" t="inlineStr">
        <is>
          <t>T5</t>
        </is>
      </c>
      <c r="C45" s="28" t="inlineStr">
        <is>
          <t>Pruebas de la lógica de dominio — Saldo, costo promedio, generación de semanas: pruebas automatizadas que corren sin levantar la base.</t>
        </is>
      </c>
    </row>
    <row r="46" ht="30" customHeight="1">
      <c r="B46" s="27" t="inlineStr">
        <is>
          <t>T6</t>
        </is>
      </c>
      <c r="C46" s="28" t="inlineStr">
        <is>
          <t>Reglas críticas probadas explícitamente — Idempotencia, no borrado, saldo del servidor, dispositivo no autorizado rechazado, según corresponda.</t>
        </is>
      </c>
    </row>
    <row r="47" ht="30" customHeight="1">
      <c r="B47" s="27" t="inlineStr">
        <is>
          <t>T7</t>
        </is>
      </c>
      <c r="C47" s="28" t="inlineStr">
        <is>
          <t>Probada en condiciones reales de obra — Las historias Android se prueban en modo avión y recuperando la señal después.</t>
        </is>
      </c>
    </row>
    <row r="48" ht="30" customHeight="1">
      <c r="B48" s="27" t="inlineStr">
        <is>
          <t>T8</t>
        </is>
      </c>
      <c r="C48" s="28" t="inlineStr">
        <is>
          <t>Desplegada en el ambiente de pruebas — Alguien distinto del autor la ejecuta ahí y obtiene el resultado esperado.</t>
        </is>
      </c>
    </row>
    <row r="49" ht="30" customHeight="1">
      <c r="B49" s="27" t="inlineStr">
        <is>
          <t>T9</t>
        </is>
      </c>
      <c r="C49" s="28" t="inlineStr">
        <is>
          <t>Demostrable desde la interfaz — Nunca consultando la base de datos para probar que el dato quedó.</t>
        </is>
      </c>
    </row>
    <row r="50" ht="30" customHeight="1">
      <c r="B50" s="27" t="inlineStr">
        <is>
          <t>T10</t>
        </is>
      </c>
      <c r="C50" s="28" t="inlineStr">
        <is>
          <t>Documentación mínima actualizada — El endpoint queda descrito y toda regla de dominio precisada queda escrita en el archivo de contexto del repositorio.</t>
        </is>
      </c>
    </row>
  </sheetData>
  <mergeCells count="4">
    <mergeCell ref="B13:C13"/>
    <mergeCell ref="B4:C4"/>
    <mergeCell ref="B40:C40"/>
    <mergeCell ref="B26:C26"/>
  </mergeCells>
  <pageMargins left="0.4" right="0.4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8" customWidth="1" min="4" max="4"/>
    <col width="48" customWidth="1" min="5" max="5"/>
    <col width="90" customWidth="1" min="6" max="6"/>
  </cols>
  <sheetData>
    <row r="1"/>
    <row r="2">
      <c r="B2" s="29" t="inlineStr">
        <is>
          <t>SIGRO · Sprint 1 · Épicas, historias de usuario y tareas</t>
        </is>
      </c>
    </row>
    <row r="3">
      <c r="B3" s="30" t="inlineStr">
        <is>
          <t>261 tareas · 29 HU · 153 puntos · del 15 al 28 de octubre de 2026 · todo en Done el lunes 27</t>
        </is>
      </c>
    </row>
    <row r="4"/>
    <row r="5">
      <c r="B5" s="31" t="inlineStr">
        <is>
          <t>Épica</t>
        </is>
      </c>
      <c r="C5" s="31" t="inlineStr">
        <is>
          <t>Historia de usuario</t>
        </is>
      </c>
      <c r="D5" s="31" t="inlineStr">
        <is>
          <t>ID</t>
        </is>
      </c>
      <c r="E5" s="31" t="inlineStr">
        <is>
          <t>Tarea</t>
        </is>
      </c>
      <c r="F5" s="31" t="inlineStr">
        <is>
          <t>Descripción</t>
        </is>
      </c>
    </row>
    <row r="6" ht="66" customHeight="1">
      <c r="B6" s="32" t="inlineStr">
        <is>
          <t>E1. Preparar la obra y su control</t>
        </is>
      </c>
      <c r="C6" s="33" t="inlineStr">
        <is>
          <t>HU-01 · Crear proyecto (3 pts)</t>
        </is>
      </c>
      <c r="D6" s="34" t="inlineStr">
        <is>
          <t>T-001</t>
        </is>
      </c>
      <c r="E6" s="35" t="inlineStr">
        <is>
          <t>Diseñar la interfaz de usuario de HU-01: pantalla 9 · Crear la obra</t>
        </is>
      </c>
      <c r="F6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7" ht="66" customHeight="1">
      <c r="B7" s="36" t="n"/>
      <c r="C7" s="36" t="n"/>
      <c r="D7" s="34" t="inlineStr">
        <is>
          <t>T-002</t>
        </is>
      </c>
      <c r="E7" s="35" t="inlineStr">
        <is>
          <t>Modelar la funcionalidad de HU-01 con el diagrama UML de estados de la obra (en ejecución → ampliada → cerrada)</t>
        </is>
      </c>
      <c r="F7" s="35" t="inlineStr">
        <is>
          <t>Fernando dibuja el diagrama UML que explica cómo funciona la HU (actores, pantallas, API y base) para que quien programa no tenga que adivinar el flujo. Empieza después de T-001. 1 h · límite 24/10.</t>
        </is>
      </c>
    </row>
    <row r="8" ht="66" customHeight="1">
      <c r="B8" s="36" t="n"/>
      <c r="C8" s="36" t="n"/>
      <c r="D8" s="34" t="inlineStr">
        <is>
          <t>T-003</t>
        </is>
      </c>
      <c r="E8" s="35" t="inlineStr">
        <is>
          <t>Implementar las tablas asociadas a HU-01: proyecto, proyecto_plazo_historial</t>
        </is>
      </c>
      <c r="F8" s="35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9" ht="66" customHeight="1">
      <c r="B9" s="36" t="n"/>
      <c r="C9" s="36" t="n"/>
      <c r="D9" s="34" t="inlineStr">
        <is>
          <t>T-004</t>
        </is>
      </c>
      <c r="E9" s="35" t="inlineStr">
        <is>
          <t>Programar el back-end de HU-01 (entidad, repositorio, servicio y controlador): el endpoint para crear la obra, validando nombre y plazo obligatorios, fin ≥ inicio y estado inicial «en ejecución»</t>
        </is>
      </c>
      <c r="F9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2 h · límite 25/10.</t>
        </is>
      </c>
    </row>
    <row r="10" ht="66" customHeight="1">
      <c r="B10" s="36" t="n"/>
      <c r="C10" s="36" t="n"/>
      <c r="D10" s="34" t="inlineStr">
        <is>
          <t>T-005</t>
        </is>
      </c>
      <c r="E10" s="35" t="inlineStr">
        <is>
          <t>Implementar el CHECK de fecha de fin ≥ inicio en proyecto (HU-01)</t>
        </is>
      </c>
      <c r="F10" s="35" t="inlineStr">
        <is>
          <t>Adiel lleva la regla a la base de datos para que se cumpla aunque alguien salte la aplicación: trigger, CHECK, índice único o función, con su prueba. Empieza después de T-003. 1 h · límite 25/10.</t>
        </is>
      </c>
    </row>
    <row r="11" ht="66" customHeight="1">
      <c r="B11" s="36" t="n"/>
      <c r="C11" s="36" t="n"/>
      <c r="D11" s="34" t="inlineStr">
        <is>
          <t>T-006</t>
        </is>
      </c>
      <c r="E11" s="35" t="inlineStr">
        <is>
          <t>Programar la pantalla web para crear la obra</t>
        </is>
      </c>
      <c r="F11" s="35" t="inlineStr">
        <is>
          <t>Fernando programa la pantalla en web/ (React + TypeScript + CSS) según la pantalla 9 · Crear la obra,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12" ht="66" customHeight="1">
      <c r="B12" s="36" t="n"/>
      <c r="C12" s="36" t="n"/>
      <c r="D12" s="34" t="inlineStr">
        <is>
          <t>T-007</t>
        </is>
      </c>
      <c r="E12" s="35" t="inlineStr">
        <is>
          <t>Conectar la pantalla «Crear la obra» con el endpoint real de la API</t>
        </is>
      </c>
      <c r="F12" s="35" t="inlineStr">
        <is>
          <t>Fernando cambia los datos simulados por la API real a través del ClienteHttp: la pantalla muestra lo que devuelve el servidor y sus errores {codigo, mensaje}. Empieza después de T-004, T-006, T-240. 2 h · límite 26/10.</t>
        </is>
      </c>
    </row>
    <row r="13" ht="66" customHeight="1">
      <c r="B13" s="36" t="n"/>
      <c r="C13" s="36" t="n"/>
      <c r="D13" s="34" t="inlineStr">
        <is>
          <t>T-008</t>
        </is>
      </c>
      <c r="E13" s="35" t="inlineStr">
        <is>
          <t>Probar la funcionalidad de HU-01 (la API con Postman y la pantalla web) contra cada condición final y aprobar su PR</t>
        </is>
      </c>
      <c r="F13" s="35" t="inlineStr">
        <is>
          <t>Henry, que no programó lo que falta de HU-01, prueba los endpoints con Postman y la interfaz contra cada condición final de la tarjeta 3 en el ambiente de pruebas; si todo cumple aprueba el PR, si no lo devuelve con la falla. Estado: To Do — alguien distinto del autor (T1, T5, T8). Empieza después de T-003, T-004, T-005, T-006, T-007, T-233. 1 h · límite 27/10.</t>
        </is>
      </c>
    </row>
    <row r="14" ht="66" customHeight="1">
      <c r="B14" s="36" t="n"/>
      <c r="C14" s="37" t="n"/>
      <c r="D14" s="34" t="inlineStr">
        <is>
          <t>T-009</t>
        </is>
      </c>
      <c r="E14" s="38" t="inlineStr">
        <is>
          <t>Aceptar HU-01 como Product Owner desde la interfaz y moverla a Done</t>
        </is>
      </c>
      <c r="F14" s="35" t="inlineStr">
        <is>
          <t>El Product Owner revisa HU-01 desde la interfaz, confirma la DoD (T1–T10) y la mueve a Done. Solo así cuenta en la velocidad del sprint. Estado: To Do — mueve la HU a Done. Empieza después de T-008. 0.5 h · límite 27/10.</t>
        </is>
      </c>
    </row>
    <row r="15" ht="66" customHeight="1">
      <c r="B15" s="36" t="n"/>
      <c r="C15" s="33" t="inlineStr">
        <is>
          <t>HU-03 · Reportar la obra en semanas (3 pts)</t>
        </is>
      </c>
      <c r="D15" s="34" t="inlineStr">
        <is>
          <t>T-010</t>
        </is>
      </c>
      <c r="E15" s="35" t="inlineStr">
        <is>
          <t>Diseñar la interfaz de usuario de HU-03: pantalla 9 · Crear la obra y 22 · Detalle de la obra</t>
        </is>
      </c>
      <c r="F15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6" ht="66" customHeight="1">
      <c r="B16" s="36" t="n"/>
      <c r="C16" s="36" t="n"/>
      <c r="D16" s="34" t="inlineStr">
        <is>
          <t>T-011</t>
        </is>
      </c>
      <c r="E16" s="35" t="inlineStr">
        <is>
          <t>Modelar la funcionalidad de HU-03 con el diagrama UML de actividades de la generación de semanas</t>
        </is>
      </c>
      <c r="F16" s="35" t="inlineStr">
        <is>
          <t>Fernando dibuja el diagrama UML que explica cómo funciona la HU (actores, pantallas, API y base) para que quien programa no tenga que adivinar el flujo. Empieza después de T-010. 1 h · límite 24/10.</t>
        </is>
      </c>
    </row>
    <row r="17" ht="66" customHeight="1">
      <c r="B17" s="36" t="n"/>
      <c r="C17" s="36" t="n"/>
      <c r="D17" s="34" t="inlineStr">
        <is>
          <t>T-012</t>
        </is>
      </c>
      <c r="E17" s="35" t="inlineStr">
        <is>
          <t>Implementar las tablas asociadas a HU-03: periodo</t>
        </is>
      </c>
      <c r="F17" s="35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18" ht="66" customHeight="1">
      <c r="B18" s="36" t="n"/>
      <c r="C18" s="36" t="n"/>
      <c r="D18" s="34" t="inlineStr">
        <is>
          <t>T-013</t>
        </is>
      </c>
      <c r="E18" s="35" t="inlineStr">
        <is>
          <t>Programar el back-end de HU-03 (entidad, repositorio, servicio y controlador): la generación automática de semanas al crear la obra y al ampliar el plazo, con sus pruebas</t>
        </is>
      </c>
      <c r="F18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en la API: GET /obras/{id}/periodos y POST /obras/{id}/ampliar-plazo. 2 h · límite 25/10.</t>
        </is>
      </c>
    </row>
    <row r="19" ht="66" customHeight="1">
      <c r="B19" s="36" t="n"/>
      <c r="C19" s="36" t="n"/>
      <c r="D19" s="34" t="inlineStr">
        <is>
          <t>T-014</t>
        </is>
      </c>
      <c r="E19" s="35" t="inlineStr">
        <is>
          <t>Programar la tira de semanas en la web (cerrada, en curso, por venir)</t>
        </is>
      </c>
      <c r="F19" s="35" t="inlineStr">
        <is>
          <t>Fernando programa la pantalla en web/ (React + TypeScript + CSS) según la pantalla 9 · Crear la obra y 22 · Detalle de la obra,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20" ht="66" customHeight="1">
      <c r="B20" s="36" t="n"/>
      <c r="C20" s="36" t="n"/>
      <c r="D20" s="34" t="inlineStr">
        <is>
          <t>T-015</t>
        </is>
      </c>
      <c r="E20" s="35" t="inlineStr">
        <is>
          <t>Conectar la tira de semanas con la API real</t>
        </is>
      </c>
      <c r="F20" s="35" t="inlineStr">
        <is>
          <t>Fernando cambia los datos simulados por la API real a través del ClienteHttp: la pantalla muestra lo que devuelve el servidor y sus errores {codigo, mensaje}. Empieza después de T-013, T-014, T-240. 2 h · límite 26/10.</t>
        </is>
      </c>
    </row>
    <row r="21" ht="66" customHeight="1">
      <c r="B21" s="36" t="n"/>
      <c r="C21" s="36" t="n"/>
      <c r="D21" s="34" t="inlineStr">
        <is>
          <t>T-016</t>
        </is>
      </c>
      <c r="E21" s="35" t="inlineStr">
        <is>
          <t>Probar la funcionalidad de HU-03 (la API con Postman y la pantalla web) contra cada condición final y aprobar su PR</t>
        </is>
      </c>
      <c r="F21" s="35" t="inlineStr">
        <is>
          <t>Henry, que no programó lo que falta de HU-03, prueba los endpoints con Postman y la interfaz contra cada condición final de la tarjeta 3 en el ambiente de pruebas; si todo cumple aprueba el PR, si no lo devuelve con la falla. Estado: To Do — alguien distinto del autor (T1, T5, T8). Empieza después de T-012, T-013, T-014, T-015, T-233. 1 h · límite 27/10.</t>
        </is>
      </c>
    </row>
    <row r="22" ht="66" customHeight="1">
      <c r="B22" s="36" t="n"/>
      <c r="C22" s="37" t="n"/>
      <c r="D22" s="34" t="inlineStr">
        <is>
          <t>T-017</t>
        </is>
      </c>
      <c r="E22" s="38" t="inlineStr">
        <is>
          <t>Aceptar HU-03 como Product Owner desde la interfaz y moverla a Done</t>
        </is>
      </c>
      <c r="F22" s="35" t="inlineStr">
        <is>
          <t>El Product Owner revisa HU-03 desde la interfaz, confirma la DoD (T1–T10) y la mueve a Done. Solo así cuenta en la velocidad del sprint. Estado: To Do — mueve la HU a Done. Empieza después de T-016. 0.5 h · límite 27/10.</t>
        </is>
      </c>
    </row>
    <row r="23" ht="66" customHeight="1">
      <c r="B23" s="36" t="n"/>
      <c r="C23" s="33" t="inlineStr">
        <is>
          <t>HU-07 · Importar catálogo de insumos del S10 (8 pts)</t>
        </is>
      </c>
      <c r="D23" s="34" t="inlineStr">
        <is>
          <t>T-018</t>
        </is>
      </c>
      <c r="E23" s="35" t="inlineStr">
        <is>
          <t>Diseñar la interfaz de usuario de HU-07: pantalla 11 · Importar el catálogo del S10</t>
        </is>
      </c>
      <c r="F23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24" ht="66" customHeight="1">
      <c r="B24" s="36" t="n"/>
      <c r="C24" s="36" t="n"/>
      <c r="D24" s="34" t="inlineStr">
        <is>
          <t>T-019</t>
        </is>
      </c>
      <c r="E24" s="35" t="inlineStr">
        <is>
          <t>Modelar la funcionalidad de HU-07 con el diagrama UML de secuencia de la importación del S10 por el microservicio</t>
        </is>
      </c>
      <c r="F24" s="35" t="inlineStr">
        <is>
          <t>Fernando dibuja el diagrama UML que explica cómo funciona la HU (actores, pantallas, API y base) para que quien programa no tenga que adivinar el flujo. Estado: Done — ya está en el lienzo. 1 h · límite 24/10.</t>
        </is>
      </c>
    </row>
    <row r="25" ht="66" customHeight="1">
      <c r="B25" s="36" t="n"/>
      <c r="C25" s="36" t="n"/>
      <c r="D25" s="34" t="inlineStr">
        <is>
          <t>T-020</t>
        </is>
      </c>
      <c r="E25" s="35" t="inlineStr">
        <is>
          <t>Implementar las tablas asociadas a HU-07: insumo (crear/actualizar por código)</t>
        </is>
      </c>
      <c r="F25" s="35" t="inlineStr">
        <is>
          <t>Adiel crea o modifica las tablas, claves e índices únicos que necesita la HU mediante una migración de Alembic que corre sobre base limpia y con datos, y se puede revertir (T2). Empieza después de T-019. 1 h · límite 24/10.</t>
        </is>
      </c>
    </row>
    <row r="26" ht="66" customHeight="1">
      <c r="B26" s="36" t="n"/>
      <c r="C26" s="36" t="n"/>
      <c r="D26" s="34" t="inlineStr">
        <is>
          <t>T-021</t>
        </is>
      </c>
      <c r="E26" s="35" t="inlineStr">
        <is>
          <t>Programar el back-end de HU-07 (entidad, repositorio, servicio y controlador): el endpoint que aplica la importación: crear o actualizar insumos por código sin tocar saldos</t>
        </is>
      </c>
      <c r="F26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T-020. 4 h · límite 25/10.</t>
        </is>
      </c>
    </row>
    <row r="27" ht="66" customHeight="1">
      <c r="B27" s="36" t="n"/>
      <c r="C27" s="36" t="n"/>
      <c r="D27" s="34" t="inlineStr">
        <is>
          <t>T-022</t>
        </is>
      </c>
      <c r="E27" s="35" t="inlineStr">
        <is>
          <t>Configurar la llamada de la API a Integraciones con el token de servicio en docker compose</t>
        </is>
      </c>
      <c r="F27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To Do — decisión B del 22/10. Empieza después de T-020. 4 h · límite 25/10.</t>
        </is>
      </c>
    </row>
    <row r="28" ht="66" customHeight="1">
      <c r="B28" s="36" t="n"/>
      <c r="C28" s="36" t="n"/>
      <c r="D28" s="34" t="inlineStr">
        <is>
          <t>T-023</t>
        </is>
      </c>
      <c r="E28" s="35" t="inlineStr">
        <is>
          <t>Programar el lector del PDF «Relación de insumos» del S10 en el microservicio — integración con S10 (relación de insumos)</t>
        </is>
      </c>
      <c r="F28" s="35" t="inlineStr">
        <is>
          <t>Fernando conecta con el sistema externo sin que la API dependa de él: el microservicio devuelve datos normalizados y, si el servicio cae, el registro no se bloquea. Se prueba con el archivo o servicio real. Estado: Done — probado con el archivo real: 284 insumos, 0 fallidos, total exacto. 4 h · límite 25/10.</t>
        </is>
      </c>
    </row>
    <row r="29" ht="66" customHeight="1">
      <c r="B29" s="36" t="n"/>
      <c r="C29" s="36" t="n"/>
      <c r="D29" s="34" t="inlineStr">
        <is>
          <t>T-024</t>
        </is>
      </c>
      <c r="E29" s="35" t="inlineStr">
        <is>
          <t>Programar la pantalla web «Importar del S10» con el resumen de creados, actualizados y fallidos</t>
        </is>
      </c>
      <c r="F29" s="35" t="inlineStr">
        <is>
          <t>Fernando programa la pantalla en web/ (React + TypeScript + CSS) según la pantalla 11 · Importar el catálogo del S10, con los componentes del sistema de diseño, modo claro y oscuro, y escala de texto; la web no calcula saldos ni costos. Estado: Done — conectada al micro real. 4 h · límite 26/10.</t>
        </is>
      </c>
    </row>
    <row r="30" ht="66" customHeight="1">
      <c r="B30" s="36" t="n"/>
      <c r="C30" s="36" t="n"/>
      <c r="D30" s="34" t="inlineStr">
        <is>
          <t>T-025</t>
        </is>
      </c>
      <c r="E30" s="35" t="inlineStr">
        <is>
          <t>Probar la funcionalidad de HU-07 (la API con Postman y la pantalla web) contra cada condición final y aprobar su PR</t>
        </is>
      </c>
      <c r="F30" s="35" t="inlineStr">
        <is>
          <t>Henry, que no programó lo que falta de HU-07, prueba los endpoints con Postman y la interfaz contra cada condición final de la tarjeta 3 en el ambiente de pruebas; si todo cumple aprueba el PR, si no lo devuelve con la falla. Estado: To Do — alguien distinto del autor (T1, T5, T8). Empieza después de T-020, T-021, T-022, T-023, T-024, T-233. 1 h · límite 27/10.</t>
        </is>
      </c>
    </row>
    <row r="31" ht="66" customHeight="1">
      <c r="B31" s="36" t="n"/>
      <c r="C31" s="37" t="n"/>
      <c r="D31" s="34" t="inlineStr">
        <is>
          <t>T-026</t>
        </is>
      </c>
      <c r="E31" s="38" t="inlineStr">
        <is>
          <t>Aceptar HU-07 como Product Owner desde la interfaz y moverla a Done</t>
        </is>
      </c>
      <c r="F31" s="35" t="inlineStr">
        <is>
          <t>El Product Owner revisa HU-07 desde la interfaz, confirma la DoD (T1–T10) y la mueve a Done. Solo así cuenta en la velocidad del sprint. Estado: To Do — mueve la HU a Done. Empieza después de T-025. 0.5 h · límite 27/10.</t>
        </is>
      </c>
    </row>
    <row r="32" ht="66" customHeight="1">
      <c r="B32" s="36" t="n"/>
      <c r="C32" s="33" t="inlineStr">
        <is>
          <t>HU-08 · Registrar insumos (5 pts)</t>
        </is>
      </c>
      <c r="D32" s="34" t="inlineStr">
        <is>
          <t>T-027</t>
        </is>
      </c>
      <c r="E32" s="35" t="inlineStr">
        <is>
          <t>Diseñar la interfaz de usuario de HU-08: pantalla 16 · Catálogo e insumo</t>
        </is>
      </c>
      <c r="F32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33" ht="66" customHeight="1">
      <c r="B33" s="36" t="n"/>
      <c r="C33" s="36" t="n"/>
      <c r="D33" s="34" t="inlineStr">
        <is>
          <t>T-028</t>
        </is>
      </c>
      <c r="E33" s="35" t="inlineStr">
        <is>
          <t>Modelar la funcionalidad de HU-08 con el diagrama UML de secuencia del alta de insumo con verificación de duplicado</t>
        </is>
      </c>
      <c r="F33" s="35" t="inlineStr">
        <is>
          <t>Fernando dibuja el diagrama UML que explica cómo funciona la HU (actores, pantallas, API y base) para que quien programa no tenga que adivinar el flujo. Empieza después de T-027. 1 h · límite 24/10.</t>
        </is>
      </c>
    </row>
    <row r="34" ht="66" customHeight="1">
      <c r="B34" s="36" t="n"/>
      <c r="C34" s="36" t="n"/>
      <c r="D34" s="34" t="inlineStr">
        <is>
          <t>T-029</t>
        </is>
      </c>
      <c r="E34" s="35" t="inlineStr">
        <is>
          <t>Implementar las tablas asociadas a HU-08: insumo, insumo_nombre_comercial</t>
        </is>
      </c>
      <c r="F34" s="35" t="inlineStr">
        <is>
          <t>Adiel crea o modifica las tablas, claves e índices únicos que necesita la HU mediante una migración de Alembic que corre sobre base limpia y con datos, y se puede revertir (T2). Empieza después de T-028. 1 h · límite 24/10.</t>
        </is>
      </c>
    </row>
    <row r="35" ht="66" customHeight="1">
      <c r="B35" s="36" t="n"/>
      <c r="C35" s="36" t="n"/>
      <c r="D35" s="34" t="inlineStr">
        <is>
          <t>T-030</t>
        </is>
      </c>
      <c r="E35" s="35" t="inlineStr">
        <is>
          <t>Programar el back-end de HU-08 (entidad, repositorio, servicio y controlador): el endpoint del catálogo: generar código único, rechazar duplicados y marcar «por verificar»</t>
        </is>
      </c>
      <c r="F35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T-029. 3 h · límite 25/10.</t>
        </is>
      </c>
    </row>
    <row r="36" ht="66" customHeight="1">
      <c r="B36" s="36" t="n"/>
      <c r="C36" s="36" t="n"/>
      <c r="D36" s="34" t="inlineStr">
        <is>
          <t>T-031</t>
        </is>
      </c>
      <c r="E36" s="35" t="inlineStr">
        <is>
          <t>Programar la pantalla web del catálogo para ver, dar de alta y editar insumos</t>
        </is>
      </c>
      <c r="F36" s="35" t="inlineStr">
        <is>
          <t>Fernando programa la pantalla en web/ (React + TypeScript + CSS) según la pantalla 16 · Catálogo e insumo, con los componentes del sistema de diseño, modo claro y oscuro, y escala de texto; la web no calcula saldos ni costos. Estado: Done — pantalla hecha con datos simulados; falta conectarla a la API real. 3 h · límite 26/10.</t>
        </is>
      </c>
    </row>
    <row r="37" ht="66" customHeight="1">
      <c r="B37" s="36" t="n"/>
      <c r="C37" s="36" t="n"/>
      <c r="D37" s="34" t="inlineStr">
        <is>
          <t>T-032</t>
        </is>
      </c>
      <c r="E37" s="35" t="inlineStr">
        <is>
          <t>Conectar la pantalla del catálogo con la API real</t>
        </is>
      </c>
      <c r="F37" s="35" t="inlineStr">
        <is>
          <t>Fernando cambia los datos simulados por la API real a través del ClienteHttp: la pantalla muestra lo que devuelve el servidor y sus errores {codigo, mensaje}. Empieza después de T-030, T-031, T-240. 3 h · límite 26/10.</t>
        </is>
      </c>
    </row>
    <row r="38" ht="66" customHeight="1">
      <c r="B38" s="36" t="n"/>
      <c r="C38" s="36" t="n"/>
      <c r="D38" s="34" t="inlineStr">
        <is>
          <t>T-033</t>
        </is>
      </c>
      <c r="E38" s="35" t="inlineStr">
        <is>
          <t>Probar la funcionalidad de HU-08 (la API con Postman y la pantalla web) contra cada condición final y aprobar su PR</t>
        </is>
      </c>
      <c r="F38" s="35" t="inlineStr">
        <is>
          <t>Henry, que no programó lo que falta de HU-08, prueba los endpoints con Postman y la interfaz contra cada condición final de la tarjeta 3 en el ambiente de pruebas; si todo cumple aprueba el PR, si no lo devuelve con la falla. Estado: To Do — alguien distinto del autor (T1, T5, T8). Empieza después de T-029, T-030, T-031, T-032, T-233. 1 h · límite 27/10.</t>
        </is>
      </c>
    </row>
    <row r="39" ht="66" customHeight="1">
      <c r="B39" s="36" t="n"/>
      <c r="C39" s="37" t="n"/>
      <c r="D39" s="34" t="inlineStr">
        <is>
          <t>T-034</t>
        </is>
      </c>
      <c r="E39" s="38" t="inlineStr">
        <is>
          <t>Aceptar HU-08 como Product Owner desde la interfaz y moverla a Done</t>
        </is>
      </c>
      <c r="F39" s="35" t="inlineStr">
        <is>
          <t>El Product Owner revisa HU-08 desde la interfaz, confirma la DoD (T1–T10) y la mueve a Done. Solo así cuenta en la velocidad del sprint. Estado: To Do — mueve la HU a Done. Empieza después de T-033. 0.5 h · límite 27/10.</t>
        </is>
      </c>
    </row>
    <row r="40" ht="66" customHeight="1">
      <c r="B40" s="36" t="n"/>
      <c r="C40" s="33" t="inlineStr">
        <is>
          <t>HU-12 · Loguear usuario (5 pts)</t>
        </is>
      </c>
      <c r="D40" s="34" t="inlineStr">
        <is>
          <t>T-035</t>
        </is>
      </c>
      <c r="E40" s="35" t="inlineStr">
        <is>
          <t>Diseñar la interfaz de usuario de HU-12: pantalla 1 (app) y 20 (web) · Login</t>
        </is>
      </c>
      <c r="F40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41" ht="66" customHeight="1">
      <c r="B41" s="36" t="n"/>
      <c r="C41" s="36" t="n"/>
      <c r="D41" s="34" t="inlineStr">
        <is>
          <t>T-036</t>
        </is>
      </c>
      <c r="E41" s="35" t="inlineStr">
        <is>
          <t>Modelar la funcionalidad de HU-12 con el diagrama UML de secuencia del login y la renovación de la sesión</t>
        </is>
      </c>
      <c r="F41" s="35" t="inlineStr">
        <is>
          <t>Nicolás dibuja el diagrama UML que explica cómo funciona la HU (actores, pantallas, API y base) para que quien programa no tenga que adivinar el flujo. Empieza después de T-035. 1 h · límite 24/10.</t>
        </is>
      </c>
    </row>
    <row r="42" ht="66" customHeight="1">
      <c r="B42" s="36" t="n"/>
      <c r="C42" s="36" t="n"/>
      <c r="D42" s="34" t="inlineStr">
        <is>
          <t>T-037</t>
        </is>
      </c>
      <c r="E42" s="35" t="inlineStr">
        <is>
          <t>Implementar las tablas asociadas a HU-12: usuario (hash de la clave, intentos, estado)</t>
        </is>
      </c>
      <c r="F42" s="35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43" ht="66" customHeight="1">
      <c r="B43" s="36" t="n"/>
      <c r="C43" s="36" t="n"/>
      <c r="D43" s="34" t="inlineStr">
        <is>
          <t>T-038</t>
        </is>
      </c>
      <c r="E43" s="35" t="inlineStr">
        <is>
          <t>Programar el back-end de HU-12 (entidad, repositorio, servicio y controlador): el login con Argon2id, sesión que caduca y se renueva, y bloqueo por intentos fallidos</t>
        </is>
      </c>
      <c r="F43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3 h · límite 25/10.</t>
        </is>
      </c>
    </row>
    <row r="44" ht="66" customHeight="1">
      <c r="B44" s="36" t="n"/>
      <c r="C44" s="36" t="n"/>
      <c r="D44" s="34" t="inlineStr">
        <is>
          <t>T-039</t>
        </is>
      </c>
      <c r="E44" s="35" t="inlineStr">
        <is>
          <t>Programar la pantalla web de login y el manejo de la sesión</t>
        </is>
      </c>
      <c r="F44" s="35" t="inlineStr">
        <is>
          <t>Henry programa la pantalla en web/ (React + TypeScript + CSS) según la pantalla 1 (app) y 20 (web) · Login, con los componentes del sistema de diseño, modo claro y oscuro, y escala de texto; la web no calcula saldos ni costos. Empieza después de T-035. 3 h · límite 26/10.</t>
        </is>
      </c>
    </row>
    <row r="45" ht="66" customHeight="1">
      <c r="B45" s="36" t="n"/>
      <c r="C45" s="36" t="n"/>
      <c r="D45" s="34" t="inlineStr">
        <is>
          <t>T-040</t>
        </is>
      </c>
      <c r="E45" s="35" t="inlineStr">
        <is>
          <t>Programar el login en la app del almacenero</t>
        </is>
      </c>
      <c r="F45" s="35" t="inlineStr">
        <is>
          <t>Nicolás programa la pantalla en android/ (Kotlin + Jetpack Compose) según la pantalla 1 (app) y 20 (web) · Login: botones grandes, una acción por pantalla, y lo que registra movimientos funciona sin señal. Empieza después de T-035, T-242. 3 h · límite 26/10.</t>
        </is>
      </c>
    </row>
    <row r="46" ht="66" customHeight="1">
      <c r="B46" s="36" t="n"/>
      <c r="C46" s="36" t="n"/>
      <c r="D46" s="34" t="inlineStr">
        <is>
          <t>T-041</t>
        </is>
      </c>
      <c r="E46" s="35" t="inlineStr">
        <is>
          <t>Probar la funcionalidad de HU-12 (la API con Postman, la pantalla web y la app) contra cada condición final y aprobar su PR</t>
        </is>
      </c>
      <c r="F46" s="35" t="inlineStr">
        <is>
          <t>Fernando, que no programó lo que falta de HU-12, prueba los endpoints con Postman y la interfaz contra cada condición final de la tarjeta 3 en el ambiente de pruebas; si todo cumple aprueba el PR, si no lo devuelve con la falla. Estado: To Do — alguien distinto del autor (T1, T5, T8). Empieza después de T-037, T-038, T-039, T-040, T-233. 1 h · límite 27/10.</t>
        </is>
      </c>
    </row>
    <row r="47" ht="66" customHeight="1">
      <c r="B47" s="36" t="n"/>
      <c r="C47" s="37" t="n"/>
      <c r="D47" s="34" t="inlineStr">
        <is>
          <t>T-042</t>
        </is>
      </c>
      <c r="E47" s="38" t="inlineStr">
        <is>
          <t>Aceptar HU-12 como Product Owner desde la interfaz y moverla a Done</t>
        </is>
      </c>
      <c r="F47" s="35" t="inlineStr">
        <is>
          <t>El Product Owner revisa HU-12 desde la interfaz, confirma la DoD (T1–T10) y la mueve a Done. Solo así cuenta en la velocidad del sprint. Estado: To Do — mueve la HU a Done. Empieza después de T-041. 0.5 h · límite 27/10.</t>
        </is>
      </c>
    </row>
    <row r="48" ht="66" customHeight="1">
      <c r="B48" s="36" t="n"/>
      <c r="C48" s="33" t="inlineStr">
        <is>
          <t>HU-13 · Asignar roles (5 pts)</t>
        </is>
      </c>
      <c r="D48" s="34" t="inlineStr">
        <is>
          <t>T-043</t>
        </is>
      </c>
      <c r="E48" s="35" t="inlineStr">
        <is>
          <t>Diseñar la interfaz de usuario de HU-13: pantalla 10 · Usuarios, roles y dispositivos</t>
        </is>
      </c>
      <c r="F48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49" ht="66" customHeight="1">
      <c r="B49" s="36" t="n"/>
      <c r="C49" s="36" t="n"/>
      <c r="D49" s="34" t="inlineStr">
        <is>
          <t>T-044</t>
        </is>
      </c>
      <c r="E49" s="35" t="inlineStr">
        <is>
          <t>Modelar la funcionalidad de HU-13 con el diagrama UML de secuencia de la verificación del permiso en el servidor</t>
        </is>
      </c>
      <c r="F49" s="35" t="inlineStr">
        <is>
          <t>Henry dibuja el diagrama UML que explica cómo funciona la HU (actores, pantallas, API y base) para que quien programa no tenga que adivinar el flujo. Empieza después de T-043. 1 h · límite 24/10.</t>
        </is>
      </c>
    </row>
    <row r="50" ht="66" customHeight="1">
      <c r="B50" s="36" t="n"/>
      <c r="C50" s="36" t="n"/>
      <c r="D50" s="34" t="inlineStr">
        <is>
          <t>T-045</t>
        </is>
      </c>
      <c r="E50" s="35" t="inlineStr">
        <is>
          <t>Implementar las tablas asociadas a HU-13: asignacion (el rol vive aquí, por obra)</t>
        </is>
      </c>
      <c r="F50" s="35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51" ht="66" customHeight="1">
      <c r="B51" s="36" t="n"/>
      <c r="C51" s="36" t="n"/>
      <c r="D51" s="34" t="inlineStr">
        <is>
          <t>T-046</t>
        </is>
      </c>
      <c r="E51" s="35" t="inlineStr">
        <is>
          <t>Programar el back-end de HU-13 (entidad, repositorio, servicio y controlador): los roles y verificar sus permisos en el servidor</t>
        </is>
      </c>
      <c r="F51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4 h · límite 25/10.</t>
        </is>
      </c>
    </row>
    <row r="52" ht="66" customHeight="1">
      <c r="B52" s="36" t="n"/>
      <c r="C52" s="36" t="n"/>
      <c r="D52" s="34" t="inlineStr">
        <is>
          <t>T-047</t>
        </is>
      </c>
      <c r="E52" s="35" t="inlineStr">
        <is>
          <t>Programar la pantalla web para crear usuarios, asignar su rol y darlos de baja</t>
        </is>
      </c>
      <c r="F52" s="35" t="inlineStr">
        <is>
          <t>Henry programa la pantalla en web/ (React + TypeScript + CSS) según la pantalla 10 · Usuarios, roles y dispositivos, con los componentes del sistema de diseño, modo claro y oscuro, y escala de texto; la web no calcula saldos ni costos. Empieza después de T-043. 4 h · límite 26/10.</t>
        </is>
      </c>
    </row>
    <row r="53" ht="66" customHeight="1">
      <c r="B53" s="36" t="n"/>
      <c r="C53" s="36" t="n"/>
      <c r="D53" s="34" t="inlineStr">
        <is>
          <t>T-048</t>
        </is>
      </c>
      <c r="E53" s="35" t="inlineStr">
        <is>
          <t>Probar la funcionalidad de HU-13 (la API con Postman y la pantalla web) contra cada condición final y aprobar su PR</t>
        </is>
      </c>
      <c r="F53" s="35" t="inlineStr">
        <is>
          <t>Fernando, que no programó lo que falta de HU-13, prueba los endpoints con Postman y la interfaz contra cada condición final de la tarjeta 3 en el ambiente de pruebas; si todo cumple aprueba el PR, si no lo devuelve con la falla. Estado: To Do — alguien distinto del autor (T1, T5, T8). Empieza después de T-045, T-046, T-047, T-233. 1 h · límite 27/10.</t>
        </is>
      </c>
    </row>
    <row r="54" ht="66" customHeight="1">
      <c r="B54" s="36" t="n"/>
      <c r="C54" s="37" t="n"/>
      <c r="D54" s="34" t="inlineStr">
        <is>
          <t>T-049</t>
        </is>
      </c>
      <c r="E54" s="38" t="inlineStr">
        <is>
          <t>Aceptar HU-13 como Product Owner desde la interfaz y moverla a Done</t>
        </is>
      </c>
      <c r="F54" s="35" t="inlineStr">
        <is>
          <t>El Product Owner revisa HU-13 desde la interfaz, confirma la DoD (T1–T10) y la mueve a Done. Solo así cuenta en la velocidad del sprint. Estado: To Do — mueve la HU a Done. Empieza después de T-048. 0.5 h · límite 27/10.</t>
        </is>
      </c>
    </row>
    <row r="55" ht="66" customHeight="1">
      <c r="B55" s="36" t="n"/>
      <c r="C55" s="33" t="inlineStr">
        <is>
          <t>HU-14 · Asignar usuarios a obras (3 pts)</t>
        </is>
      </c>
      <c r="D55" s="34" t="inlineStr">
        <is>
          <t>T-050</t>
        </is>
      </c>
      <c r="E55" s="35" t="inlineStr">
        <is>
          <t>Diseñar la interfaz de usuario de HU-14: pantalla 10 · Usuarios, roles y dispositivos</t>
        </is>
      </c>
      <c r="F55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56" ht="66" customHeight="1">
      <c r="B56" s="36" t="n"/>
      <c r="C56" s="36" t="n"/>
      <c r="D56" s="34" t="inlineStr">
        <is>
          <t>T-051</t>
        </is>
      </c>
      <c r="E56" s="35" t="inlineStr">
        <is>
          <t>Modelar la funcionalidad de HU-14 con el diagrama UML de secuencia de la asignación de usuario a obra</t>
        </is>
      </c>
      <c r="F56" s="35" t="inlineStr">
        <is>
          <t>Henry dibuja el diagrama UML que explica cómo funciona la HU (actores, pantallas, API y base) para que quien programa no tenga que adivinar el flujo. Empieza después de T-050. 1 h · límite 24/10.</t>
        </is>
      </c>
    </row>
    <row r="57" ht="66" customHeight="1">
      <c r="B57" s="36" t="n"/>
      <c r="C57" s="36" t="n"/>
      <c r="D57" s="34" t="inlineStr">
        <is>
          <t>T-052</t>
        </is>
      </c>
      <c r="E57" s="35" t="inlineStr">
        <is>
          <t>Implementar las tablas asociadas a HU-14: asignacion</t>
        </is>
      </c>
      <c r="F57" s="35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58" ht="66" customHeight="1">
      <c r="B58" s="36" t="n"/>
      <c r="C58" s="36" t="n"/>
      <c r="D58" s="34" t="inlineStr">
        <is>
          <t>T-053</t>
        </is>
      </c>
      <c r="E58" s="35" t="inlineStr">
        <is>
          <t>Programar el back-end de HU-14 (entidad, repositorio, servicio y controlador): el endpoint para asignar usuarios a obras</t>
        </is>
      </c>
      <c r="F58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2 h · límite 25/10.</t>
        </is>
      </c>
    </row>
    <row r="59" ht="66" customHeight="1">
      <c r="B59" s="36" t="n"/>
      <c r="C59" s="36" t="n"/>
      <c r="D59" s="34" t="inlineStr">
        <is>
          <t>T-054</t>
        </is>
      </c>
      <c r="E59" s="35" t="inlineStr">
        <is>
          <t>Programar la pantalla web para asignar usuarios a obras</t>
        </is>
      </c>
      <c r="F59" s="35" t="inlineStr">
        <is>
          <t>Henry programa la pantalla en web/ (React + TypeScript + CSS) según la pantalla 10 · Usuarios, roles y dispositivos, con los componentes del sistema de diseño, modo claro y oscuro, y escala de texto; la web no calcula saldos ni costos. Empieza después de T-050. 2 h · límite 26/10.</t>
        </is>
      </c>
    </row>
    <row r="60" ht="66" customHeight="1">
      <c r="B60" s="36" t="n"/>
      <c r="C60" s="36" t="n"/>
      <c r="D60" s="34" t="inlineStr">
        <is>
          <t>T-055</t>
        </is>
      </c>
      <c r="E60" s="35" t="inlineStr">
        <is>
          <t>Probar la funcionalidad de HU-14 (la API con Postman y la pantalla web) contra cada condición final y aprobar su PR</t>
        </is>
      </c>
      <c r="F60" s="35" t="inlineStr">
        <is>
          <t>Fernando, que no programó lo que falta de HU-14, prueba los endpoints con Postman y la interfaz contra cada condición final de la tarjeta 3 en el ambiente de pruebas; si todo cumple aprueba el PR, si no lo devuelve con la falla. Estado: To Do — alguien distinto del autor (T1, T5, T8). Empieza después de T-052, T-053, T-054, T-233. 1 h · límite 27/10.</t>
        </is>
      </c>
    </row>
    <row r="61" ht="66" customHeight="1">
      <c r="B61" s="36" t="n"/>
      <c r="C61" s="37" t="n"/>
      <c r="D61" s="34" t="inlineStr">
        <is>
          <t>T-056</t>
        </is>
      </c>
      <c r="E61" s="38" t="inlineStr">
        <is>
          <t>Aceptar HU-14 como Product Owner desde la interfaz y moverla a Done</t>
        </is>
      </c>
      <c r="F61" s="35" t="inlineStr">
        <is>
          <t>El Product Owner revisa HU-14 desde la interfaz, confirma la DoD (T1–T10) y la mueve a Done. Solo así cuenta en la velocidad del sprint. Estado: To Do — mueve la HU a Done. Empieza después de T-055. 0.5 h · límite 27/10.</t>
        </is>
      </c>
    </row>
    <row r="62" ht="66" customHeight="1">
      <c r="B62" s="36" t="n"/>
      <c r="C62" s="33" t="inlineStr">
        <is>
          <t>HU-15 · Autorizar celular de la obra (5 pts)</t>
        </is>
      </c>
      <c r="D62" s="34" t="inlineStr">
        <is>
          <t>T-057</t>
        </is>
      </c>
      <c r="E62" s="35" t="inlineStr">
        <is>
          <t>Diseñar la interfaz de usuario de HU-15: pantalla 10 · Usuarios, roles y dispositivos</t>
        </is>
      </c>
      <c r="F62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63" ht="66" customHeight="1">
      <c r="B63" s="36" t="n"/>
      <c r="C63" s="36" t="n"/>
      <c r="D63" s="34" t="inlineStr">
        <is>
          <t>T-058</t>
        </is>
      </c>
      <c r="E63" s="35" t="inlineStr">
        <is>
          <t>Modelar la funcionalidad de HU-15 con el diagrama UML de secuencia del registro desde un dispositivo no autorizado</t>
        </is>
      </c>
      <c r="F63" s="35" t="inlineStr">
        <is>
          <t>Nicolás dibuja el diagrama UML que explica cómo funciona la HU (actores, pantallas, API y base) para que quien programa no tenga que adivinar el flujo. Empieza después de T-057. 1 h · límite 24/10.</t>
        </is>
      </c>
    </row>
    <row r="64" ht="66" customHeight="1">
      <c r="B64" s="36" t="n"/>
      <c r="C64" s="36" t="n"/>
      <c r="D64" s="34" t="inlineStr">
        <is>
          <t>T-059</t>
        </is>
      </c>
      <c r="E64" s="35" t="inlineStr">
        <is>
          <t>Implementar las tablas asociadas a HU-15: dispositivo (máximo dos activos por obra)</t>
        </is>
      </c>
      <c r="F64" s="35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65" ht="66" customHeight="1">
      <c r="B65" s="36" t="n"/>
      <c r="C65" s="36" t="n"/>
      <c r="D65" s="34" t="inlineStr">
        <is>
          <t>T-060</t>
        </is>
      </c>
      <c r="E65" s="35" t="inlineStr">
        <is>
          <t>Programar el back-end de HU-15 (entidad, repositorio, servicio y controlador): el registro de dispositivos autorizados por obra (máximo dos) y el rechazo del no autorizado</t>
        </is>
      </c>
      <c r="F65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3 h · límite 25/10.</t>
        </is>
      </c>
    </row>
    <row r="66" ht="66" customHeight="1">
      <c r="B66" s="36" t="n"/>
      <c r="C66" s="36" t="n"/>
      <c r="D66" s="34" t="inlineStr">
        <is>
          <t>T-061</t>
        </is>
      </c>
      <c r="E66" s="35" t="inlineStr">
        <is>
          <t>Programar en la app la generación del código del dispositivo en la primera instalación</t>
        </is>
      </c>
      <c r="F66" s="35" t="inlineStr">
        <is>
          <t>Nicolás programa la pantalla en android/ (Kotlin + Jetpack Compose) según la pantalla 10 · Usuarios, roles y dispositivos: botones grandes, una acción por pantalla, y lo que registra movimientos funciona sin señal. Empieza después de T-057, T-242. 3 h · límite 26/10.</t>
        </is>
      </c>
    </row>
    <row r="67" ht="66" customHeight="1">
      <c r="B67" s="36" t="n"/>
      <c r="C67" s="36" t="n"/>
      <c r="D67" s="34" t="inlineStr">
        <is>
          <t>T-062</t>
        </is>
      </c>
      <c r="E67" s="35" t="inlineStr">
        <is>
          <t>Programar la pantalla web para autorizar o cambiar el celular de la obra</t>
        </is>
      </c>
      <c r="F67" s="35" t="inlineStr">
        <is>
          <t>Henry programa la pantalla en web/ (React + TypeScript + CSS) según la pantalla 10 · Usuarios, roles y dispositivos, con los componentes del sistema de diseño, modo claro y oscuro, y escala de texto; la web no calcula saldos ni costos. Empieza después de T-057. 3 h · límite 26/10.</t>
        </is>
      </c>
    </row>
    <row r="68" ht="66" customHeight="1">
      <c r="B68" s="36" t="n"/>
      <c r="C68" s="36" t="n"/>
      <c r="D68" s="34" t="inlineStr">
        <is>
          <t>T-063</t>
        </is>
      </c>
      <c r="E68" s="35" t="inlineStr">
        <is>
          <t>Probar la funcionalidad de HU-15 (la API con Postman, la pantalla web y la app) contra cada condición final y aprobar su PR</t>
        </is>
      </c>
      <c r="F68" s="35" t="inlineStr">
        <is>
          <t>Fernando, que no programó lo que falta de HU-15, prueba los endpoints con Postman y la interfaz contra cada condición final de la tarjeta 3 en el ambiente de pruebas; si todo cumple aprueba el PR, si no lo devuelve con la falla. Estado: To Do — alguien distinto del autor (T1, T5, T8). Empieza después de T-059, T-060, T-061, T-062, T-233. 1 h · límite 27/10.</t>
        </is>
      </c>
    </row>
    <row r="69" ht="66" customHeight="1">
      <c r="B69" s="37" t="n"/>
      <c r="C69" s="37" t="n"/>
      <c r="D69" s="34" t="inlineStr">
        <is>
          <t>T-064</t>
        </is>
      </c>
      <c r="E69" s="38" t="inlineStr">
        <is>
          <t>Aceptar HU-15 como Product Owner desde la interfaz y moverla a Done</t>
        </is>
      </c>
      <c r="F69" s="35" t="inlineStr">
        <is>
          <t>El Product Owner revisa HU-15 desde la interfaz, confirma la DoD (T1–T10) y la mueve a Done. Solo así cuenta en la velocidad del sprint. Estado: To Do — mueve la HU a Done. Empieza después de T-063. 0.5 h · límite 27/10.</t>
        </is>
      </c>
    </row>
    <row r="70" ht="66" customHeight="1">
      <c r="B70" s="32" t="inlineStr">
        <is>
          <t>E2. Planificar el requerimiento y la reposición de recursos</t>
        </is>
      </c>
      <c r="C70" s="33" t="inlineStr">
        <is>
          <t>HU-16 · Importar precios unitarios (8 pts)</t>
        </is>
      </c>
      <c r="D70" s="34" t="inlineStr">
        <is>
          <t>T-065</t>
        </is>
      </c>
      <c r="E70" s="35" t="inlineStr">
        <is>
          <t>Diseñar la interfaz de usuario de HU-16: pantalla 19 · Importar APU y requerimiento</t>
        </is>
      </c>
      <c r="F70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71" ht="66" customHeight="1">
      <c r="B71" s="36" t="n"/>
      <c r="C71" s="36" t="n"/>
      <c r="D71" s="34" t="inlineStr">
        <is>
          <t>T-066</t>
        </is>
      </c>
      <c r="E71" s="35" t="inlineStr">
        <is>
          <t>Modelar la funcionalidad de HU-16 con el diagrama UML de actividades de la lectura del APU</t>
        </is>
      </c>
      <c r="F71" s="35" t="inlineStr">
        <is>
          <t>Fernando dibuja el diagrama UML que explica cómo funciona la HU (actores, pantallas, API y base) para que quien programa no tenga que adivinar el flujo. Empieza después de T-065. 1 h · límite 24/10.</t>
        </is>
      </c>
    </row>
    <row r="72" ht="66" customHeight="1">
      <c r="B72" s="36" t="n"/>
      <c r="C72" s="36" t="n"/>
      <c r="D72" s="34" t="inlineStr">
        <is>
          <t>T-067</t>
        </is>
      </c>
      <c r="E72" s="35" t="inlineStr">
        <is>
          <t>Implementar las tablas asociadas a HU-16: partida, partida_recurso</t>
        </is>
      </c>
      <c r="F72" s="35" t="inlineStr">
        <is>
          <t>Adiel crea o modifica las tablas, claves e índices únicos que necesita la HU mediante una migración de Alembic que corre sobre base limpia y con datos, y se puede revertir (T2). Empieza después de T-066. 1 h · límite 24/10.</t>
        </is>
      </c>
    </row>
    <row r="73" ht="66" customHeight="1">
      <c r="B73" s="36" t="n"/>
      <c r="C73" s="36" t="n"/>
      <c r="D73" s="34" t="inlineStr">
        <is>
          <t>T-068</t>
        </is>
      </c>
      <c r="E73" s="35" t="inlineStr">
        <is>
          <t>Crear la tabla partida–recurso y programar el endpoint que la guarda</t>
        </is>
      </c>
      <c r="F73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T-067. 5 h · límite 25/10.</t>
        </is>
      </c>
    </row>
    <row r="74" ht="66" customHeight="1">
      <c r="B74" s="36" t="n"/>
      <c r="C74" s="36" t="n"/>
      <c r="D74" s="34" t="inlineStr">
        <is>
          <t>T-069</t>
        </is>
      </c>
      <c r="E74" s="35" t="inlineStr">
        <is>
          <t>Programar el lector del PDF del APU (371 páginas), identificando la partida por código y descripción — integración con S10 (análisis de precios unitarios)</t>
        </is>
      </c>
      <c r="F74" s="35" t="inlineStr">
        <is>
          <t>Fernando conecta con el sistema externo sin que la API dependa de él: el microservicio devuelve datos normalizados y, si el servicio cae, el registro no se bloquea. Se prueba con el archivo o servicio real. Estado: Doing — extracción ya probada: 6 902 filas, 1 217 partidas. Empieza después de T-066. 5 h · límite 25/10.</t>
        </is>
      </c>
    </row>
    <row r="75" ht="66" customHeight="1">
      <c r="B75" s="36" t="n"/>
      <c r="C75" s="36" t="n"/>
      <c r="D75" s="34" t="inlineStr">
        <is>
          <t>T-070</t>
        </is>
      </c>
      <c r="E75" s="35" t="inlineStr">
        <is>
          <t>Programar la pantalla web para importar el APU</t>
        </is>
      </c>
      <c r="F75" s="35" t="inlineStr">
        <is>
          <t>Fernando programa la pantalla en web/ (React + TypeScript + CSS) según la pantalla 19 · Importar APU y requerimiento, con los componentes del sistema de diseño, modo claro y oscuro, y escala de texto; la web no calcula saldos ni costos. Empieza después de T-065. 5 h · límite 26/10.</t>
        </is>
      </c>
    </row>
    <row r="76" ht="66" customHeight="1">
      <c r="B76" s="36" t="n"/>
      <c r="C76" s="36" t="n"/>
      <c r="D76" s="34" t="inlineStr">
        <is>
          <t>T-071</t>
        </is>
      </c>
      <c r="E76" s="35" t="inlineStr">
        <is>
          <t>Probar la funcionalidad de HU-16 (la API con Postman y la pantalla web) contra cada condición final y aprobar su PR</t>
        </is>
      </c>
      <c r="F76" s="35" t="inlineStr">
        <is>
          <t>Henry, que no programó lo que falta de HU-16, prueba los endpoints con Postman y la interfaz contra cada condición final de la tarjeta 3 en el ambiente de pruebas; si todo cumple aprueba el PR, si no lo devuelve con la falla. Estado: To Do — alguien distinto del autor (T1, T5, T8). Empieza después de T-067, T-068, T-069, T-070, T-233. 1 h · límite 27/10.</t>
        </is>
      </c>
    </row>
    <row r="77" ht="66" customHeight="1">
      <c r="B77" s="36" t="n"/>
      <c r="C77" s="37" t="n"/>
      <c r="D77" s="34" t="inlineStr">
        <is>
          <t>T-072</t>
        </is>
      </c>
      <c r="E77" s="38" t="inlineStr">
        <is>
          <t>Aceptar HU-16 como Product Owner desde la interfaz y moverla a Done</t>
        </is>
      </c>
      <c r="F77" s="35" t="inlineStr">
        <is>
          <t>El Product Owner revisa HU-16 desde la interfaz, confirma la DoD (T1–T10) y la mueve a Done. Solo así cuenta en la velocidad del sprint. Estado: To Do — mueve la HU a Done. Empieza después de T-071. 0.5 h · límite 27/10.</t>
        </is>
      </c>
    </row>
    <row r="78" ht="66" customHeight="1">
      <c r="B78" s="36" t="n"/>
      <c r="C78" s="33" t="inlineStr">
        <is>
          <t>HU-17 · Convertir unidades (kg a varillas) (3 pts)</t>
        </is>
      </c>
      <c r="D78" s="34" t="inlineStr">
        <is>
          <t>T-073</t>
        </is>
      </c>
      <c r="E78" s="35" t="inlineStr">
        <is>
          <t>Diseñar la interfaz de usuario de HU-17: pantalla 16 · Catálogo e insumo</t>
        </is>
      </c>
      <c r="F78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79" ht="66" customHeight="1">
      <c r="B79" s="36" t="n"/>
      <c r="C79" s="36" t="n"/>
      <c r="D79" s="34" t="inlineStr">
        <is>
          <t>T-074</t>
        </is>
      </c>
      <c r="E79" s="35" t="inlineStr">
        <is>
          <t>Modelar la funcionalidad de HU-17 con el diagrama UML de secuencia de la conversión kg ↔ varillas</t>
        </is>
      </c>
      <c r="F79" s="35" t="inlineStr">
        <is>
          <t>Fernando dibuja el diagrama UML que explica cómo funciona la HU (actores, pantallas, API y base) para que quien programa no tenga que adivinar el flujo. Empieza después de T-073. 1 h · límite 24/10.</t>
        </is>
      </c>
    </row>
    <row r="80" ht="66" customHeight="1">
      <c r="B80" s="36" t="n"/>
      <c r="C80" s="36" t="n"/>
      <c r="D80" s="34" t="inlineStr">
        <is>
          <t>T-075</t>
        </is>
      </c>
      <c r="E80" s="35" t="inlineStr">
        <is>
          <t>Implementar las tablas asociadas a HU-17: insumo.factor_conversion con su histórico</t>
        </is>
      </c>
      <c r="F80" s="35" t="inlineStr">
        <is>
          <t>Adiel crea o modifica las tablas, claves e índices únicos que necesita la HU mediante una migración de Alembic que corre sobre base limpia y con datos, y se puede revertir (T2). Empieza después de T-074. 1 h · límite 24/10.</t>
        </is>
      </c>
    </row>
    <row r="81" ht="66" customHeight="1">
      <c r="B81" s="36" t="n"/>
      <c r="C81" s="36" t="n"/>
      <c r="D81" s="34" t="inlineStr">
        <is>
          <t>T-076</t>
        </is>
      </c>
      <c r="E81" s="35" t="inlineStr">
        <is>
          <t>Programar el back-end de HU-17 (entidad, repositorio, servicio y controlador): el registro del factor de conversión con su fecha y su usuario</t>
        </is>
      </c>
      <c r="F81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T-075. 2 h · límite 25/10.</t>
        </is>
      </c>
    </row>
    <row r="82" ht="66" customHeight="1">
      <c r="B82" s="36" t="n"/>
      <c r="C82" s="36" t="n"/>
      <c r="D82" s="34" t="inlineStr">
        <is>
          <t>T-077</t>
        </is>
      </c>
      <c r="E82" s="35" t="inlineStr">
        <is>
          <t>Programar el formulario web del factor de conversión (kg ↔ varillas)</t>
        </is>
      </c>
      <c r="F82" s="35" t="inlineStr">
        <is>
          <t>Fernando programa la pantalla en web/ (React + TypeScript + CSS) según la pantalla 16 · Catálogo e insumo, con los componentes del sistema de diseño, modo claro y oscuro, y escala de texto; la web no calcula saldos ni costos. Empieza después de T-073. 2 h · límite 26/10.</t>
        </is>
      </c>
    </row>
    <row r="83" ht="66" customHeight="1">
      <c r="B83" s="36" t="n"/>
      <c r="C83" s="36" t="n"/>
      <c r="D83" s="34" t="inlineStr">
        <is>
          <t>T-078</t>
        </is>
      </c>
      <c r="E83" s="35" t="inlineStr">
        <is>
          <t>Probar la funcionalidad de HU-17 (la API con Postman y la pantalla web) contra cada condición final y aprobar su PR</t>
        </is>
      </c>
      <c r="F83" s="35" t="inlineStr">
        <is>
          <t>Henry, que no programó lo que falta de HU-17, prueba los endpoints con Postman y la interfaz contra cada condición final de la tarjeta 3 en el ambiente de pruebas; si todo cumple aprueba el PR, si no lo devuelve con la falla. Estado: To Do — alguien distinto del autor (T1, T5, T8). Empieza después de T-075, T-076, T-077, T-233. 1 h · límite 27/10.</t>
        </is>
      </c>
    </row>
    <row r="84" ht="66" customHeight="1">
      <c r="B84" s="36" t="n"/>
      <c r="C84" s="37" t="n"/>
      <c r="D84" s="34" t="inlineStr">
        <is>
          <t>T-079</t>
        </is>
      </c>
      <c r="E84" s="38" t="inlineStr">
        <is>
          <t>Aceptar HU-17 como Product Owner desde la interfaz y moverla a Done</t>
        </is>
      </c>
      <c r="F84" s="35" t="inlineStr">
        <is>
          <t>El Product Owner revisa HU-17 desde la interfaz, confirma la DoD (T1–T10) y la mueve a Done. Solo así cuenta en la velocidad del sprint. Estado: To Do — mueve la HU a Done. Empieza después de T-078. 0.5 h · límite 27/10.</t>
        </is>
      </c>
    </row>
    <row r="85" ht="66" customHeight="1">
      <c r="B85" s="36" t="n"/>
      <c r="C85" s="33" t="inlineStr">
        <is>
          <t>HU-19 · Importar requerimiento de la obra (5 pts)</t>
        </is>
      </c>
      <c r="D85" s="34" t="inlineStr">
        <is>
          <t>T-080</t>
        </is>
      </c>
      <c r="E85" s="35" t="inlineStr">
        <is>
          <t>Diseñar la interfaz de usuario de HU-19: pantalla 19 · Importar APU y requerimiento</t>
        </is>
      </c>
      <c r="F85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86" ht="66" customHeight="1">
      <c r="B86" s="36" t="n"/>
      <c r="C86" s="36" t="n"/>
      <c r="D86" s="34" t="inlineStr">
        <is>
          <t>T-081</t>
        </is>
      </c>
      <c r="E86" s="35" t="inlineStr">
        <is>
          <t>Modelar la funcionalidad de HU-19 con el diagrama UML de actividades de la importación del requerimiento total</t>
        </is>
      </c>
      <c r="F86" s="35" t="inlineStr">
        <is>
          <t>Fernando dibuja el diagrama UML que explica cómo funciona la HU (actores, pantallas, API y base) para que quien programa no tenga que adivinar el flujo. Empieza después de T-080. 1 h · límite 24/10.</t>
        </is>
      </c>
    </row>
    <row r="87" ht="66" customHeight="1">
      <c r="B87" s="36" t="n"/>
      <c r="C87" s="36" t="n"/>
      <c r="D87" s="34" t="inlineStr">
        <is>
          <t>T-082</t>
        </is>
      </c>
      <c r="E87" s="35" t="inlineStr">
        <is>
          <t>Implementar las tablas asociadas a HU-19: requerimiento (cantidad y costo planificados, ajuste con motivo)</t>
        </is>
      </c>
      <c r="F87" s="35" t="inlineStr">
        <is>
          <t>Adiel crea o modifica las tablas, claves e índices únicos que necesita la HU mediante una migración de Alembic que corre sobre base limpia y con datos, y se puede revertir (T2). Empieza después de T-081. 1 h · límite 24/10.</t>
        </is>
      </c>
    </row>
    <row r="88" ht="66" customHeight="1">
      <c r="B88" s="36" t="n"/>
      <c r="C88" s="36" t="n"/>
      <c r="D88" s="34" t="inlineStr">
        <is>
          <t>T-083</t>
        </is>
      </c>
      <c r="E88" s="35" t="inlineStr">
        <is>
          <t>Programar el back-end de HU-19 (entidad, repositorio, servicio y controlador): el guardado del requerimiento total y de sus ajustes con motivo</t>
        </is>
      </c>
      <c r="F88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T-082. 3 h · límite 25/10.</t>
        </is>
      </c>
    </row>
    <row r="89" ht="66" customHeight="1">
      <c r="B89" s="36" t="n"/>
      <c r="C89" s="36" t="n"/>
      <c r="D89" s="34" t="inlineStr">
        <is>
          <t>T-084</t>
        </is>
      </c>
      <c r="E89" s="35" t="inlineStr">
        <is>
          <t>Adaptar el lector de la Relación de insumos para obtener el requerimiento total — integración con S10 (relación de insumos)</t>
        </is>
      </c>
      <c r="F89" s="35" t="inlineStr">
        <is>
          <t>Fernando conecta con el sistema externo sin que la API dependa de él: el microservicio devuelve datos normalizados y, si el servicio cae, el registro no se bloquea. Se prueba con el archivo o servicio real. Estado: To Do — el lector ya trae cantidades y precios. Empieza después de T-081. 3 h · límite 25/10.</t>
        </is>
      </c>
    </row>
    <row r="90" ht="66" customHeight="1">
      <c r="B90" s="36" t="n"/>
      <c r="C90" s="36" t="n"/>
      <c r="D90" s="34" t="inlineStr">
        <is>
          <t>T-085</t>
        </is>
      </c>
      <c r="E90" s="35" t="inlineStr">
        <is>
          <t>Programar la pantalla web del requerimiento total</t>
        </is>
      </c>
      <c r="F90" s="35" t="inlineStr">
        <is>
          <t>Fernando programa la pantalla en web/ (React + TypeScript + CSS) según la pantalla 19 · Importar APU y requerimiento, con los componentes del sistema de diseño, modo claro y oscuro, y escala de texto; la web no calcula saldos ni costos. Empieza después de T-080. 3 h · límite 26/10.</t>
        </is>
      </c>
    </row>
    <row r="91" ht="66" customHeight="1">
      <c r="B91" s="36" t="n"/>
      <c r="C91" s="36" t="n"/>
      <c r="D91" s="34" t="inlineStr">
        <is>
          <t>T-086</t>
        </is>
      </c>
      <c r="E91" s="35" t="inlineStr">
        <is>
          <t>Probar la funcionalidad de HU-19 (la API con Postman y la pantalla web) contra cada condición final y aprobar su PR</t>
        </is>
      </c>
      <c r="F91" s="35" t="inlineStr">
        <is>
          <t>Henry, que no programó lo que falta de HU-19, prueba los endpoints con Postman y la interfaz contra cada condición final de la tarjeta 3 en el ambiente de pruebas; si todo cumple aprueba el PR, si no lo devuelve con la falla. Estado: To Do — alguien distinto del autor (T1, T5, T8). Empieza después de T-082, T-083, T-084, T-085, T-233. 1 h · límite 27/10.</t>
        </is>
      </c>
    </row>
    <row r="92" ht="66" customHeight="1">
      <c r="B92" s="36" t="n"/>
      <c r="C92" s="37" t="n"/>
      <c r="D92" s="34" t="inlineStr">
        <is>
          <t>T-087</t>
        </is>
      </c>
      <c r="E92" s="38" t="inlineStr">
        <is>
          <t>Aceptar HU-19 como Product Owner desde la interfaz y moverla a Done</t>
        </is>
      </c>
      <c r="F92" s="35" t="inlineStr">
        <is>
          <t>El Product Owner revisa HU-19 desde la interfaz, confirma la DoD (T1–T10) y la mueve a Done. Solo así cuenta en la velocidad del sprint. Estado: To Do — mueve la HU a Done. Empieza después de T-086. 0.5 h · límite 27/10.</t>
        </is>
      </c>
    </row>
    <row r="93" ht="66" customHeight="1">
      <c r="B93" s="36" t="n"/>
      <c r="C93" s="33" t="inlineStr">
        <is>
          <t>HU-23 · Consultar cuánto se compró y consumió (5 pts)</t>
        </is>
      </c>
      <c r="D93" s="34" t="inlineStr">
        <is>
          <t>T-088</t>
        </is>
      </c>
      <c r="E93" s="35" t="inlineStr">
        <is>
          <t>Diseñar la interfaz de usuario de HU-23: pantalla 13 · Gasto en recursos</t>
        </is>
      </c>
      <c r="F93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94" ht="66" customHeight="1">
      <c r="B94" s="36" t="n"/>
      <c r="C94" s="36" t="n"/>
      <c r="D94" s="34" t="inlineStr">
        <is>
          <t>T-089</t>
        </is>
      </c>
      <c r="E94" s="35" t="inlineStr">
        <is>
          <t>Modelar la funcionalidad de HU-23 con el diagrama UML de secuencia del cálculo del avance</t>
        </is>
      </c>
      <c r="F94" s="35" t="inlineStr">
        <is>
          <t>Fernando dibuja el diagrama UML que explica cómo funciona la HU (actores, pantallas, API y base) para que quien programa no tenga que adivinar el flujo. Empieza después de T-088. 1 h · límite 24/10.</t>
        </is>
      </c>
    </row>
    <row r="95" ht="66" customHeight="1">
      <c r="B95" s="36" t="n"/>
      <c r="C95" s="36" t="n"/>
      <c r="D95" s="34" t="inlineStr">
        <is>
          <t>T-090</t>
        </is>
      </c>
      <c r="E95" s="35" t="inlineStr">
        <is>
          <t>Implementar las tablas asociadas a HU-23: vista de avance sobre requerimiento, compra_detalle y movimiento</t>
        </is>
      </c>
      <c r="F95" s="35" t="inlineStr">
        <is>
          <t>Adiel crea o modifica las tablas, claves e índices únicos que necesita la HU mediante una migración de Alembic que corre sobre base limpia y con datos, y se puede revertir (T2). Empieza después de T-089. 1 h · límite 24/10.</t>
        </is>
      </c>
    </row>
    <row r="96" ht="66" customHeight="1">
      <c r="B96" s="36" t="n"/>
      <c r="C96" s="36" t="n"/>
      <c r="D96" s="34" t="inlineStr">
        <is>
          <t>T-091</t>
        </is>
      </c>
      <c r="E96" s="35" t="inlineStr">
        <is>
          <t>Programar el back-end de HU-23 (entidad, repositorio, servicio y controlador): la consulta de avance: requerido, comprado, recibido y consumido por insumo</t>
        </is>
      </c>
      <c r="F96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T-090. 3 h · límite 25/10.</t>
        </is>
      </c>
    </row>
    <row r="97" ht="66" customHeight="1">
      <c r="B97" s="36" t="n"/>
      <c r="C97" s="36" t="n"/>
      <c r="D97" s="34" t="inlineStr">
        <is>
          <t>T-092</t>
        </is>
      </c>
      <c r="E97" s="35" t="inlineStr">
        <is>
          <t>Programar la pantalla web de avance de compra y consumo</t>
        </is>
      </c>
      <c r="F97" s="35" t="inlineStr">
        <is>
          <t>Fernando programa la pantalla en web/ (React + TypeScript + CSS) según la pantalla 13 · Gasto en recursos, con los componentes del sistema de diseño, modo claro y oscuro, y escala de texto; la web no calcula saldos ni costos. Estado: Done — pantalla hecha con datos simulados; falta conectarla a la API real. 3 h · límite 26/10.</t>
        </is>
      </c>
    </row>
    <row r="98" ht="66" customHeight="1">
      <c r="B98" s="36" t="n"/>
      <c r="C98" s="36" t="n"/>
      <c r="D98" s="34" t="inlineStr">
        <is>
          <t>T-093</t>
        </is>
      </c>
      <c r="E98" s="35" t="inlineStr">
        <is>
          <t>Conectar la pantalla de avance con la API real</t>
        </is>
      </c>
      <c r="F98" s="35" t="inlineStr">
        <is>
          <t>Fernando cambia los datos simulados por la API real a través del ClienteHttp: la pantalla muestra lo que devuelve el servidor y sus errores {codigo, mensaje}. Empieza después de T-091, T-092, T-240. 3 h · límite 26/10.</t>
        </is>
      </c>
    </row>
    <row r="99" ht="66" customHeight="1">
      <c r="B99" s="36" t="n"/>
      <c r="C99" s="36" t="n"/>
      <c r="D99" s="34" t="inlineStr">
        <is>
          <t>T-094</t>
        </is>
      </c>
      <c r="E99" s="35" t="inlineStr">
        <is>
          <t>Probar la funcionalidad de HU-23 (la API con Postman y la pantalla web) contra cada condición final y aprobar su PR</t>
        </is>
      </c>
      <c r="F99" s="35" t="inlineStr">
        <is>
          <t>Henry, que no programó lo que falta de HU-23, prueba los endpoints con Postman y la interfaz contra cada condición final de la tarjeta 3 en el ambiente de pruebas; si todo cumple aprueba el PR, si no lo devuelve con la falla. Estado: To Do — alguien distinto del autor (T1, T5, T8). Empieza después de T-090, T-091, T-092, T-093, T-233. 1 h · límite 27/10.</t>
        </is>
      </c>
    </row>
    <row r="100" ht="66" customHeight="1">
      <c r="B100" s="36" t="n"/>
      <c r="C100" s="37" t="n"/>
      <c r="D100" s="34" t="inlineStr">
        <is>
          <t>T-095</t>
        </is>
      </c>
      <c r="E100" s="38" t="inlineStr">
        <is>
          <t>Aceptar HU-23 como Product Owner desde la interfaz y moverla a Done</t>
        </is>
      </c>
      <c r="F100" s="35" t="inlineStr">
        <is>
          <t>El Product Owner revisa HU-23 desde la interfaz, confirma la DoD (T1–T10) y la mueve a Done. Solo así cuenta en la velocidad del sprint. Estado: To Do — mueve la HU a Done. Empieza después de T-094. 0.5 h · límite 27/10.</t>
        </is>
      </c>
    </row>
    <row r="101" ht="66" customHeight="1">
      <c r="B101" s="36" t="n"/>
      <c r="C101" s="33" t="inlineStr">
        <is>
          <t>HU-24 · Consultar cuánto falta comprar (3 pts)</t>
        </is>
      </c>
      <c r="D101" s="34" t="inlineStr">
        <is>
          <t>T-096</t>
        </is>
      </c>
      <c r="E101" s="35" t="inlineStr">
        <is>
          <t>Diseñar la interfaz de usuario de HU-24: pantalla 8 · Reposición</t>
        </is>
      </c>
      <c r="F101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02" ht="66" customHeight="1">
      <c r="B102" s="36" t="n"/>
      <c r="C102" s="36" t="n"/>
      <c r="D102" s="34" t="inlineStr">
        <is>
          <t>T-097</t>
        </is>
      </c>
      <c r="E102" s="35" t="inlineStr">
        <is>
          <t>Modelar la funcionalidad de HU-24 con el diagrama UML de secuencia de la consulta de lo que falta comprar</t>
        </is>
      </c>
      <c r="F102" s="35" t="inlineStr">
        <is>
          <t>Fernando dibuja el diagrama UML que explica cómo funciona la HU (actores, pantallas, API y base) para que quien programa no tenga que adivinar el flujo. Empieza después de T-096. 1 h · límite 24/10.</t>
        </is>
      </c>
    </row>
    <row r="103" ht="66" customHeight="1">
      <c r="B103" s="36" t="n"/>
      <c r="C103" s="36" t="n"/>
      <c r="D103" s="34" t="inlineStr">
        <is>
          <t>T-098</t>
        </is>
      </c>
      <c r="E103" s="35" t="inlineStr">
        <is>
          <t>Implementar las tablas asociadas a HU-24: vista de saldo por comprar (requerido − comprado)</t>
        </is>
      </c>
      <c r="F103" s="35" t="inlineStr">
        <is>
          <t>Adiel crea o modifica las tablas, claves e índices únicos que necesita la HU mediante una migración de Alembic que corre sobre base limpia y con datos, y se puede revertir (T2). Empieza después de T-097. 1 h · límite 24/10.</t>
        </is>
      </c>
    </row>
    <row r="104" ht="66" customHeight="1">
      <c r="B104" s="36" t="n"/>
      <c r="C104" s="36" t="n"/>
      <c r="D104" s="34" t="inlineStr">
        <is>
          <t>T-099</t>
        </is>
      </c>
      <c r="E104" s="35" t="inlineStr">
        <is>
          <t>Programar el back-end de HU-24 (entidad, repositorio, servicio y controlador): la consulta de lo que falta comprar por insumo</t>
        </is>
      </c>
      <c r="F104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T-098. 2 h · límite 25/10.</t>
        </is>
      </c>
    </row>
    <row r="105" ht="66" customHeight="1">
      <c r="B105" s="36" t="n"/>
      <c r="C105" s="36" t="n"/>
      <c r="D105" s="34" t="inlineStr">
        <is>
          <t>T-100</t>
        </is>
      </c>
      <c r="E105" s="35" t="inlineStr">
        <is>
          <t>Programar la pantalla web «Saldo por comprar» con filtros y exportación CSV</t>
        </is>
      </c>
      <c r="F105" s="35" t="inlineStr">
        <is>
          <t>Fernando programa la pantalla en web/ (React + TypeScript + CSS) según la pantalla 8 · Reposición,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106" ht="66" customHeight="1">
      <c r="B106" s="36" t="n"/>
      <c r="C106" s="36" t="n"/>
      <c r="D106" s="34" t="inlineStr">
        <is>
          <t>T-101</t>
        </is>
      </c>
      <c r="E106" s="35" t="inlineStr">
        <is>
          <t>Conectar la pantalla de saldo por comprar con la API real</t>
        </is>
      </c>
      <c r="F106" s="35" t="inlineStr">
        <is>
          <t>Fernando cambia los datos simulados por la API real a través del ClienteHttp: la pantalla muestra lo que devuelve el servidor y sus errores {codigo, mensaje}. Empieza después de T-099, T-100, T-240. 2 h · límite 26/10.</t>
        </is>
      </c>
    </row>
    <row r="107" ht="66" customHeight="1">
      <c r="B107" s="36" t="n"/>
      <c r="C107" s="36" t="n"/>
      <c r="D107" s="34" t="inlineStr">
        <is>
          <t>T-102</t>
        </is>
      </c>
      <c r="E107" s="35" t="inlineStr">
        <is>
          <t>Probar la funcionalidad de HU-24 (la API con Postman y la pantalla web) contra cada condición final y aprobar su PR</t>
        </is>
      </c>
      <c r="F107" s="35" t="inlineStr">
        <is>
          <t>Henry, que no programó lo que falta de HU-24, prueba los endpoints con Postman y la interfaz contra cada condición final de la tarjeta 3 en el ambiente de pruebas; si todo cumple aprueba el PR, si no lo devuelve con la falla. Estado: To Do — alguien distinto del autor (T1, T5, T8). Empieza después de T-098, T-099, T-100, T-101, T-233. 1 h · límite 27/10.</t>
        </is>
      </c>
    </row>
    <row r="108" ht="66" customHeight="1">
      <c r="B108" s="36" t="n"/>
      <c r="C108" s="37" t="n"/>
      <c r="D108" s="34" t="inlineStr">
        <is>
          <t>T-103</t>
        </is>
      </c>
      <c r="E108" s="38" t="inlineStr">
        <is>
          <t>Aceptar HU-24 como Product Owner desde la interfaz y moverla a Done</t>
        </is>
      </c>
      <c r="F108" s="35" t="inlineStr">
        <is>
          <t>El Product Owner revisa HU-24 desde la interfaz, confirma la DoD (T1–T10) y la mueve a Done. Solo así cuenta en la velocidad del sprint. Estado: To Do — mueve la HU a Done. Empieza después de T-102. 0.5 h · límite 27/10.</t>
        </is>
      </c>
    </row>
    <row r="109" ht="66" customHeight="1">
      <c r="B109" s="36" t="n"/>
      <c r="C109" s="33" t="inlineStr">
        <is>
          <t>HU-25 · Definir punto de reposición (5 pts)</t>
        </is>
      </c>
      <c r="D109" s="34" t="inlineStr">
        <is>
          <t>T-104</t>
        </is>
      </c>
      <c r="E109" s="35" t="inlineStr">
        <is>
          <t>Diseñar la interfaz de usuario de HU-25: pantalla 17 · Parámetros de reposición</t>
        </is>
      </c>
      <c r="F109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10" ht="66" customHeight="1">
      <c r="B110" s="36" t="n"/>
      <c r="C110" s="36" t="n"/>
      <c r="D110" s="34" t="inlineStr">
        <is>
          <t>T-105</t>
        </is>
      </c>
      <c r="E110" s="35" t="inlineStr">
        <is>
          <t>Modelar la funcionalidad de HU-25 con el diagrama UML de clases de los parámetros de reposición</t>
        </is>
      </c>
      <c r="F110" s="35" t="inlineStr">
        <is>
          <t>Fernando dibuja el diagrama UML que explica cómo funciona la HU (actores, pantallas, API y base) para que quien programa no tenga que adivinar el flujo. Empieza después de T-104. 1 h · límite 24/10.</t>
        </is>
      </c>
    </row>
    <row r="111" ht="66" customHeight="1">
      <c r="B111" s="36" t="n"/>
      <c r="C111" s="36" t="n"/>
      <c r="D111" s="34" t="inlineStr">
        <is>
          <t>T-106</t>
        </is>
      </c>
      <c r="E111" s="35" t="inlineStr">
        <is>
          <t>Implementar las tablas asociadas a HU-25: parametro_reposicion (con vigencias, nunca se pisa)</t>
        </is>
      </c>
      <c r="F111" s="35" t="inlineStr">
        <is>
          <t>Adiel crea o modifica las tablas, claves e índices únicos que necesita la HU mediante una migración de Alembic que corre sobre base limpia y con datos, y se puede revertir (T2). Empieza después de T-105. 1 h · límite 24/10.</t>
        </is>
      </c>
    </row>
    <row r="112" ht="66" customHeight="1">
      <c r="B112" s="36" t="n"/>
      <c r="C112" s="36" t="n"/>
      <c r="D112" s="34" t="inlineStr">
        <is>
          <t>T-107</t>
        </is>
      </c>
      <c r="E112" s="35" t="inlineStr">
        <is>
          <t>Programar el back-end de HU-25 (entidad, repositorio, servicio y controlador): el registro del stock de seguridad y del punto de reposición, con histórico</t>
        </is>
      </c>
      <c r="F112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T-106. 4 h · límite 25/10.</t>
        </is>
      </c>
    </row>
    <row r="113" ht="66" customHeight="1">
      <c r="B113" s="36" t="n"/>
      <c r="C113" s="36" t="n"/>
      <c r="D113" s="34" t="inlineStr">
        <is>
          <t>T-108</t>
        </is>
      </c>
      <c r="E113" s="35" t="inlineStr">
        <is>
          <t>Programar el formulario web de parámetros de reposición</t>
        </is>
      </c>
      <c r="F113" s="35" t="inlineStr">
        <is>
          <t>Fernando programa la pantalla en web/ (React + TypeScript + CSS) según la pantalla 17 · Parámetros de reposición, con los componentes del sistema de diseño, modo claro y oscuro, y escala de texto; la web no calcula saldos ni costos. Empieza después de T-104. 4 h · límite 26/10.</t>
        </is>
      </c>
    </row>
    <row r="114" ht="66" customHeight="1">
      <c r="B114" s="36" t="n"/>
      <c r="C114" s="36" t="n"/>
      <c r="D114" s="34" t="inlineStr">
        <is>
          <t>T-109</t>
        </is>
      </c>
      <c r="E114" s="35" t="inlineStr">
        <is>
          <t>Probar la funcionalidad de HU-25 (la API con Postman y la pantalla web) contra cada condición final y aprobar su PR</t>
        </is>
      </c>
      <c r="F114" s="35" t="inlineStr">
        <is>
          <t>Henry, que no programó lo que falta de HU-25, prueba los endpoints con Postman y la interfaz contra cada condición final de la tarjeta 3 en el ambiente de pruebas; si todo cumple aprueba el PR, si no lo devuelve con la falla. Estado: To Do — alguien distinto del autor (T1, T5, T8). Empieza después de T-106, T-107, T-108, T-233. 1 h · límite 27/10.</t>
        </is>
      </c>
    </row>
    <row r="115" ht="66" customHeight="1">
      <c r="B115" s="36" t="n"/>
      <c r="C115" s="37" t="n"/>
      <c r="D115" s="34" t="inlineStr">
        <is>
          <t>T-110</t>
        </is>
      </c>
      <c r="E115" s="38" t="inlineStr">
        <is>
          <t>Aceptar HU-25 como Product Owner desde la interfaz y moverla a Done</t>
        </is>
      </c>
      <c r="F115" s="35" t="inlineStr">
        <is>
          <t>El Product Owner revisa HU-25 desde la interfaz, confirma la DoD (T1–T10) y la mueve a Done. Solo así cuenta en la velocidad del sprint. Estado: To Do — mueve la HU a Done. Empieza después de T-109. 0.5 h · límite 27/10.</t>
        </is>
      </c>
    </row>
    <row r="116" ht="66" customHeight="1">
      <c r="B116" s="36" t="n"/>
      <c r="C116" s="33" t="inlineStr">
        <is>
          <t>HU-26 · Avisar cuándo reponer (5 pts)</t>
        </is>
      </c>
      <c r="D116" s="34" t="inlineStr">
        <is>
          <t>T-111</t>
        </is>
      </c>
      <c r="E116" s="35" t="inlineStr">
        <is>
          <t>Diseñar la interfaz de usuario de HU-26: pantalla 8 · Reposición y 5 · Consultar stock</t>
        </is>
      </c>
      <c r="F116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17" ht="66" customHeight="1">
      <c r="B117" s="36" t="n"/>
      <c r="C117" s="36" t="n"/>
      <c r="D117" s="34" t="inlineStr">
        <is>
          <t>T-112</t>
        </is>
      </c>
      <c r="E117" s="35" t="inlineStr">
        <is>
          <t>Modelar la funcionalidad de HU-26 con el diagrama UML de secuencia de la alerta de reposición con Notificaciones</t>
        </is>
      </c>
      <c r="F117" s="35" t="inlineStr">
        <is>
          <t>Fernando dibuja el diagrama UML que explica cómo funciona la HU (actores, pantallas, API y base) para que quien programa no tenga que adivinar el flujo. Empieza después de T-111. 1 h · límite 24/10.</t>
        </is>
      </c>
    </row>
    <row r="118" ht="66" customHeight="1">
      <c r="B118" s="36" t="n"/>
      <c r="C118" s="36" t="n"/>
      <c r="D118" s="34" t="inlineStr">
        <is>
          <t>T-113</t>
        </is>
      </c>
      <c r="E118" s="35" t="inlineStr">
        <is>
          <t>Implementar las tablas asociadas a HU-26: alerta_reposicion y outbox de Notificaciones</t>
        </is>
      </c>
      <c r="F118" s="35" t="inlineStr">
        <is>
          <t>Adiel crea o modifica las tablas, claves e índices únicos que necesita la HU mediante una migración de Alembic que corre sobre base limpia y con datos, y se puede revertir (T2). Empieza después de T-112. 1 h · límite 24/10.</t>
        </is>
      </c>
    </row>
    <row r="119" ht="66" customHeight="1">
      <c r="B119" s="36" t="n"/>
      <c r="C119" s="36" t="n"/>
      <c r="D119" s="34" t="inlineStr">
        <is>
          <t>T-114</t>
        </is>
      </c>
      <c r="E119" s="35" t="inlineStr">
        <is>
          <t>Programar el back-end de HU-26 (entidad, repositorio, servicio y controlador): el motor de alertas: una por insumo y marcada como atendida al comprar</t>
        </is>
      </c>
      <c r="F119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T-113. 2 h · límite 25/10.</t>
        </is>
      </c>
    </row>
    <row r="120" ht="66" customHeight="1">
      <c r="B120" s="36" t="n"/>
      <c r="C120" s="36" t="n"/>
      <c r="D120" s="34" t="inlineStr">
        <is>
          <t>T-115</t>
        </is>
      </c>
      <c r="E120" s="35" t="inlineStr">
        <is>
          <t>Publicar la alerta en el microservicio de Notificaciones (outbox) para avisar al residente</t>
        </is>
      </c>
      <c r="F120" s="35" t="inlineStr">
        <is>
          <t>Adiel conecta con el sistema externo sin que la API dependa de él: el microservicio devuelve datos normalizados y, si el servicio cae, el registro no se bloquea. Se prueba con el archivo o servicio real. Empieza después de T-112. 2 h · límite 25/10.</t>
        </is>
      </c>
    </row>
    <row r="121" ht="66" customHeight="1">
      <c r="B121" s="36" t="n"/>
      <c r="C121" s="36" t="n"/>
      <c r="D121" s="34" t="inlineStr">
        <is>
          <t>T-116</t>
        </is>
      </c>
      <c r="E121" s="35" t="inlineStr">
        <is>
          <t>Programar las alertas de reposición en la web</t>
        </is>
      </c>
      <c r="F121" s="35" t="inlineStr">
        <is>
          <t>Fernando programa la pantalla en web/ (React + TypeScript + CSS) según la pantalla 8 · Reposición y 5 · Consultar stock,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122" ht="66" customHeight="1">
      <c r="B122" s="36" t="n"/>
      <c r="C122" s="36" t="n"/>
      <c r="D122" s="34" t="inlineStr">
        <is>
          <t>T-117</t>
        </is>
      </c>
      <c r="E122" s="35" t="inlineStr">
        <is>
          <t>Conectar las alertas con la API real</t>
        </is>
      </c>
      <c r="F122" s="35" t="inlineStr">
        <is>
          <t>Fernando cambia los datos simulados por la API real a través del ClienteHttp: la pantalla muestra lo que devuelve el servidor y sus errores {codigo, mensaje}. Empieza después de T-114, T-116, T-240. 2 h · límite 26/10.</t>
        </is>
      </c>
    </row>
    <row r="123" ht="66" customHeight="1">
      <c r="B123" s="36" t="n"/>
      <c r="C123" s="36" t="n"/>
      <c r="D123" s="34" t="inlineStr">
        <is>
          <t>T-118</t>
        </is>
      </c>
      <c r="E123" s="35" t="inlineStr">
        <is>
          <t>Probar la funcionalidad de HU-26 (la API con Postman y la pantalla web) contra cada condición final y aprobar su PR</t>
        </is>
      </c>
      <c r="F123" s="35" t="inlineStr">
        <is>
          <t>Henry, que no programó lo que falta de HU-26, prueba los endpoints con Postman y la interfaz contra cada condición final de la tarjeta 3 en el ambiente de pruebas; si todo cumple aprueba el PR, si no lo devuelve con la falla. Estado: To Do — alguien distinto del autor (T1, T5, T8). Empieza después de T-113, T-114, T-115, T-116, T-117, T-233. 1 h · límite 27/10.</t>
        </is>
      </c>
    </row>
    <row r="124" ht="66" customHeight="1">
      <c r="B124" s="36" t="n"/>
      <c r="C124" s="37" t="n"/>
      <c r="D124" s="34" t="inlineStr">
        <is>
          <t>T-119</t>
        </is>
      </c>
      <c r="E124" s="38" t="inlineStr">
        <is>
          <t>Aceptar HU-26 como Product Owner desde la interfaz y moverla a Done</t>
        </is>
      </c>
      <c r="F124" s="35" t="inlineStr">
        <is>
          <t>El Product Owner revisa HU-26 desde la interfaz, confirma la DoD (T1–T10) y la mueve a Done. Solo así cuenta en la velocidad del sprint. Estado: To Do — mueve la HU a Done. Empieza después de T-118. 0.5 h · límite 27/10.</t>
        </is>
      </c>
    </row>
    <row r="125" ht="66" customHeight="1">
      <c r="B125" s="36" t="n"/>
      <c r="C125" s="33" t="inlineStr">
        <is>
          <t>HU-27 · Sugerir cuánto comprar (5 pts)</t>
        </is>
      </c>
      <c r="D125" s="34" t="inlineStr">
        <is>
          <t>T-120</t>
        </is>
      </c>
      <c r="E125" s="35" t="inlineStr">
        <is>
          <t>Diseñar la interfaz de usuario de HU-27: pantalla 8 · Reposición</t>
        </is>
      </c>
      <c r="F125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26" ht="66" customHeight="1">
      <c r="B126" s="36" t="n"/>
      <c r="C126" s="36" t="n"/>
      <c r="D126" s="34" t="inlineStr">
        <is>
          <t>T-121</t>
        </is>
      </c>
      <c r="E126" s="35" t="inlineStr">
        <is>
          <t>Modelar la funcionalidad de HU-27 con el diagrama UML de actividades del cálculo de la sugerencia</t>
        </is>
      </c>
      <c r="F126" s="35" t="inlineStr">
        <is>
          <t>Fernando dibuja el diagrama UML que explica cómo funciona la HU (actores, pantallas, API y base) para que quien programa no tenga que adivinar el flujo. Empieza después de T-120. 1 h · límite 24/10.</t>
        </is>
      </c>
    </row>
    <row r="127" ht="66" customHeight="1">
      <c r="B127" s="36" t="n"/>
      <c r="C127" s="36" t="n"/>
      <c r="D127" s="34" t="inlineStr">
        <is>
          <t>T-122</t>
        </is>
      </c>
      <c r="E127" s="35" t="inlineStr">
        <is>
          <t>Implementar las tablas asociadas a HU-27: vista de sugerencia de compra</t>
        </is>
      </c>
      <c r="F127" s="35" t="inlineStr">
        <is>
          <t>Adiel crea o modifica las tablas, claves e índices únicos que necesita la HU mediante una migración de Alembic que corre sobre base limpia y con datos, y se puede revertir (T2). Empieza después de T-121. 1 h · límite 24/10.</t>
        </is>
      </c>
    </row>
    <row r="128" ht="66" customHeight="1">
      <c r="B128" s="36" t="n"/>
      <c r="C128" s="36" t="n"/>
      <c r="D128" s="34" t="inlineStr">
        <is>
          <t>T-123</t>
        </is>
      </c>
      <c r="E128" s="35" t="inlineStr">
        <is>
          <t>Programar el back-end de HU-27 (entidad, repositorio, servicio y controlador): el cálculo de la sugerencia de compra con su criterio</t>
        </is>
      </c>
      <c r="F128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T-122. 3 h · límite 25/10.</t>
        </is>
      </c>
    </row>
    <row r="129" ht="66" customHeight="1">
      <c r="B129" s="36" t="n"/>
      <c r="C129" s="36" t="n"/>
      <c r="D129" s="34" t="inlineStr">
        <is>
          <t>T-124</t>
        </is>
      </c>
      <c r="E129" s="35" t="inlineStr">
        <is>
          <t>Programar la sugerencia editable dentro de la alerta</t>
        </is>
      </c>
      <c r="F129" s="35" t="inlineStr">
        <is>
          <t>Fernando programa la pantalla en web/ (React + TypeScript + CSS) según la pantalla 8 · Reposición, con los componentes del sistema de diseño, modo claro y oscuro, y escala de texto; la web no calcula saldos ni costos. Estado: Done — pantalla hecha con datos simulados; falta conectarla a la API real. 3 h · límite 26/10.</t>
        </is>
      </c>
    </row>
    <row r="130" ht="66" customHeight="1">
      <c r="B130" s="36" t="n"/>
      <c r="C130" s="36" t="n"/>
      <c r="D130" s="34" t="inlineStr">
        <is>
          <t>T-125</t>
        </is>
      </c>
      <c r="E130" s="35" t="inlineStr">
        <is>
          <t>Conectar la sugerencia con la API real</t>
        </is>
      </c>
      <c r="F130" s="35" t="inlineStr">
        <is>
          <t>Fernando cambia los datos simulados por la API real a través del ClienteHttp: la pantalla muestra lo que devuelve el servidor y sus errores {codigo, mensaje}. Empieza después de T-123, T-124, T-240. 3 h · límite 26/10.</t>
        </is>
      </c>
    </row>
    <row r="131" ht="66" customHeight="1">
      <c r="B131" s="36" t="n"/>
      <c r="C131" s="36" t="n"/>
      <c r="D131" s="34" t="inlineStr">
        <is>
          <t>T-126</t>
        </is>
      </c>
      <c r="E131" s="35" t="inlineStr">
        <is>
          <t>Probar la funcionalidad de HU-27 (la API con Postman y la pantalla web) contra cada condición final y aprobar su PR</t>
        </is>
      </c>
      <c r="F131" s="35" t="inlineStr">
        <is>
          <t>Henry, que no programó lo que falta de HU-27, prueba los endpoints con Postman y la interfaz contra cada condición final de la tarjeta 3 en el ambiente de pruebas; si todo cumple aprueba el PR, si no lo devuelve con la falla. Estado: To Do — alguien distinto del autor (T1, T5, T8). Empieza después de T-122, T-123, T-124, T-125, T-233. 1 h · límite 27/10.</t>
        </is>
      </c>
    </row>
    <row r="132" ht="66" customHeight="1">
      <c r="B132" s="37" t="n"/>
      <c r="C132" s="37" t="n"/>
      <c r="D132" s="34" t="inlineStr">
        <is>
          <t>T-127</t>
        </is>
      </c>
      <c r="E132" s="38" t="inlineStr">
        <is>
          <t>Aceptar HU-27 como Product Owner desde la interfaz y moverla a Done</t>
        </is>
      </c>
      <c r="F132" s="35" t="inlineStr">
        <is>
          <t>El Product Owner revisa HU-27 desde la interfaz, confirma la DoD (T1–T10) y la mueve a Done. Solo así cuenta en la velocidad del sprint. Estado: To Do — mueve la HU a Done. Empieza después de T-126. 0.5 h · límite 27/10.</t>
        </is>
      </c>
    </row>
    <row r="133" ht="66" customHeight="1">
      <c r="B133" s="32" t="inlineStr">
        <is>
          <t>E3. Registrar las compras y sus recepciones</t>
        </is>
      </c>
      <c r="C133" s="33" t="inlineStr">
        <is>
          <t>HU-29 · Consultar proveedores (3 pts)</t>
        </is>
      </c>
      <c r="D133" s="34" t="inlineStr">
        <is>
          <t>T-128</t>
        </is>
      </c>
      <c r="E133" s="35" t="inlineStr">
        <is>
          <t>Diseñar la interfaz de usuario de HU-29: pantalla 18 · Proveedores</t>
        </is>
      </c>
      <c r="F133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34" ht="66" customHeight="1">
      <c r="B134" s="36" t="n"/>
      <c r="C134" s="36" t="n"/>
      <c r="D134" s="34" t="inlineStr">
        <is>
          <t>T-129</t>
        </is>
      </c>
      <c r="E134" s="35" t="inlineStr">
        <is>
          <t>Modelar la funcionalidad de HU-29 con el diagrama UML de secuencia de la búsqueda de proveedores</t>
        </is>
      </c>
      <c r="F134" s="35" t="inlineStr">
        <is>
          <t>Henry dibuja el diagrama UML que explica cómo funciona la HU (actores, pantallas, API y base) para que quien programa no tenga que adivinar el flujo. Empieza después de T-128. 1 h · límite 24/10.</t>
        </is>
      </c>
    </row>
    <row r="135" ht="66" customHeight="1">
      <c r="B135" s="36" t="n"/>
      <c r="C135" s="36" t="n"/>
      <c r="D135" s="34" t="inlineStr">
        <is>
          <t>T-130</t>
        </is>
      </c>
      <c r="E135" s="35" t="inlineStr">
        <is>
          <t>Implementar las tablas asociadas a HU-29: proveedor (RUC o DNI único)</t>
        </is>
      </c>
      <c r="F135" s="35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136" ht="66" customHeight="1">
      <c r="B136" s="36" t="n"/>
      <c r="C136" s="36" t="n"/>
      <c r="D136" s="34" t="inlineStr">
        <is>
          <t>T-131</t>
        </is>
      </c>
      <c r="E136" s="35" t="inlineStr">
        <is>
          <t>Programar el back-end de HU-29 (entidad, repositorio, servicio y controlador): la búsqueda de proveedores por razón social o RUC</t>
        </is>
      </c>
      <c r="F136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2 h · límite 25/10.</t>
        </is>
      </c>
    </row>
    <row r="137" ht="66" customHeight="1">
      <c r="B137" s="36" t="n"/>
      <c r="C137" s="36" t="n"/>
      <c r="D137" s="34" t="inlineStr">
        <is>
          <t>T-132</t>
        </is>
      </c>
      <c r="E137" s="35" t="inlineStr">
        <is>
          <t>Programar la pantalla web de proveedores con los 626 reales</t>
        </is>
      </c>
      <c r="F137" s="35" t="inlineStr">
        <is>
          <t>Fernando programa la pantalla en web/ (React + TypeScript + CSS) según la pantalla 18 · Proveedores,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138" ht="66" customHeight="1">
      <c r="B138" s="36" t="n"/>
      <c r="C138" s="36" t="n"/>
      <c r="D138" s="34" t="inlineStr">
        <is>
          <t>T-133</t>
        </is>
      </c>
      <c r="E138" s="35" t="inlineStr">
        <is>
          <t>Conectar la pantalla de proveedores con la API real</t>
        </is>
      </c>
      <c r="F138" s="35" t="inlineStr">
        <is>
          <t>Henry cambia los datos simulados por la API real a través del ClienteHttp: la pantalla muestra lo que devuelve el servidor y sus errores {codigo, mensaje}. Empieza después de T-131, T-132, T-240. 2 h · límite 26/10.</t>
        </is>
      </c>
    </row>
    <row r="139" ht="66" customHeight="1">
      <c r="B139" s="36" t="n"/>
      <c r="C139" s="36" t="n"/>
      <c r="D139" s="34" t="inlineStr">
        <is>
          <t>T-134</t>
        </is>
      </c>
      <c r="E139" s="35" t="inlineStr">
        <is>
          <t>Probar la funcionalidad de HU-29 (la API con Postman y la pantalla web) contra cada condición final y aprobar su PR</t>
        </is>
      </c>
      <c r="F139" s="35" t="inlineStr">
        <is>
          <t>Fernando, que no programó lo que falta de HU-29, prueba los endpoints con Postman y la interfaz contra cada condición final de la tarjeta 3 en el ambiente de pruebas; si todo cumple aprueba el PR, si no lo devuelve con la falla. Estado: To Do — alguien distinto del autor (T1, T5, T8). Empieza después de T-130, T-131, T-132, T-133, T-233. 1 h · límite 27/10.</t>
        </is>
      </c>
    </row>
    <row r="140" ht="66" customHeight="1">
      <c r="B140" s="36" t="n"/>
      <c r="C140" s="37" t="n"/>
      <c r="D140" s="34" t="inlineStr">
        <is>
          <t>T-135</t>
        </is>
      </c>
      <c r="E140" s="38" t="inlineStr">
        <is>
          <t>Aceptar HU-29 como Product Owner desde la interfaz y moverla a Done</t>
        </is>
      </c>
      <c r="F140" s="35" t="inlineStr">
        <is>
          <t>El Product Owner revisa HU-29 desde la interfaz, confirma la DoD (T1–T10) y la mueve a Done. Solo así cuenta en la velocidad del sprint. Estado: To Do — mueve la HU a Done. Empieza después de T-134. 0.5 h · límite 27/10.</t>
        </is>
      </c>
    </row>
    <row r="141" ht="66" customHeight="1">
      <c r="B141" s="36" t="n"/>
      <c r="C141" s="33" t="inlineStr">
        <is>
          <t>HU-30 · Registrar proveedores (3 pts)</t>
        </is>
      </c>
      <c r="D141" s="34" t="inlineStr">
        <is>
          <t>T-136</t>
        </is>
      </c>
      <c r="E141" s="35" t="inlineStr">
        <is>
          <t>Diseñar la interfaz de usuario de HU-30: pantalla 12 · Registrar la compra</t>
        </is>
      </c>
      <c r="F141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42" ht="66" customHeight="1">
      <c r="B142" s="36" t="n"/>
      <c r="C142" s="36" t="n"/>
      <c r="D142" s="34" t="inlineStr">
        <is>
          <t>T-137</t>
        </is>
      </c>
      <c r="E142" s="35" t="inlineStr">
        <is>
          <t>Modelar la funcionalidad de HU-30 con el diagrama UML de secuencia del alta rápida de proveedor</t>
        </is>
      </c>
      <c r="F142" s="35" t="inlineStr">
        <is>
          <t>Henry dibuja el diagrama UML que explica cómo funciona la HU (actores, pantallas, API y base) para que quien programa no tenga que adivinar el flujo. Empieza después de T-136. 1 h · límite 24/10.</t>
        </is>
      </c>
    </row>
    <row r="143" ht="66" customHeight="1">
      <c r="B143" s="36" t="n"/>
      <c r="C143" s="36" t="n"/>
      <c r="D143" s="34" t="inlineStr">
        <is>
          <t>T-138</t>
        </is>
      </c>
      <c r="E143" s="35" t="inlineStr">
        <is>
          <t>Implementar las tablas asociadas a HU-30: proveedor</t>
        </is>
      </c>
      <c r="F143" s="35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144" ht="66" customHeight="1">
      <c r="B144" s="36" t="n"/>
      <c r="C144" s="36" t="n"/>
      <c r="D144" s="34" t="inlineStr">
        <is>
          <t>T-139</t>
        </is>
      </c>
      <c r="E144" s="35" t="inlineStr">
        <is>
          <t>Programar el back-end de HU-30 (entidad, repositorio, servicio y controlador): el alta de proveedor rechazando RUC o DNI repetidos</t>
        </is>
      </c>
      <c r="F144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2 h · límite 25/10.</t>
        </is>
      </c>
    </row>
    <row r="145" ht="66" customHeight="1">
      <c r="B145" s="36" t="n"/>
      <c r="C145" s="36" t="n"/>
      <c r="D145" s="34" t="inlineStr">
        <is>
          <t>T-140</t>
        </is>
      </c>
      <c r="E145" s="35" t="inlineStr">
        <is>
          <t>Programar el alta rápida de proveedor desde la compra</t>
        </is>
      </c>
      <c r="F145" s="35" t="inlineStr">
        <is>
          <t>Fernando programa la pantalla en web/ (React + TypeScript + CSS) según la pantalla 12 · Registrar la compra,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146" ht="66" customHeight="1">
      <c r="B146" s="36" t="n"/>
      <c r="C146" s="36" t="n"/>
      <c r="D146" s="34" t="inlineStr">
        <is>
          <t>T-141</t>
        </is>
      </c>
      <c r="E146" s="35" t="inlineStr">
        <is>
          <t>Conectar el alta de proveedor con la API real</t>
        </is>
      </c>
      <c r="F146" s="35" t="inlineStr">
        <is>
          <t>Henry cambia los datos simulados por la API real a través del ClienteHttp: la pantalla muestra lo que devuelve el servidor y sus errores {codigo, mensaje}. Empieza después de T-139, T-140, T-240. 2 h · límite 26/10.</t>
        </is>
      </c>
    </row>
    <row r="147" ht="66" customHeight="1">
      <c r="B147" s="36" t="n"/>
      <c r="C147" s="36" t="n"/>
      <c r="D147" s="34" t="inlineStr">
        <is>
          <t>T-142</t>
        </is>
      </c>
      <c r="E147" s="35" t="inlineStr">
        <is>
          <t>Probar la funcionalidad de HU-30 (la API con Postman y la pantalla web) contra cada condición final y aprobar su PR</t>
        </is>
      </c>
      <c r="F147" s="35" t="inlineStr">
        <is>
          <t>Fernando, que no programó lo que falta de HU-30, prueba los endpoints con Postman y la interfaz contra cada condición final de la tarjeta 3 en el ambiente de pruebas; si todo cumple aprueba el PR, si no lo devuelve con la falla. Estado: To Do — alguien distinto del autor (T1, T5, T8). Empieza después de T-138, T-139, T-140, T-141, T-233. 1 h · límite 27/10.</t>
        </is>
      </c>
    </row>
    <row r="148" ht="66" customHeight="1">
      <c r="B148" s="36" t="n"/>
      <c r="C148" s="37" t="n"/>
      <c r="D148" s="34" t="inlineStr">
        <is>
          <t>T-143</t>
        </is>
      </c>
      <c r="E148" s="38" t="inlineStr">
        <is>
          <t>Aceptar HU-30 como Product Owner desde la interfaz y moverla a Done</t>
        </is>
      </c>
      <c r="F148" s="35" t="inlineStr">
        <is>
          <t>El Product Owner revisa HU-30 desde la interfaz, confirma la DoD (T1–T10) y la mueve a Done. Solo así cuenta en la velocidad del sprint. Estado: To Do — mueve la HU a Done. Empieza después de T-142. 0.5 h · límite 27/10.</t>
        </is>
      </c>
    </row>
    <row r="149" ht="66" customHeight="1">
      <c r="B149" s="36" t="n"/>
      <c r="C149" s="33" t="inlineStr">
        <is>
          <t>HU-32 · Registrar compras (8 pts)</t>
        </is>
      </c>
      <c r="D149" s="34" t="inlineStr">
        <is>
          <t>T-144</t>
        </is>
      </c>
      <c r="E149" s="35" t="inlineStr">
        <is>
          <t>Diseñar la interfaz de usuario de HU-32: pantalla 12 · Registrar la compra</t>
        </is>
      </c>
      <c r="F149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50" ht="66" customHeight="1">
      <c r="B150" s="36" t="n"/>
      <c r="C150" s="36" t="n"/>
      <c r="D150" s="34" t="inlineStr">
        <is>
          <t>T-145</t>
        </is>
      </c>
      <c r="E150" s="35" t="inlineStr">
        <is>
          <t>Modelar la funcionalidad de HU-32 con el diagrama UML de secuencia del registro de la compra</t>
        </is>
      </c>
      <c r="F150" s="35" t="inlineStr">
        <is>
          <t>Henry dibuja el diagrama UML que explica cómo funciona la HU (actores, pantallas, API y base) para que quien programa no tenga que adivinar el flujo. Empieza después de T-144. 1 h · límite 24/10.</t>
        </is>
      </c>
    </row>
    <row r="151" ht="66" customHeight="1">
      <c r="B151" s="36" t="n"/>
      <c r="C151" s="36" t="n"/>
      <c r="D151" s="34" t="inlineStr">
        <is>
          <t>T-146</t>
        </is>
      </c>
      <c r="E151" s="35" t="inlineStr">
        <is>
          <t>Implementar las tablas asociadas a HU-32: compra, compra_detalle</t>
        </is>
      </c>
      <c r="F151" s="35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152" ht="66" customHeight="1">
      <c r="B152" s="36" t="n"/>
      <c r="C152" s="36" t="n"/>
      <c r="D152" s="34" t="inlineStr">
        <is>
          <t>T-147</t>
        </is>
      </c>
      <c r="E152" s="35" t="inlineStr">
        <is>
          <t>Programar el back-end de HU-32 (entidad, repositorio, servicio y controlador): el registro de compra: comprobante único, base, IGV y total, sin mover stock</t>
        </is>
      </c>
      <c r="F152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5 h · límite 25/10.</t>
        </is>
      </c>
    </row>
    <row r="153" ht="66" customHeight="1">
      <c r="B153" s="36" t="n"/>
      <c r="C153" s="36" t="n"/>
      <c r="D153" s="34" t="inlineStr">
        <is>
          <t>T-148</t>
        </is>
      </c>
      <c r="E153" s="35" t="inlineStr">
        <is>
          <t>Programar la pantalla web de compras</t>
        </is>
      </c>
      <c r="F153" s="35" t="inlineStr">
        <is>
          <t>Fernando programa la pantalla en web/ (React + TypeScript + CSS) según la pantalla 12 · Registrar la compra, con los componentes del sistema de diseño, modo claro y oscuro, y escala de texto; la web no calcula saldos ni costos. Estado: Done — pantalla hecha con datos simulados; falta conectarla a la API real. 5 h · límite 26/10.</t>
        </is>
      </c>
    </row>
    <row r="154" ht="66" customHeight="1">
      <c r="B154" s="36" t="n"/>
      <c r="C154" s="36" t="n"/>
      <c r="D154" s="34" t="inlineStr">
        <is>
          <t>T-149</t>
        </is>
      </c>
      <c r="E154" s="35" t="inlineStr">
        <is>
          <t>Conectar la pantalla de compras con la API real</t>
        </is>
      </c>
      <c r="F154" s="35" t="inlineStr">
        <is>
          <t>Henry cambia los datos simulados por la API real a través del ClienteHttp: la pantalla muestra lo que devuelve el servidor y sus errores {codigo, mensaje}. Empieza después de T-147, T-148, T-240. 5 h · límite 26/10.</t>
        </is>
      </c>
    </row>
    <row r="155" ht="66" customHeight="1">
      <c r="B155" s="36" t="n"/>
      <c r="C155" s="36" t="n"/>
      <c r="D155" s="34" t="inlineStr">
        <is>
          <t>T-150</t>
        </is>
      </c>
      <c r="E155" s="35" t="inlineStr">
        <is>
          <t>Probar la funcionalidad de HU-32 (la API con Postman y la pantalla web) contra cada condición final y aprobar su PR</t>
        </is>
      </c>
      <c r="F155" s="35" t="inlineStr">
        <is>
          <t>Fernando, que no programó lo que falta de HU-32, prueba los endpoints con Postman y la interfaz contra cada condición final de la tarjeta 3 en el ambiente de pruebas; si todo cumple aprueba el PR, si no lo devuelve con la falla. Estado: To Do — alguien distinto del autor (T1, T5, T8). Empieza después de T-146, T-147, T-148, T-149, T-233. 1 h · límite 27/10.</t>
        </is>
      </c>
    </row>
    <row r="156" ht="66" customHeight="1">
      <c r="B156" s="36" t="n"/>
      <c r="C156" s="37" t="n"/>
      <c r="D156" s="34" t="inlineStr">
        <is>
          <t>T-151</t>
        </is>
      </c>
      <c r="E156" s="38" t="inlineStr">
        <is>
          <t>Aceptar HU-32 como Product Owner desde la interfaz y moverla a Done</t>
        </is>
      </c>
      <c r="F156" s="35" t="inlineStr">
        <is>
          <t>El Product Owner revisa HU-32 desde la interfaz, confirma la DoD (T1–T10) y la mueve a Done. Solo así cuenta en la velocidad del sprint. Estado: To Do — mueve la HU a Done. Empieza después de T-150. 0.5 h · límite 27/10.</t>
        </is>
      </c>
    </row>
    <row r="157" ht="66" customHeight="1">
      <c r="B157" s="36" t="n"/>
      <c r="C157" s="33" t="inlineStr">
        <is>
          <t>HU-35 · Recibir compras (8 pts)</t>
        </is>
      </c>
      <c r="D157" s="34" t="inlineStr">
        <is>
          <t>T-152</t>
        </is>
      </c>
      <c r="E157" s="35" t="inlineStr">
        <is>
          <t>Diseñar la interfaz de usuario de HU-35: pantalla 14 · Recepción de compra</t>
        </is>
      </c>
      <c r="F157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58" ht="66" customHeight="1">
      <c r="B158" s="36" t="n"/>
      <c r="C158" s="36" t="n"/>
      <c r="D158" s="34" t="inlineStr">
        <is>
          <t>T-153</t>
        </is>
      </c>
      <c r="E158" s="35" t="inlineStr">
        <is>
          <t>Modelar la funcionalidad de HU-35 con el diagrama UML de secuencia de la recepción y el costo promedio ponderado</t>
        </is>
      </c>
      <c r="F158" s="35" t="inlineStr">
        <is>
          <t>Fernando dibuja el diagrama UML que explica cómo funciona la HU (actores, pantallas, API y base) para que quien programa no tenga que adivinar el flujo. Estado: Done — ya está en el lienzo. 1 h · límite 24/10.</t>
        </is>
      </c>
    </row>
    <row r="159" ht="66" customHeight="1">
      <c r="B159" s="36" t="n"/>
      <c r="C159" s="36" t="n"/>
      <c r="D159" s="34" t="inlineStr">
        <is>
          <t>T-154</t>
        </is>
      </c>
      <c r="E159" s="35" t="inlineStr">
        <is>
          <t>Implementar las tablas asociadas a HU-35: recepcion, recepcion_detalle y su movimiento de ingreso</t>
        </is>
      </c>
      <c r="F159" s="35" t="inlineStr">
        <is>
          <t>Adiel crea o modifica las tablas, claves e índices únicos que necesita la HU mediante una migración de Alembic que corre sobre base limpia y con datos, y se puede revertir (T2). Empieza después de T-153. 1 h · límite 24/10.</t>
        </is>
      </c>
    </row>
    <row r="160" ht="66" customHeight="1">
      <c r="B160" s="36" t="n"/>
      <c r="C160" s="36" t="n"/>
      <c r="D160" s="34" t="inlineStr">
        <is>
          <t>T-155</t>
        </is>
      </c>
      <c r="E160" s="35" t="inlineStr">
        <is>
          <t>Programar el back-end de HU-35 (entidad, repositorio, servicio y controlador): la recepción total o parcial que genera el ingreso al kárdex</t>
        </is>
      </c>
      <c r="F160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T-154. 4 h · límite 25/10.</t>
        </is>
      </c>
    </row>
    <row r="161" ht="66" customHeight="1">
      <c r="B161" s="36" t="n"/>
      <c r="C161" s="36" t="n"/>
      <c r="D161" s="34" t="inlineStr">
        <is>
          <t>T-156</t>
        </is>
      </c>
      <c r="E161" s="35" t="inlineStr">
        <is>
          <t>Programar el registro de recepción en la web (pedido, recibido, pendiente)</t>
        </is>
      </c>
      <c r="F161" s="35" t="inlineStr">
        <is>
          <t>Fernando programa la pantalla en web/ (React + TypeScript + CSS) según la pantalla 14 · Recepción de compra, con los componentes del sistema de diseño, modo claro y oscuro, y escala de texto; la web no calcula saldos ni costos. Estado: Done — pantalla hecha con datos simulados; falta conectarla a la API real. 4 h · límite 26/10.</t>
        </is>
      </c>
    </row>
    <row r="162" ht="66" customHeight="1">
      <c r="B162" s="36" t="n"/>
      <c r="C162" s="36" t="n"/>
      <c r="D162" s="34" t="inlineStr">
        <is>
          <t>T-157</t>
        </is>
      </c>
      <c r="E162" s="35" t="inlineStr">
        <is>
          <t>Programar la recepción de compras en la app del almacenero</t>
        </is>
      </c>
      <c r="F162" s="35" t="inlineStr">
        <is>
          <t>Nicolás programa la pantalla en android/ (Kotlin + Jetpack Compose) según la pantalla 14 · Recepción de compra: botones grandes, una acción por pantalla, y lo que registra movimientos funciona sin señal. Empieza después de T-152, T-242. 4 h · límite 26/10.</t>
        </is>
      </c>
    </row>
    <row r="163" ht="66" customHeight="1">
      <c r="B163" s="36" t="n"/>
      <c r="C163" s="36" t="n"/>
      <c r="D163" s="34" t="inlineStr">
        <is>
          <t>T-158</t>
        </is>
      </c>
      <c r="E163" s="35" t="inlineStr">
        <is>
          <t>Conectar la recepción con la API real</t>
        </is>
      </c>
      <c r="F163" s="35" t="inlineStr">
        <is>
          <t>Henry cambia los datos simulados por la API real a través del ClienteHttp: la pantalla muestra lo que devuelve el servidor y sus errores {codigo, mensaje}. Empieza después de T-155, T-156, T-240. 4 h · límite 26/10.</t>
        </is>
      </c>
    </row>
    <row r="164" ht="66" customHeight="1">
      <c r="B164" s="36" t="n"/>
      <c r="C164" s="36" t="n"/>
      <c r="D164" s="34" t="inlineStr">
        <is>
          <t>T-159</t>
        </is>
      </c>
      <c r="E164" s="35" t="inlineStr">
        <is>
          <t>Probar la funcionalidad de HU-35 (la API con Postman, la pantalla web y la app en modo avión y al volver la señal) contra cada condición final y aprobar su PR</t>
        </is>
      </c>
      <c r="F164" s="35" t="inlineStr">
        <is>
          <t>Fernando, que no programó lo que falta de HU-35, prueba los endpoints con Postman y la interfaz contra cada condición final de la tarjeta 3 en el ambiente de pruebas; si todo cumple aprueba el PR, si no lo devuelve con la falla. Estado: To Do — alguien distinto del autor (T1, T5, T8). Empieza después de T-154, T-155, T-156, T-157, T-158, T-233. 1 h · límite 27/10.</t>
        </is>
      </c>
    </row>
    <row r="165" ht="66" customHeight="1">
      <c r="B165" s="37" t="n"/>
      <c r="C165" s="37" t="n"/>
      <c r="D165" s="34" t="inlineStr">
        <is>
          <t>T-160</t>
        </is>
      </c>
      <c r="E165" s="38" t="inlineStr">
        <is>
          <t>Aceptar HU-35 como Product Owner desde la interfaz y moverla a Done</t>
        </is>
      </c>
      <c r="F165" s="35" t="inlineStr">
        <is>
          <t>El Product Owner revisa HU-35 desde la interfaz, confirma la DoD (T1–T10) y la mueve a Done. Solo así cuenta en la velocidad del sprint. Estado: To Do — mueve la HU a Done. Empieza después de T-159. 0.5 h · límite 27/10.</t>
        </is>
      </c>
    </row>
    <row r="166" ht="66" customHeight="1">
      <c r="B166" s="32" t="inlineStr">
        <is>
          <t>E4. Controlar el movimiento de materiales en almacén</t>
        </is>
      </c>
      <c r="C166" s="33" t="inlineStr">
        <is>
          <t>HU-37 · Registrar sin señal (8 pts)</t>
        </is>
      </c>
      <c r="D166" s="34" t="inlineStr">
        <is>
          <t>T-161</t>
        </is>
      </c>
      <c r="E166" s="35" t="inlineStr">
        <is>
          <t>Diseñar la interfaz de usuario de HU-37: pantalla 3 · Salida y 4 · Ingreso (banda sin señal)</t>
        </is>
      </c>
      <c r="F166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67" ht="66" customHeight="1">
      <c r="B167" s="36" t="n"/>
      <c r="C167" s="36" t="n"/>
      <c r="D167" s="34" t="inlineStr">
        <is>
          <t>T-162</t>
        </is>
      </c>
      <c r="E167" s="35" t="inlineStr">
        <is>
          <t>Modelar la funcionalidad de HU-37 con el diagrama UML de secuencia de la salida sin señal y su sincronización</t>
        </is>
      </c>
      <c r="F167" s="35" t="inlineStr">
        <is>
          <t>Fernando dibuja el diagrama UML que explica cómo funciona la HU (actores, pantallas, API y base) para que quien programa no tenga que adivinar el flujo. Estado: Done — ya está en el lienzo. 1 h · límite 24/10.</t>
        </is>
      </c>
    </row>
    <row r="168" ht="66" customHeight="1">
      <c r="B168" s="36" t="n"/>
      <c r="C168" s="36" t="n"/>
      <c r="D168" s="34" t="inlineStr">
        <is>
          <t>T-163</t>
        </is>
      </c>
      <c r="E168" s="35" t="inlineStr">
        <is>
          <t>Implementar las tablas asociadas a HU-37: cola local en Room (movimiento_pendiente) en el celular</t>
        </is>
      </c>
      <c r="F168" s="35" t="inlineStr">
        <is>
          <t>Nicolás crea o modifica las tablas, claves e índices únicos que necesita la HU mediante una migración de Alembic que corre sobre base limpia y con datos, y se puede revertir (T2). Empieza después de T-162. 1 h · límite 24/10.</t>
        </is>
      </c>
    </row>
    <row r="169" ht="66" customHeight="1">
      <c r="B169" s="36" t="n"/>
      <c r="C169" s="36" t="n"/>
      <c r="D169" s="34" t="inlineStr">
        <is>
          <t>T-164</t>
        </is>
      </c>
      <c r="E169" s="35" t="inlineStr">
        <is>
          <t>Programar la cola local (Room) con uuid_cliente y hora del celular, y mostrar «pendiente de enviar» en cada movimiento</t>
        </is>
      </c>
      <c r="F169" s="35" t="inlineStr">
        <is>
          <t>Nicolás programa la pantalla en android/ (Kotlin + Jetpack Compose) según la pantalla 3 · Salida y 4 · Ingreso (banda sin señal): botones grandes, una acción por pantalla, y lo que registra movimientos funciona sin señal. Empieza después de T-161, T-242. 14 h · límite 26/10.</t>
        </is>
      </c>
    </row>
    <row r="170" ht="66" customHeight="1">
      <c r="B170" s="36" t="n"/>
      <c r="C170" s="36" t="n"/>
      <c r="D170" s="34" t="inlineStr">
        <is>
          <t>T-165</t>
        </is>
      </c>
      <c r="E170" s="35" t="inlineStr">
        <is>
          <t>Probar la funcionalidad de HU-37 (la app en modo avión y al volver la señal) contra cada condición final y aprobar su PR</t>
        </is>
      </c>
      <c r="F170" s="35" t="inlineStr">
        <is>
          <t>Henry, que no programó lo que falta de HU-37, prueba los endpoints con Postman y la interfaz contra cada condición final de la tarjeta 3 en el ambiente de pruebas; si todo cumple aprueba el PR, si no lo devuelve con la falla. Estado: To Do — alguien distinto del autor (T1, T5, T8). Empieza después de T-163, T-164, T-233. 1 h · límite 27/10.</t>
        </is>
      </c>
    </row>
    <row r="171" ht="66" customHeight="1">
      <c r="B171" s="36" t="n"/>
      <c r="C171" s="37" t="n"/>
      <c r="D171" s="34" t="inlineStr">
        <is>
          <t>T-166</t>
        </is>
      </c>
      <c r="E171" s="38" t="inlineStr">
        <is>
          <t>Aceptar HU-37 como Product Owner desde la interfaz y moverla a Done</t>
        </is>
      </c>
      <c r="F171" s="35" t="inlineStr">
        <is>
          <t>El Product Owner revisa HU-37 desde la interfaz, confirma la DoD (T1–T10) y la mueve a Done. Solo así cuenta en la velocidad del sprint. Estado: To Do — mueve la HU a Done. Empieza después de T-165. 0.5 h · límite 27/10.</t>
        </is>
      </c>
    </row>
    <row r="172" ht="66" customHeight="1">
      <c r="B172" s="36" t="n"/>
      <c r="C172" s="33" t="inlineStr">
        <is>
          <t>HU-38 · Sincronizar pendientes (5 pts)</t>
        </is>
      </c>
      <c r="D172" s="34" t="inlineStr">
        <is>
          <t>T-167</t>
        </is>
      </c>
      <c r="E172" s="35" t="inlineStr">
        <is>
          <t>Diseñar la interfaz de usuario de HU-38: pantalla 8b · Envíos pendientes y 2 · Mis obras</t>
        </is>
      </c>
      <c r="F172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73" ht="66" customHeight="1">
      <c r="B173" s="36" t="n"/>
      <c r="C173" s="36" t="n"/>
      <c r="D173" s="34" t="inlineStr">
        <is>
          <t>T-168</t>
        </is>
      </c>
      <c r="E173" s="35" t="inlineStr">
        <is>
          <t>Modelar la funcionalidad de HU-38 con el diagrama UML de secuencia de la salida sin señal y su sincronización</t>
        </is>
      </c>
      <c r="F173" s="35" t="inlineStr">
        <is>
          <t>Fernando dibuja el diagrama UML que explica cómo funciona la HU (actores, pantallas, API y base) para que quien programa no tenga que adivinar el flujo. Estado: Done — ya está en el lienzo. 1 h · límite 24/10.</t>
        </is>
      </c>
    </row>
    <row r="174" ht="66" customHeight="1">
      <c r="B174" s="36" t="n"/>
      <c r="C174" s="36" t="n"/>
      <c r="D174" s="34" t="inlineStr">
        <is>
          <t>T-169</t>
        </is>
      </c>
      <c r="E174" s="35" t="inlineStr">
        <is>
          <t>Implementar las tablas asociadas a HU-38: movimiento.uuid_cliente UNIQUE</t>
        </is>
      </c>
      <c r="F174" s="35" t="inlineStr">
        <is>
          <t>Adiel crea o modifica las tablas, claves e índices únicos que necesita la HU mediante una migración de Alembic que corre sobre base limpia y con datos, y se puede revertir (T2). Empieza después de T-168. 1 h · límite 24/10.</t>
        </is>
      </c>
    </row>
    <row r="175" ht="66" customHeight="1">
      <c r="B175" s="36" t="n"/>
      <c r="C175" s="36" t="n"/>
      <c r="D175" s="34" t="inlineStr">
        <is>
          <t>T-170</t>
        </is>
      </c>
      <c r="E175" s="35" t="inlineStr">
        <is>
          <t>Programar el back-end de HU-38 (entidad, repositorio, servicio y controlador): la idempotencia por uuid_cliente y devolver el motivo del rechazo</t>
        </is>
      </c>
      <c r="F175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T-169. 4 h · límite 25/10.</t>
        </is>
      </c>
    </row>
    <row r="176" ht="66" customHeight="1">
      <c r="B176" s="36" t="n"/>
      <c r="C176" s="36" t="n"/>
      <c r="D176" s="34" t="inlineStr">
        <is>
          <t>T-171</t>
        </is>
      </c>
      <c r="E176" s="35" t="inlineStr">
        <is>
          <t>Implementar el índice único de uuid_cliente que vuelve idempotente el reenvío (HU-38)</t>
        </is>
      </c>
      <c r="F176" s="35" t="inlineStr">
        <is>
          <t>Adiel lleva la regla a la base de datos para que se cumpla aunque alguien salte la aplicación: trigger, CHECK, índice único o función, con su prueba. Empieza después de T-169. 1 h · límite 25/10.</t>
        </is>
      </c>
    </row>
    <row r="177" ht="66" customHeight="1">
      <c r="B177" s="36" t="n"/>
      <c r="C177" s="36" t="n"/>
      <c r="D177" s="34" t="inlineStr">
        <is>
          <t>T-172</t>
        </is>
      </c>
      <c r="E177" s="35" t="inlineStr">
        <is>
          <t>Programar el envío automático de pendientes al volver la señal (WorkManager)</t>
        </is>
      </c>
      <c r="F177" s="35" t="inlineStr">
        <is>
          <t>Nicolás programa la pantalla en android/ (Kotlin + Jetpack Compose) según la pantalla 8b · Envíos pendientes y 2 · Mis obras: botones grandes, una acción por pantalla, y lo que registra movimientos funciona sin señal. Empieza después de T-167, T-242. 4 h · límite 26/10.</t>
        </is>
      </c>
    </row>
    <row r="178" ht="66" customHeight="1">
      <c r="B178" s="36" t="n"/>
      <c r="C178" s="36" t="n"/>
      <c r="D178" s="34" t="inlineStr">
        <is>
          <t>T-173</t>
        </is>
      </c>
      <c r="E178" s="35" t="inlineStr">
        <is>
          <t>Probar la funcionalidad de HU-38 (la API con Postman y la app en modo avión y al volver la señal) contra cada condición final y aprobar su PR</t>
        </is>
      </c>
      <c r="F178" s="35" t="inlineStr">
        <is>
          <t>Henry, que no programó lo que falta de HU-38, prueba los endpoints con Postman y la interfaz contra cada condición final de la tarjeta 3 en el ambiente de pruebas; si todo cumple aprueba el PR, si no lo devuelve con la falla. Estado: To Do — alguien distinto del autor (T1, T5, T8). Empieza después de T-169, T-170, T-171, T-172, T-233. 1 h · límite 27/10.</t>
        </is>
      </c>
    </row>
    <row r="179" ht="66" customHeight="1">
      <c r="B179" s="36" t="n"/>
      <c r="C179" s="37" t="n"/>
      <c r="D179" s="34" t="inlineStr">
        <is>
          <t>T-174</t>
        </is>
      </c>
      <c r="E179" s="38" t="inlineStr">
        <is>
          <t>Aceptar HU-38 como Product Owner desde la interfaz y moverla a Done</t>
        </is>
      </c>
      <c r="F179" s="35" t="inlineStr">
        <is>
          <t>El Product Owner revisa HU-38 desde la interfaz, confirma la DoD (T1–T10) y la mueve a Done. Solo así cuenta en la velocidad del sprint. Estado: To Do — mueve la HU a Done. Empieza después de T-173. 0.5 h · límite 27/10.</t>
        </is>
      </c>
    </row>
    <row r="180" ht="66" customHeight="1">
      <c r="B180" s="36" t="n"/>
      <c r="C180" s="33" t="inlineStr">
        <is>
          <t>HU-40 · Registrar salidas de material (8 pts)</t>
        </is>
      </c>
      <c r="D180" s="34" t="inlineStr">
        <is>
          <t>T-175</t>
        </is>
      </c>
      <c r="E180" s="35" t="inlineStr">
        <is>
          <t>Diseñar la interfaz de usuario de HU-40: pantalla 3 · Registrar salida</t>
        </is>
      </c>
      <c r="F180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81" ht="66" customHeight="1">
      <c r="B181" s="36" t="n"/>
      <c r="C181" s="36" t="n"/>
      <c r="D181" s="34" t="inlineStr">
        <is>
          <t>T-176</t>
        </is>
      </c>
      <c r="E181" s="35" t="inlineStr">
        <is>
          <t>Modelar la funcionalidad de HU-40 con el diagrama UML de secuencia de la salida sin señal y su sincronización</t>
        </is>
      </c>
      <c r="F181" s="35" t="inlineStr">
        <is>
          <t>Fernando dibuja el diagrama UML que explica cómo funciona la HU (actores, pantallas, API y base) para que quien programa no tenga que adivinar el flujo. Estado: Done — ya está en el lienzo. 1 h · límite 24/10.</t>
        </is>
      </c>
    </row>
    <row r="182" ht="66" customHeight="1">
      <c r="B182" s="36" t="n"/>
      <c r="C182" s="36" t="n"/>
      <c r="D182" s="34" t="inlineStr">
        <is>
          <t>T-177</t>
        </is>
      </c>
      <c r="E182" s="35" t="inlineStr">
        <is>
          <t>Implementar las tablas asociadas a HU-40: movimiento (append-only, costo_unitario congelado)</t>
        </is>
      </c>
      <c r="F182" s="35" t="inlineStr">
        <is>
          <t>Adiel crea o modifica las tablas, claves e índices únicos que necesita la HU mediante una migración de Alembic que corre sobre base limpia y con datos, y se puede revertir (T2). Empieza después de T-176. 1 h · límite 24/10.</t>
        </is>
      </c>
    </row>
    <row r="183" ht="66" customHeight="1">
      <c r="B183" s="36" t="n"/>
      <c r="C183" s="36" t="n"/>
      <c r="D183" s="34" t="inlineStr">
        <is>
          <t>T-178</t>
        </is>
      </c>
      <c r="E183" s="35" t="inlineStr">
        <is>
          <t>Programar el back-end de HU-40 (entidad, repositorio, servicio y controlador): la salida: rechazar si supera el saldo y congelar el costo promedio</t>
        </is>
      </c>
      <c r="F183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T-177. 7 h · límite 25/10.</t>
        </is>
      </c>
    </row>
    <row r="184" ht="66" customHeight="1">
      <c r="B184" s="36" t="n"/>
      <c r="C184" s="36" t="n"/>
      <c r="D184" s="34" t="inlineStr">
        <is>
          <t>T-179</t>
        </is>
      </c>
      <c r="E184" s="35" t="inlineStr">
        <is>
          <t>Implementar el trigger que impide UPDATE y DELETE en movimiento y el que rechaza fechas fuera del plazo (HU-40)</t>
        </is>
      </c>
      <c r="F184" s="35" t="inlineStr">
        <is>
          <t>Adiel lleva la regla a la base de datos para que se cumpla aunque alguien salte la aplicación: trigger, CHECK, índice único o función, con su prueba. Empieza después de T-177. 1 h · límite 25/10.</t>
        </is>
      </c>
    </row>
    <row r="185" ht="66" customHeight="1">
      <c r="B185" s="36" t="n"/>
      <c r="C185" s="36" t="n"/>
      <c r="D185" s="34" t="inlineStr">
        <is>
          <t>T-180</t>
        </is>
      </c>
      <c r="E185" s="35" t="inlineStr">
        <is>
          <t>Programar la pantalla de salida en la app (insumo, cantidad, motivo, quién retira)</t>
        </is>
      </c>
      <c r="F185" s="35" t="inlineStr">
        <is>
          <t>Nicolás programa la pantalla en android/ (Kotlin + Jetpack Compose) según la pantalla 3 · Registrar salida: botones grandes, una acción por pantalla, y lo que registra movimientos funciona sin señal. Empieza después de T-175, T-242. 7 h · límite 26/10.</t>
        </is>
      </c>
    </row>
    <row r="186" ht="66" customHeight="1">
      <c r="B186" s="36" t="n"/>
      <c r="C186" s="36" t="n"/>
      <c r="D186" s="34" t="inlineStr">
        <is>
          <t>T-181</t>
        </is>
      </c>
      <c r="E186" s="35" t="inlineStr">
        <is>
          <t>Probar la funcionalidad de HU-40 (la API con Postman y la app en modo avión y al volver la señal) contra cada condición final y aprobar su PR</t>
        </is>
      </c>
      <c r="F186" s="35" t="inlineStr">
        <is>
          <t>Henry, que no programó lo que falta de HU-40, prueba los endpoints con Postman y la interfaz contra cada condición final de la tarjeta 3 en el ambiente de pruebas; si todo cumple aprueba el PR, si no lo devuelve con la falla. Estado: To Do — alguien distinto del autor (T1, T5, T8). Empieza después de T-177, T-178, T-179, T-180, T-233. 1 h · límite 27/10.</t>
        </is>
      </c>
    </row>
    <row r="187" ht="66" customHeight="1">
      <c r="B187" s="36" t="n"/>
      <c r="C187" s="37" t="n"/>
      <c r="D187" s="34" t="inlineStr">
        <is>
          <t>T-182</t>
        </is>
      </c>
      <c r="E187" s="38" t="inlineStr">
        <is>
          <t>Aceptar HU-40 como Product Owner desde la interfaz y moverla a Done</t>
        </is>
      </c>
      <c r="F187" s="35" t="inlineStr">
        <is>
          <t>El Product Owner revisa HU-40 desde la interfaz, confirma la DoD (T1–T10) y la mueve a Done. Solo así cuenta en la velocidad del sprint. Estado: To Do — mueve la HU a Done. Empieza después de T-181. 0.5 h · límite 27/10.</t>
        </is>
      </c>
    </row>
    <row r="188" ht="66" customHeight="1">
      <c r="B188" s="36" t="n"/>
      <c r="C188" s="33" t="inlineStr">
        <is>
          <t>HU-43 · Consultar stock (5 pts)</t>
        </is>
      </c>
      <c r="D188" s="34" t="inlineStr">
        <is>
          <t>T-183</t>
        </is>
      </c>
      <c r="E188" s="35" t="inlineStr">
        <is>
          <t>Diseñar la interfaz de usuario de HU-43: pantalla 5 · Consultar stock y 15 · Kárdex</t>
        </is>
      </c>
      <c r="F188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89" ht="66" customHeight="1">
      <c r="B189" s="36" t="n"/>
      <c r="C189" s="36" t="n"/>
      <c r="D189" s="34" t="inlineStr">
        <is>
          <t>T-184</t>
        </is>
      </c>
      <c r="E189" s="35" t="inlineStr">
        <is>
          <t>Modelar la funcionalidad de HU-43 con el diagrama UML de secuencia del cálculo del stock desde el libro</t>
        </is>
      </c>
      <c r="F189" s="35" t="inlineStr">
        <is>
          <t>Nicolás dibuja el diagrama UML que explica cómo funciona la HU (actores, pantallas, API y base) para que quien programa no tenga que adivinar el flujo. Empieza después de T-183. 1 h · límite 24/10.</t>
        </is>
      </c>
    </row>
    <row r="190" ht="66" customHeight="1">
      <c r="B190" s="36" t="n"/>
      <c r="C190" s="36" t="n"/>
      <c r="D190" s="34" t="inlineStr">
        <is>
          <t>T-185</t>
        </is>
      </c>
      <c r="E190" s="35" t="inlineStr">
        <is>
          <t>Implementar las tablas asociadas a HU-43: vista de saldo derivada de movimiento</t>
        </is>
      </c>
      <c r="F190" s="35" t="inlineStr">
        <is>
          <t>Adiel crea o modifica las tablas, claves e índices únicos que necesita la HU mediante una migración de Alembic que corre sobre base limpia y con datos, y se puede revertir (T2). Empieza después de T-184. 1 h · límite 24/10.</t>
        </is>
      </c>
    </row>
    <row r="191" ht="66" customHeight="1">
      <c r="B191" s="36" t="n"/>
      <c r="C191" s="36" t="n"/>
      <c r="D191" s="34" t="inlineStr">
        <is>
          <t>T-186</t>
        </is>
      </c>
      <c r="E191" s="35" t="inlineStr">
        <is>
          <t>Programar el back-end de HU-43 (entidad, repositorio, servicio y controlador): el cálculo del stock desde el libro de movimientos, por almacén y consolidado</t>
        </is>
      </c>
      <c r="F191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T-185. 2 h · límite 25/10.</t>
        </is>
      </c>
    </row>
    <row r="192" ht="66" customHeight="1">
      <c r="B192" s="36" t="n"/>
      <c r="C192" s="36" t="n"/>
      <c r="D192" s="34" t="inlineStr">
        <is>
          <t>T-187</t>
        </is>
      </c>
      <c r="E192" s="35" t="inlineStr">
        <is>
          <t>Implementar la función que calcula el saldo SUM(cantidad × signo) por almacén e insumo (HU-43)</t>
        </is>
      </c>
      <c r="F192" s="35" t="inlineStr">
        <is>
          <t>Adiel lleva la regla a la base de datos para que se cumpla aunque alguien salte la aplicación: trigger, CHECK, índice único o función, con su prueba. Empieza después de T-185. 1 h · límite 25/10.</t>
        </is>
      </c>
    </row>
    <row r="193" ht="66" customHeight="1">
      <c r="B193" s="36" t="n"/>
      <c r="C193" s="36" t="n"/>
      <c r="D193" s="34" t="inlineStr">
        <is>
          <t>T-188</t>
        </is>
      </c>
      <c r="E193" s="35" t="inlineStr">
        <is>
          <t>Programar la pantalla web de stock y kárdex</t>
        </is>
      </c>
      <c r="F193" s="35" t="inlineStr">
        <is>
          <t>Fernando programa la pantalla en web/ (React + TypeScript + CSS) según la pantalla 5 · Consultar stock y 15 · Kárdex,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194" ht="66" customHeight="1">
      <c r="B194" s="36" t="n"/>
      <c r="C194" s="36" t="n"/>
      <c r="D194" s="34" t="inlineStr">
        <is>
          <t>T-189</t>
        </is>
      </c>
      <c r="E194" s="35" t="inlineStr">
        <is>
          <t>Programar la consulta de stock en la app</t>
        </is>
      </c>
      <c r="F194" s="35" t="inlineStr">
        <is>
          <t>Nicolás programa la pantalla en android/ (Kotlin + Jetpack Compose) según la pantalla 5 · Consultar stock y 15 · Kárdex: botones grandes, una acción por pantalla, y lo que registra movimientos funciona sin señal. Empieza después de T-183, T-242. 2 h · límite 26/10.</t>
        </is>
      </c>
    </row>
    <row r="195" ht="66" customHeight="1">
      <c r="B195" s="36" t="n"/>
      <c r="C195" s="36" t="n"/>
      <c r="D195" s="34" t="inlineStr">
        <is>
          <t>T-190</t>
        </is>
      </c>
      <c r="E195" s="35" t="inlineStr">
        <is>
          <t>Conectar la pantalla de stock y kárdex con la API real</t>
        </is>
      </c>
      <c r="F195" s="35" t="inlineStr">
        <is>
          <t>Henry cambia los datos simulados por la API real a través del ClienteHttp: la pantalla muestra lo que devuelve el servidor y sus errores {codigo, mensaje}. Empieza después de T-186, T-188, T-240. 2 h · límite 26/10.</t>
        </is>
      </c>
    </row>
    <row r="196" ht="66" customHeight="1">
      <c r="B196" s="36" t="n"/>
      <c r="C196" s="36" t="n"/>
      <c r="D196" s="34" t="inlineStr">
        <is>
          <t>T-191</t>
        </is>
      </c>
      <c r="E196" s="35" t="inlineStr">
        <is>
          <t>Probar la funcionalidad de HU-43 (la API con Postman, la pantalla web y la app) contra cada condición final y aprobar su PR</t>
        </is>
      </c>
      <c r="F196" s="35" t="inlineStr">
        <is>
          <t>Fernando, que no programó lo que falta de HU-43, prueba los endpoints con Postman y la interfaz contra cada condición final de la tarjeta 3 en el ambiente de pruebas; si todo cumple aprueba el PR, si no lo devuelve con la falla. Estado: To Do — alguien distinto del autor (T1, T5, T8). Empieza después de T-185, T-186, T-187, T-188, T-189, T-190, T-233. 1 h · límite 27/10.</t>
        </is>
      </c>
    </row>
    <row r="197" ht="66" customHeight="1">
      <c r="B197" s="36" t="n"/>
      <c r="C197" s="37" t="n"/>
      <c r="D197" s="34" t="inlineStr">
        <is>
          <t>T-192</t>
        </is>
      </c>
      <c r="E197" s="38" t="inlineStr">
        <is>
          <t>Aceptar HU-43 como Product Owner desde la interfaz y moverla a Done</t>
        </is>
      </c>
      <c r="F197" s="35" t="inlineStr">
        <is>
          <t>El Product Owner revisa HU-43 desde la interfaz, confirma la DoD (T1–T10) y la mueve a Done. Solo así cuenta en la velocidad del sprint. Estado: To Do — mueve la HU a Done. Empieza después de T-191. 0.5 h · límite 27/10.</t>
        </is>
      </c>
    </row>
    <row r="198" ht="66" customHeight="1">
      <c r="B198" s="36" t="n"/>
      <c r="C198" s="33" t="inlineStr">
        <is>
          <t>HU-45 · Corregir movimientos (5 pts)</t>
        </is>
      </c>
      <c r="D198" s="34" t="inlineStr">
        <is>
          <t>T-193</t>
        </is>
      </c>
      <c r="E198" s="35" t="inlineStr">
        <is>
          <t>Diseñar la interfaz de usuario de HU-45: pantalla 15 · Kárdex y 21 · Movimientos del día</t>
        </is>
      </c>
      <c r="F198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99" ht="66" customHeight="1">
      <c r="B199" s="36" t="n"/>
      <c r="C199" s="36" t="n"/>
      <c r="D199" s="34" t="inlineStr">
        <is>
          <t>T-194</t>
        </is>
      </c>
      <c r="E199" s="35" t="inlineStr">
        <is>
          <t>Modelar la funcionalidad de HU-45 con el diagrama UML de estados del movimiento (vigente → revertido)</t>
        </is>
      </c>
      <c r="F199" s="35" t="inlineStr">
        <is>
          <t>Henry dibuja el diagrama UML que explica cómo funciona la HU (actores, pantallas, API y base) para que quien programa no tenga que adivinar el flujo. Empieza después de T-193. 1 h · límite 24/10.</t>
        </is>
      </c>
    </row>
    <row r="200" ht="66" customHeight="1">
      <c r="B200" s="36" t="n"/>
      <c r="C200" s="36" t="n"/>
      <c r="D200" s="34" t="inlineStr">
        <is>
          <t>T-195</t>
        </is>
      </c>
      <c r="E200" s="35" t="inlineStr">
        <is>
          <t>Implementar las tablas asociadas a HU-45: movimiento.movimiento_origen_id (reverso)</t>
        </is>
      </c>
      <c r="F200" s="35" t="inlineStr">
        <is>
          <t>Adiel crea o modifica las tablas, claves e índices únicos que necesita la HU mediante una migración de Alembic que corre sobre base limpia y con datos, y se puede revertir (T2). Empieza después de T-194. 1 h · límite 24/10.</t>
        </is>
      </c>
    </row>
    <row r="201" ht="66" customHeight="1">
      <c r="B201" s="36" t="n"/>
      <c r="C201" s="36" t="n"/>
      <c r="D201" s="34" t="inlineStr">
        <is>
          <t>T-196</t>
        </is>
      </c>
      <c r="E201" s="35" t="inlineStr">
        <is>
          <t>Programar el back-end de HU-45 (entidad, repositorio, servicio y controlador): el reverso que apunta al original, sin UPDATE ni DELETE</t>
        </is>
      </c>
      <c r="F201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T-195. 3 h · límite 25/10.</t>
        </is>
      </c>
    </row>
    <row r="202" ht="66" customHeight="1">
      <c r="B202" s="36" t="n"/>
      <c r="C202" s="36" t="n"/>
      <c r="D202" s="34" t="inlineStr">
        <is>
          <t>T-197</t>
        </is>
      </c>
      <c r="E202" s="35" t="inlineStr">
        <is>
          <t>Programar la corrección con reverso desde el kárdex web</t>
        </is>
      </c>
      <c r="F202" s="35" t="inlineStr">
        <is>
          <t>Fernando programa la pantalla en web/ (React + TypeScript + CSS) según la pantalla 15 · Kárdex y 21 · Movimientos del día, con los componentes del sistema de diseño, modo claro y oscuro, y escala de texto; la web no calcula saldos ni costos. Estado: Done — pantalla hecha con datos simulados; falta conectarla a la API real. 3 h · límite 26/10.</t>
        </is>
      </c>
    </row>
    <row r="203" ht="66" customHeight="1">
      <c r="B203" s="36" t="n"/>
      <c r="C203" s="36" t="n"/>
      <c r="D203" s="34" t="inlineStr">
        <is>
          <t>T-198</t>
        </is>
      </c>
      <c r="E203" s="35" t="inlineStr">
        <is>
          <t>Conectar el reverso con la API real</t>
        </is>
      </c>
      <c r="F203" s="35" t="inlineStr">
        <is>
          <t>Henry cambia los datos simulados por la API real a través del ClienteHttp: la pantalla muestra lo que devuelve el servidor y sus errores {codigo, mensaje}. Empieza después de T-196, T-197, T-240. 3 h · límite 26/10.</t>
        </is>
      </c>
    </row>
    <row r="204" ht="66" customHeight="1">
      <c r="B204" s="36" t="n"/>
      <c r="C204" s="36" t="n"/>
      <c r="D204" s="34" t="inlineStr">
        <is>
          <t>T-199</t>
        </is>
      </c>
      <c r="E204" s="35" t="inlineStr">
        <is>
          <t>Probar la funcionalidad de HU-45 (la API con Postman y la pantalla web) contra cada condición final y aprobar su PR</t>
        </is>
      </c>
      <c r="F204" s="35" t="inlineStr">
        <is>
          <t>Fernando, que no programó lo que falta de HU-45, prueba los endpoints con Postman y la interfaz contra cada condición final de la tarjeta 3 en el ambiente de pruebas; si todo cumple aprueba el PR, si no lo devuelve con la falla. Estado: To Do — alguien distinto del autor (T1, T5, T8). Empieza después de T-195, T-196, T-197, T-198, T-233. 1 h · límite 27/10.</t>
        </is>
      </c>
    </row>
    <row r="205" ht="66" customHeight="1">
      <c r="B205" s="37" t="n"/>
      <c r="C205" s="37" t="n"/>
      <c r="D205" s="34" t="inlineStr">
        <is>
          <t>T-200</t>
        </is>
      </c>
      <c r="E205" s="38" t="inlineStr">
        <is>
          <t>Aceptar HU-45 como Product Owner desde la interfaz y moverla a Done</t>
        </is>
      </c>
      <c r="F205" s="35" t="inlineStr">
        <is>
          <t>El Product Owner revisa HU-45 desde la interfaz, confirma la DoD (T1–T10) y la mueve a Done. Solo así cuenta en la velocidad del sprint. Estado: To Do — mueve la HU a Done. Empieza después de T-199. 0.5 h · límite 27/10.</t>
        </is>
      </c>
    </row>
    <row r="206" ht="66" customHeight="1">
      <c r="B206" s="32" t="inlineStr">
        <is>
          <t>E6. Valorizar el consumo e informar el costo de obra</t>
        </is>
      </c>
      <c r="C206" s="33" t="inlineStr">
        <is>
          <t>HU-55 · Valorizar salidas (8 pts)</t>
        </is>
      </c>
      <c r="D206" s="34" t="inlineStr">
        <is>
          <t>T-201</t>
        </is>
      </c>
      <c r="E206" s="35" t="inlineStr">
        <is>
          <t>Diseñar la interfaz de usuario de HU-55: pantalla 3 · Registrar salida y 13 · Tablero</t>
        </is>
      </c>
      <c r="F206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207" ht="66" customHeight="1">
      <c r="B207" s="36" t="n"/>
      <c r="C207" s="36" t="n"/>
      <c r="D207" s="34" t="inlineStr">
        <is>
          <t>T-202</t>
        </is>
      </c>
      <c r="E207" s="35" t="inlineStr">
        <is>
          <t>Modelar la funcionalidad de HU-55 con el diagrama UML de secuencia de la recepción y el costo promedio ponderado</t>
        </is>
      </c>
      <c r="F207" s="35" t="inlineStr">
        <is>
          <t>Fernando dibuja el diagrama UML que explica cómo funciona la HU (actores, pantallas, API y base) para que quien programa no tenga que adivinar el flujo. Estado: Done — ya está en el lienzo. 1 h · límite 24/10.</t>
        </is>
      </c>
    </row>
    <row r="208" ht="66" customHeight="1">
      <c r="B208" s="36" t="n"/>
      <c r="C208" s="36" t="n"/>
      <c r="D208" s="34" t="inlineStr">
        <is>
          <t>T-203</t>
        </is>
      </c>
      <c r="E208" s="35" t="inlineStr">
        <is>
          <t>Implementar las tablas asociadas a HU-55: costo_promedio por insumo y almacén</t>
        </is>
      </c>
      <c r="F208" s="35" t="inlineStr">
        <is>
          <t>Adiel crea o modifica las tablas, claves e índices únicos que necesita la HU mediante una migración de Alembic que corre sobre base limpia y con datos, y se puede revertir (T2). Empieza después de T-202. 1 h · límite 24/10.</t>
        </is>
      </c>
    </row>
    <row r="209" ht="66" customHeight="1">
      <c r="B209" s="36" t="n"/>
      <c r="C209" s="36" t="n"/>
      <c r="D209" s="34" t="inlineStr">
        <is>
          <t>T-204</t>
        </is>
      </c>
      <c r="E209" s="35" t="inlineStr">
        <is>
          <t>Programar el back-end de HU-55 (entidad, repositorio, servicio y controlador): el costo promedio ponderado congelado en cada salida, sin IGV de factura (NIC 2)</t>
        </is>
      </c>
      <c r="F209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T-203. 7 h · límite 25/10.</t>
        </is>
      </c>
    </row>
    <row r="210" ht="66" customHeight="1">
      <c r="B210" s="36" t="n"/>
      <c r="C210" s="36" t="n"/>
      <c r="D210" s="34" t="inlineStr">
        <is>
          <t>T-205</t>
        </is>
      </c>
      <c r="E210" s="35" t="inlineStr">
        <is>
          <t>Implementar la función que recalcula el costo promedio ponderado en cada ingreso (HU-55)</t>
        </is>
      </c>
      <c r="F210" s="35" t="inlineStr">
        <is>
          <t>Adiel lleva la regla a la base de datos para que se cumpla aunque alguien salte la aplicación: trigger, CHECK, índice único o función, con su prueba. Empieza después de T-203. 1 h · límite 25/10.</t>
        </is>
      </c>
    </row>
    <row r="211" ht="66" customHeight="1">
      <c r="B211" s="36" t="n"/>
      <c r="C211" s="36" t="n"/>
      <c r="D211" s="34" t="inlineStr">
        <is>
          <t>T-206</t>
        </is>
      </c>
      <c r="E211" s="35" t="inlineStr">
        <is>
          <t>Mostrar la salida valorizada en el kárdex y en el reporte web</t>
        </is>
      </c>
      <c r="F211" s="35" t="inlineStr">
        <is>
          <t>Henry programa la pantalla en web/ (React + TypeScript + CSS) según la pantalla 3 · Registrar salida y 13 · Tablero, con los componentes del sistema de diseño, modo claro y oscuro, y escala de texto; la web no calcula saldos ni costos. Empieza después de T-201. 7 h · límite 26/10.</t>
        </is>
      </c>
    </row>
    <row r="212" ht="66" customHeight="1">
      <c r="B212" s="36" t="n"/>
      <c r="C212" s="36" t="n"/>
      <c r="D212" s="34" t="inlineStr">
        <is>
          <t>T-207</t>
        </is>
      </c>
      <c r="E212" s="35" t="inlineStr">
        <is>
          <t>Probar la funcionalidad de HU-55 (la API con Postman y la pantalla web) contra cada condición final y aprobar su PR</t>
        </is>
      </c>
      <c r="F212" s="35" t="inlineStr">
        <is>
          <t>Fernando, que no programó lo que falta de HU-55, prueba los endpoints con Postman y la interfaz contra cada condición final de la tarjeta 3 en el ambiente de pruebas; si todo cumple aprueba el PR, si no lo devuelve con la falla. Estado: To Do — alguien distinto del autor (T1, T5, T8). Empieza después de T-203, T-204, T-205, T-206, T-233. 1 h · límite 27/10.</t>
        </is>
      </c>
    </row>
    <row r="213" ht="66" customHeight="1">
      <c r="B213" s="36" t="n"/>
      <c r="C213" s="37" t="n"/>
      <c r="D213" s="34" t="inlineStr">
        <is>
          <t>T-208</t>
        </is>
      </c>
      <c r="E213" s="38" t="inlineStr">
        <is>
          <t>Aceptar HU-55 como Product Owner desde la interfaz y moverla a Done</t>
        </is>
      </c>
      <c r="F213" s="35" t="inlineStr">
        <is>
          <t>El Product Owner revisa HU-55 desde la interfaz, confirma la DoD (T1–T10) y la mueve a Done. Solo así cuenta en la velocidad del sprint. Estado: To Do — mueve la HU a Done. Empieza después de T-207. 0.5 h · límite 27/10.</t>
        </is>
      </c>
    </row>
    <row r="214" ht="66" customHeight="1">
      <c r="B214" s="36" t="n"/>
      <c r="C214" s="33" t="inlineStr">
        <is>
          <t>HU-57 · Comparar consumo vs. lo planificado (8 pts)</t>
        </is>
      </c>
      <c r="D214" s="34" t="inlineStr">
        <is>
          <t>T-209</t>
        </is>
      </c>
      <c r="E214" s="35" t="inlineStr">
        <is>
          <t>Diseñar la interfaz de usuario de HU-57: pantalla 13 · Gasto en recursos</t>
        </is>
      </c>
      <c r="F214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215" ht="66" customHeight="1">
      <c r="B215" s="36" t="n"/>
      <c r="C215" s="36" t="n"/>
      <c r="D215" s="34" t="inlineStr">
        <is>
          <t>T-210</t>
        </is>
      </c>
      <c r="E215" s="35" t="inlineStr">
        <is>
          <t>Modelar la funcionalidad de HU-57 con el diagrama UML de actividades de la comparación contra lo planificado</t>
        </is>
      </c>
      <c r="F215" s="35" t="inlineStr">
        <is>
          <t>Henry dibuja el diagrama UML que explica cómo funciona la HU (actores, pantallas, API y base) para que quien programa no tenga que adivinar el flujo. Empieza después de T-209. 1 h · límite 24/10.</t>
        </is>
      </c>
    </row>
    <row r="216" ht="66" customHeight="1">
      <c r="B216" s="36" t="n"/>
      <c r="C216" s="36" t="n"/>
      <c r="D216" s="34" t="inlineStr">
        <is>
          <t>T-211</t>
        </is>
      </c>
      <c r="E216" s="35" t="inlineStr">
        <is>
          <t>Implementar las tablas asociadas a HU-57: vista de desviación contra requerimiento</t>
        </is>
      </c>
      <c r="F216" s="35" t="inlineStr">
        <is>
          <t>Adiel crea o modifica las tablas, claves e índices únicos que necesita la HU mediante una migración de Alembic que corre sobre base limpia y con datos, y se puede revertir (T2). Empieza después de T-210. 1 h · límite 24/10.</t>
        </is>
      </c>
    </row>
    <row r="217" ht="66" customHeight="1">
      <c r="B217" s="36" t="n"/>
      <c r="C217" s="36" t="n"/>
      <c r="D217" s="34" t="inlineStr">
        <is>
          <t>T-212</t>
        </is>
      </c>
      <c r="E217" s="35" t="inlineStr">
        <is>
          <t>Programar el back-end de HU-57 (entidad, repositorio, servicio y controlador): la comparación del consumo contra lo planificado en el S10</t>
        </is>
      </c>
      <c r="F217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T-211. 5 h · límite 25/10.</t>
        </is>
      </c>
    </row>
    <row r="218" ht="66" customHeight="1">
      <c r="B218" s="36" t="n"/>
      <c r="C218" s="36" t="n"/>
      <c r="D218" s="34" t="inlineStr">
        <is>
          <t>T-213</t>
        </is>
      </c>
      <c r="E218" s="35" t="inlineStr">
        <is>
          <t>Programar la pantalla web «Gasto en recursos» con la desviación</t>
        </is>
      </c>
      <c r="F218" s="35" t="inlineStr">
        <is>
          <t>Fernando programa la pantalla en web/ (React + TypeScript + CSS) según la pantalla 13 · Gasto en recursos, con los componentes del sistema de diseño, modo claro y oscuro, y escala de texto; la web no calcula saldos ni costos. Estado: Done — pantalla hecha con datos simulados; falta conectarla a la API real. 5 h · límite 26/10.</t>
        </is>
      </c>
    </row>
    <row r="219" ht="66" customHeight="1">
      <c r="B219" s="36" t="n"/>
      <c r="C219" s="36" t="n"/>
      <c r="D219" s="34" t="inlineStr">
        <is>
          <t>T-214</t>
        </is>
      </c>
      <c r="E219" s="35" t="inlineStr">
        <is>
          <t>Conectar la pantalla de desviación con la API real</t>
        </is>
      </c>
      <c r="F219" s="35" t="inlineStr">
        <is>
          <t>Henry cambia los datos simulados por la API real a través del ClienteHttp: la pantalla muestra lo que devuelve el servidor y sus errores {codigo, mensaje}. Empieza después de T-212, T-213, T-240. 5 h · límite 26/10.</t>
        </is>
      </c>
    </row>
    <row r="220" ht="66" customHeight="1">
      <c r="B220" s="36" t="n"/>
      <c r="C220" s="36" t="n"/>
      <c r="D220" s="34" t="inlineStr">
        <is>
          <t>T-215</t>
        </is>
      </c>
      <c r="E220" s="35" t="inlineStr">
        <is>
          <t>Probar la funcionalidad de HU-57 (la API con Postman y la pantalla web) contra cada condición final y aprobar su PR</t>
        </is>
      </c>
      <c r="F220" s="35" t="inlineStr">
        <is>
          <t>Fernando, que no programó lo que falta de HU-57, prueba los endpoints con Postman y la interfaz contra cada condición final de la tarjeta 3 en el ambiente de pruebas; si todo cumple aprueba el PR, si no lo devuelve con la falla. Estado: To Do — alguien distinto del autor (T1, T5, T8). Empieza después de T-211, T-212, T-213, T-214, T-233. 1 h · límite 27/10.</t>
        </is>
      </c>
    </row>
    <row r="221" ht="66" customHeight="1">
      <c r="B221" s="37" t="n"/>
      <c r="C221" s="37" t="n"/>
      <c r="D221" s="34" t="inlineStr">
        <is>
          <t>T-216</t>
        </is>
      </c>
      <c r="E221" s="38" t="inlineStr">
        <is>
          <t>Aceptar HU-57 como Product Owner desde la interfaz y moverla a Done</t>
        </is>
      </c>
      <c r="F221" s="35" t="inlineStr">
        <is>
          <t>El Product Owner revisa HU-57 desde la interfaz, confirma la DoD (T1–T10) y la mueve a Done. Solo así cuenta en la velocidad del sprint. Estado: To Do — mueve la HU a Done. Empieza después de T-215. 0.5 h · límite 27/10.</t>
        </is>
      </c>
    </row>
    <row r="222" ht="66" customHeight="1">
      <c r="B222" s="32" t="inlineStr">
        <is>
          <t>E7. Controlar la asistencia de la mano de obra</t>
        </is>
      </c>
      <c r="C222" s="33" t="inlineStr">
        <is>
          <t>HU-62 · Registrar trabajadores (3 pts)</t>
        </is>
      </c>
      <c r="D222" s="34" t="inlineStr">
        <is>
          <t>T-217</t>
        </is>
      </c>
      <c r="E222" s="35" t="inlineStr">
        <is>
          <t>Diseñar la interfaz de usuario de HU-62: pantalla 6 · Registrar trabajador</t>
        </is>
      </c>
      <c r="F222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223" ht="66" customHeight="1">
      <c r="B223" s="36" t="n"/>
      <c r="C223" s="36" t="n"/>
      <c r="D223" s="34" t="inlineStr">
        <is>
          <t>T-218</t>
        </is>
      </c>
      <c r="E223" s="35" t="inlineStr">
        <is>
          <t>Modelar la funcionalidad de HU-62 con el diagrama UML de secuencia del registro con consulta de DNI</t>
        </is>
      </c>
      <c r="F223" s="35" t="inlineStr">
        <is>
          <t>Nicolás dibuja el diagrama UML que explica cómo funciona la HU (actores, pantallas, API y base) para que quien programa no tenga que adivinar el flujo. Empieza después de T-217. 1 h · límite 24/10.</t>
        </is>
      </c>
    </row>
    <row r="224" ht="66" customHeight="1">
      <c r="B224" s="36" t="n"/>
      <c r="C224" s="36" t="n"/>
      <c r="D224" s="34" t="inlineStr">
        <is>
          <t>T-219</t>
        </is>
      </c>
      <c r="E224" s="35" t="inlineStr">
        <is>
          <t>Implementar las tablas asociadas a HU-62: trabajador (único por obra, baja con fecha)</t>
        </is>
      </c>
      <c r="F224" s="35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225" ht="66" customHeight="1">
      <c r="B225" s="36" t="n"/>
      <c r="C225" s="36" t="n"/>
      <c r="D225" s="34" t="inlineStr">
        <is>
          <t>T-220</t>
        </is>
      </c>
      <c r="E225" s="35" t="inlineStr">
        <is>
          <t>Programar el back-end de HU-62 (entidad, repositorio, servicio y controlador): el registro de trabajadores: único por obra y baja con fecha</t>
        </is>
      </c>
      <c r="F225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2 h · límite 25/10.</t>
        </is>
      </c>
    </row>
    <row r="226" ht="66" customHeight="1">
      <c r="B226" s="36" t="n"/>
      <c r="C226" s="36" t="n"/>
      <c r="D226" s="34" t="inlineStr">
        <is>
          <t>T-221</t>
        </is>
      </c>
      <c r="E226" s="35" t="inlineStr">
        <is>
          <t>Programar la consulta de DNI en RENIEC desde el microservicio — integración con RENIEC (DNI) vía Factiliza</t>
        </is>
      </c>
      <c r="F226" s="35" t="inlineStr">
        <is>
          <t>Fernando conecta con el sistema externo sin que la API dependa de él: el microservicio devuelve datos normalizados y, si el servicio cae, el registro no se bloquea. Se prueba con el archivo o servicio real. Estado: Done — probado con Factiliza. 2 h · límite 25/10.</t>
        </is>
      </c>
    </row>
    <row r="227" ht="66" customHeight="1">
      <c r="B227" s="36" t="n"/>
      <c r="C227" s="36" t="n"/>
      <c r="D227" s="34" t="inlineStr">
        <is>
          <t>T-222</t>
        </is>
      </c>
      <c r="E227" s="35" t="inlineStr">
        <is>
          <t>Programar en la app el registro de trabajadores con consulta de DNI</t>
        </is>
      </c>
      <c r="F227" s="35" t="inlineStr">
        <is>
          <t>Nicolás programa la pantalla en android/ (Kotlin + Jetpack Compose) según la pantalla 6 · Registrar trabajador: botones grandes, una acción por pantalla, y lo que registra movimientos funciona sin señal. Empieza después de T-217, T-242. 2 h · límite 26/10.</t>
        </is>
      </c>
    </row>
    <row r="228" ht="66" customHeight="1">
      <c r="B228" s="36" t="n"/>
      <c r="C228" s="36" t="n"/>
      <c r="D228" s="34" t="inlineStr">
        <is>
          <t>T-223</t>
        </is>
      </c>
      <c r="E228" s="35" t="inlineStr">
        <is>
          <t>Probar la funcionalidad de HU-62 (la API con Postman y la app) contra cada condición final y aprobar su PR</t>
        </is>
      </c>
      <c r="F228" s="35" t="inlineStr">
        <is>
          <t>Henry, que no programó lo que falta de HU-62, prueba los endpoints con Postman y la interfaz contra cada condición final de la tarjeta 3 en el ambiente de pruebas; si todo cumple aprueba el PR, si no lo devuelve con la falla. Estado: To Do — alguien distinto del autor (T1, T5, T8). Empieza después de T-219, T-220, T-221, T-222, T-233. 1 h · límite 27/10.</t>
        </is>
      </c>
    </row>
    <row r="229" ht="66" customHeight="1">
      <c r="B229" s="36" t="n"/>
      <c r="C229" s="37" t="n"/>
      <c r="D229" s="34" t="inlineStr">
        <is>
          <t>T-224</t>
        </is>
      </c>
      <c r="E229" s="38" t="inlineStr">
        <is>
          <t>Aceptar HU-62 como Product Owner desde la interfaz y moverla a Done</t>
        </is>
      </c>
      <c r="F229" s="35" t="inlineStr">
        <is>
          <t>El Product Owner revisa HU-62 desde la interfaz, confirma la DoD (T1–T10) y la mueve a Done. Solo así cuenta en la velocidad del sprint. Estado: To Do — mueve la HU a Done. Empieza después de T-223. 0.5 h · límite 27/10.</t>
        </is>
      </c>
    </row>
    <row r="230" ht="66" customHeight="1">
      <c r="B230" s="36" t="n"/>
      <c r="C230" s="33" t="inlineStr">
        <is>
          <t>HU-63 · Tomar asistencia (5 pts)</t>
        </is>
      </c>
      <c r="D230" s="34" t="inlineStr">
        <is>
          <t>T-225</t>
        </is>
      </c>
      <c r="E230" s="35" t="inlineStr">
        <is>
          <t>Diseñar la interfaz de usuario de HU-63: pantalla 7 · Asistencia de la jornada</t>
        </is>
      </c>
      <c r="F230" s="35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231" ht="66" customHeight="1">
      <c r="B231" s="36" t="n"/>
      <c r="C231" s="36" t="n"/>
      <c r="D231" s="34" t="inlineStr">
        <is>
          <t>T-226</t>
        </is>
      </c>
      <c r="E231" s="35" t="inlineStr">
        <is>
          <t>Modelar la funcionalidad de HU-63 con el diagrama UML de actividades de la toma de asistencia</t>
        </is>
      </c>
      <c r="F231" s="35" t="inlineStr">
        <is>
          <t>Nicolás dibuja el diagrama UML que explica cómo funciona la HU (actores, pantallas, API y base) para que quien programa no tenga que adivinar el flujo. Empieza después de T-225. 1 h · límite 24/10.</t>
        </is>
      </c>
    </row>
    <row r="232" ht="66" customHeight="1">
      <c r="B232" s="36" t="n"/>
      <c r="C232" s="36" t="n"/>
      <c r="D232" s="34" t="inlineStr">
        <is>
          <t>T-227</t>
        </is>
      </c>
      <c r="E232" s="35" t="inlineStr">
        <is>
          <t>Implementar las tablas asociadas a HU-63: jornada (UNIQUE trabajador + fecha entre las vigentes)</t>
        </is>
      </c>
      <c r="F232" s="35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233" ht="66" customHeight="1">
      <c r="B233" s="36" t="n"/>
      <c r="C233" s="36" t="n"/>
      <c r="D233" s="34" t="inlineStr">
        <is>
          <t>T-228</t>
        </is>
      </c>
      <c r="E233" s="35" t="inlineStr">
        <is>
          <t>Programar el back-end de HU-63 (entidad, repositorio, servicio y controlador): la asistencia: una jornada por trabajador y fecha, corrección sin borrar</t>
        </is>
      </c>
      <c r="F233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tareo hecho en la API de Adiel; confirmar criterios. 4 h · límite 25/10.</t>
        </is>
      </c>
    </row>
    <row r="234" ht="66" customHeight="1">
      <c r="B234" s="36" t="n"/>
      <c r="C234" s="36" t="n"/>
      <c r="D234" s="34" t="inlineStr">
        <is>
          <t>T-229</t>
        </is>
      </c>
      <c r="E234" s="35" t="inlineStr">
        <is>
          <t>Implementar el índice único parcial (trabajador, fecha) entre las jornadas vigentes (HU-63)</t>
        </is>
      </c>
      <c r="F234" s="35" t="inlineStr">
        <is>
          <t>Adiel lleva la regla a la base de datos para que se cumpla aunque alguien salte la aplicación: trigger, CHECK, índice único o función, con su prueba. Estado: Done. 1 h · límite 25/10.</t>
        </is>
      </c>
    </row>
    <row r="235" ht="66" customHeight="1">
      <c r="B235" s="36" t="n"/>
      <c r="C235" s="36" t="n"/>
      <c r="D235" s="34" t="inlineStr">
        <is>
          <t>T-230</t>
        </is>
      </c>
      <c r="E235" s="35" t="inlineStr">
        <is>
          <t>Programar la pantalla de asistencia del día en la app (horas normales y extra)</t>
        </is>
      </c>
      <c r="F235" s="35" t="inlineStr">
        <is>
          <t>Nicolás programa la pantalla en android/ (Kotlin + Jetpack Compose) según la pantalla 7 · Asistencia de la jornada: botones grandes, una acción por pantalla, y lo que registra movimientos funciona sin señal. Empieza después de T-225, T-242. 4 h · límite 26/10.</t>
        </is>
      </c>
    </row>
    <row r="236" ht="66" customHeight="1">
      <c r="B236" s="36" t="n"/>
      <c r="C236" s="36" t="n"/>
      <c r="D236" s="34" t="inlineStr">
        <is>
          <t>T-231</t>
        </is>
      </c>
      <c r="E236" s="35" t="inlineStr">
        <is>
          <t>Probar la funcionalidad de HU-63 (la API con Postman y la app en modo avión y al volver la señal) contra cada condición final y aprobar su PR</t>
        </is>
      </c>
      <c r="F236" s="35" t="inlineStr">
        <is>
          <t>Henry, que no programó lo que falta de HU-63, prueba los endpoints con Postman y la interfaz contra cada condición final de la tarjeta 3 en el ambiente de pruebas; si todo cumple aprueba el PR, si no lo devuelve con la falla. Estado: To Do — alguien distinto del autor (T1, T5, T8). Empieza después de T-227, T-228, T-229, T-230, T-233. 1 h · límite 27/10.</t>
        </is>
      </c>
    </row>
    <row r="237" ht="66" customHeight="1">
      <c r="B237" s="37" t="n"/>
      <c r="C237" s="37" t="n"/>
      <c r="D237" s="34" t="inlineStr">
        <is>
          <t>T-232</t>
        </is>
      </c>
      <c r="E237" s="38" t="inlineStr">
        <is>
          <t>Aceptar HU-63 como Product Owner desde la interfaz y moverla a Done</t>
        </is>
      </c>
      <c r="F237" s="35" t="inlineStr">
        <is>
          <t>El Product Owner revisa HU-63 desde la interfaz, confirma la DoD (T1–T10) y la mueve a Done. Solo así cuenta en la velocidad del sprint. Estado: To Do — mueve la HU a Done. Empieza después de T-231. 0.5 h · límite 27/10.</t>
        </is>
      </c>
    </row>
    <row r="238" ht="66" customHeight="1">
      <c r="B238" s="32" t="inlineStr">
        <is>
          <t>HT. Historias técnicas (habilitadoras)</t>
        </is>
      </c>
      <c r="C238" s="33" t="inlineStr">
        <is>
          <t>HT-01 · Desplegar el ambiente de pruebas (historia técnica · puntos por votar)</t>
        </is>
      </c>
      <c r="D238" s="34" t="inlineStr">
        <is>
          <t>T-233</t>
        </is>
      </c>
      <c r="E238" s="35" t="inlineStr">
        <is>
          <t>Desplegar el ambiente de pruebas (API, base de datos y web) que exige el T8 de la DoD</t>
        </is>
      </c>
      <c r="F238" s="35" t="inlineStr">
        <is>
          <t>Fernando: Habilitador del equipo: sin esto ninguna HU puede cumplir la Definición de Terminado. Estado: To Do — sin esto ninguna HU puede quedar Done. 6 h · límite 24/10.</t>
        </is>
      </c>
    </row>
    <row r="239" ht="66" customHeight="1">
      <c r="B239" s="36" t="n"/>
      <c r="C239" s="37" t="n"/>
      <c r="D239" s="34" t="inlineStr">
        <is>
          <t>T-234</t>
        </is>
      </c>
      <c r="E239" s="38" t="inlineStr">
        <is>
          <t>Aceptar HT-01 como Product Owner y moverla a Done</t>
        </is>
      </c>
      <c r="F239" s="35" t="inlineStr">
        <is>
          <t>El Product Owner revisa HT-01 desde la interfaz, confirma la DoD (T1–T10) y la mueve a Done. Solo así cuenta en la velocidad del sprint. Estado: To Do — mueve la historia técnica a Done. 0.5 h · límite 27/10.</t>
        </is>
      </c>
    </row>
    <row r="240" ht="66" customHeight="1">
      <c r="B240" s="36" t="n"/>
      <c r="C240" s="33" t="inlineStr">
        <is>
          <t>HT-02 · Configurar la integración continua (historia técnica · puntos por votar)</t>
        </is>
      </c>
      <c r="D240" s="34" t="inlineStr">
        <is>
          <t>T-235</t>
        </is>
      </c>
      <c r="E240" s="35" t="inlineStr">
        <is>
          <t>Configurar las pruebas automáticas en cada PR con GitHub Actions</t>
        </is>
      </c>
      <c r="F240" s="35" t="inlineStr">
        <is>
          <t>Adiel: Habilitador del equipo: sin esto ninguna HU puede cumplir la Definición de Terminado. Estado: To Do — T5 de la DoD. 3 h · límite 24/10.</t>
        </is>
      </c>
    </row>
    <row r="241" ht="66" customHeight="1">
      <c r="B241" s="36" t="n"/>
      <c r="C241" s="37" t="n"/>
      <c r="D241" s="34" t="inlineStr">
        <is>
          <t>T-236</t>
        </is>
      </c>
      <c r="E241" s="38" t="inlineStr">
        <is>
          <t>Aceptar HT-02 como Product Owner y moverla a Done</t>
        </is>
      </c>
      <c r="F241" s="35" t="inlineStr">
        <is>
          <t>El Product Owner revisa HT-02 desde la interfaz, confirma la DoD (T1–T10) y la mueve a Done. Solo así cuenta en la velocidad del sprint. Estado: To Do — mueve la historia técnica a Done. 0.5 h · límite 27/10.</t>
        </is>
      </c>
    </row>
    <row r="242" ht="66" customHeight="1">
      <c r="B242" s="36" t="n"/>
      <c r="C242" s="33" t="inlineStr">
        <is>
          <t>HT-03 · Proteger el repositorio y main (historia técnica · puntos por votar)</t>
        </is>
      </c>
      <c r="D242" s="34" t="inlineStr">
        <is>
          <t>T-237</t>
        </is>
      </c>
      <c r="E242" s="35" t="inlineStr">
        <is>
          <t>Poner el repositorio en privado e invitar al docente como lector</t>
        </is>
      </c>
      <c r="F242" s="35" t="inlineStr">
        <is>
          <t>Fernando: Habilitador del equipo: sin esto ninguna HU puede cumplir la Definición de Terminado. Estado: To Do — hoy está público. 0.5 h · límite 24/10.</t>
        </is>
      </c>
    </row>
    <row r="243" ht="66" customHeight="1">
      <c r="B243" s="36" t="n"/>
      <c r="C243" s="36" t="n"/>
      <c r="D243" s="34" t="inlineStr">
        <is>
          <t>T-238</t>
        </is>
      </c>
      <c r="E243" s="35" t="inlineStr">
        <is>
          <t>Proteger la rama main: PR obligatorio con una aprobación de otro integrante</t>
        </is>
      </c>
      <c r="F243" s="35" t="inlineStr">
        <is>
          <t>Fernando: Habilitador del equipo: sin esto ninguna HU puede cumplir la Definición de Terminado. 0.5 h · límite 24/10.</t>
        </is>
      </c>
    </row>
    <row r="244" ht="66" customHeight="1">
      <c r="B244" s="36" t="n"/>
      <c r="C244" s="37" t="n"/>
      <c r="D244" s="34" t="inlineStr">
        <is>
          <t>T-239</t>
        </is>
      </c>
      <c r="E244" s="38" t="inlineStr">
        <is>
          <t>Aceptar HT-03 como Product Owner y moverla a Done</t>
        </is>
      </c>
      <c r="F244" s="35" t="inlineStr">
        <is>
          <t>El Product Owner revisa HT-03 desde la interfaz, confirma la DoD (T1–T10) y la mueve a Done. Solo así cuenta en la velocidad del sprint. Estado: To Do — mueve la historia técnica a Done. 0.5 h · límite 27/10.</t>
        </is>
      </c>
    </row>
    <row r="245" ht="66" customHeight="1">
      <c r="B245" s="36" t="n"/>
      <c r="C245" s="33" t="inlineStr">
        <is>
          <t>HT-04 · Conectar la web con la API real (historia técnica · puntos por votar)</t>
        </is>
      </c>
      <c r="D245" s="34" t="inlineStr">
        <is>
          <t>T-240</t>
        </is>
      </c>
      <c r="E245" s="35" t="inlineStr">
        <is>
          <t>Programar el ClienteHttp para que la web hable con la API real (snake_case ↔ camelCase, errores {codigo, mensaje})</t>
        </is>
      </c>
      <c r="F245" s="35" t="inlineStr">
        <is>
          <t>Henry: Habilitador de la web: una sola pieza que usan todas las pantallas para hablar con la API. Estado: To Do — desbloquea todas las tareas «Conectar…». 4 h · límite 26/10.</t>
        </is>
      </c>
    </row>
    <row r="246" ht="66" customHeight="1">
      <c r="B246" s="36" t="n"/>
      <c r="C246" s="37" t="n"/>
      <c r="D246" s="34" t="inlineStr">
        <is>
          <t>T-241</t>
        </is>
      </c>
      <c r="E246" s="38" t="inlineStr">
        <is>
          <t>Aceptar HT-04 como Product Owner y moverla a Done</t>
        </is>
      </c>
      <c r="F246" s="35" t="inlineStr">
        <is>
          <t>El Product Owner revisa HT-04 desde la interfaz, confirma la DoD (T1–T10) y la mueve a Done. Solo así cuenta en la velocidad del sprint. Estado: To Do — mueve la historia técnica a Done. 0.5 h · límite 27/10.</t>
        </is>
      </c>
    </row>
    <row r="247" ht="66" customHeight="1">
      <c r="B247" s="36" t="n"/>
      <c r="C247" s="33" t="inlineStr">
        <is>
          <t>HT-05 · Crear la base de la app Android (historia técnica · puntos por votar)</t>
        </is>
      </c>
      <c r="D247" s="34" t="inlineStr">
        <is>
          <t>T-242</t>
        </is>
      </c>
      <c r="E247" s="35" t="inlineStr">
        <is>
          <t>Crear el proyecto base de la app: Compose, Room, WorkManager y cliente de la API</t>
        </is>
      </c>
      <c r="F247" s="35" t="inlineStr">
        <is>
          <t>Nicolás: Habilitador de la app: el esqueleto sobre el que se construyen las pantallas del almacenero. Estado: To Do — desbloquea todas las tareas Android. 6 h · límite 26/10.</t>
        </is>
      </c>
    </row>
    <row r="248" ht="66" customHeight="1">
      <c r="B248" s="36" t="n"/>
      <c r="C248" s="37" t="n"/>
      <c r="D248" s="34" t="inlineStr">
        <is>
          <t>T-243</t>
        </is>
      </c>
      <c r="E248" s="38" t="inlineStr">
        <is>
          <t>Aceptar HT-05 como Product Owner y moverla a Done</t>
        </is>
      </c>
      <c r="F248" s="35" t="inlineStr">
        <is>
          <t>El Product Owner revisa HT-05 desde la interfaz, confirma la DoD (T1–T10) y la mueve a Done. Solo así cuenta en la velocidad del sprint. Estado: To Do — mueve la historia técnica a Done. 0.5 h · límite 27/10.</t>
        </is>
      </c>
    </row>
    <row r="249" ht="66" customHeight="1">
      <c r="B249" s="36" t="n"/>
      <c r="C249" s="33" t="inlineStr">
        <is>
          <t>HT-06 · Publicar el contrato de la API y Postman (historia técnica · puntos por votar)</t>
        </is>
      </c>
      <c r="D249" s="34" t="inlineStr">
        <is>
          <t>T-244</t>
        </is>
      </c>
      <c r="E249" s="35" t="inlineStr">
        <is>
          <t>Publicar el OpenAPI de la API en el ambiente de pruebas</t>
        </is>
      </c>
      <c r="F249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Doing — Swagger de FastAPI ya existe en local. 1 h · límite 25/10.</t>
        </is>
      </c>
    </row>
    <row r="250" ht="66" customHeight="1">
      <c r="B250" s="36" t="n"/>
      <c r="C250" s="36" t="n"/>
      <c r="D250" s="34" t="inlineStr">
        <is>
          <t>T-245</t>
        </is>
      </c>
      <c r="E250" s="35" t="inlineStr">
        <is>
          <t>Armar y compartir la colección de Postman con entorno de pruebas, login y un ejemplo correcto y uno de error por endpoint</t>
        </is>
      </c>
      <c r="F250" s="35" t="inlineStr">
        <is>
          <t>Henry, que no programó lo que falta de HT-06, prueba los endpoints con Postman y la interfaz contra cada condición final de la tarjeta 3 en el ambiente de pruebas; si todo cumple aprueba el PR, si no lo devuelve con la falla. 3 h · límite 24/10.</t>
        </is>
      </c>
    </row>
    <row r="251" ht="66" customHeight="1">
      <c r="B251" s="36" t="n"/>
      <c r="C251" s="37" t="n"/>
      <c r="D251" s="34" t="inlineStr">
        <is>
          <t>T-246</t>
        </is>
      </c>
      <c r="E251" s="38" t="inlineStr">
        <is>
          <t>Aceptar HT-06 como Product Owner y moverla a Done</t>
        </is>
      </c>
      <c r="F251" s="35" t="inlineStr">
        <is>
          <t>El Product Owner revisa HT-06 desde la interfaz, confirma la DoD (T1–T10) y la mueve a Done. Solo así cuenta en la velocidad del sprint. Estado: To Do — mueve la historia técnica a Done. 0.5 h · límite 27/10.</t>
        </is>
      </c>
    </row>
    <row r="252" ht="66" customHeight="1">
      <c r="B252" s="36" t="n"/>
      <c r="C252" s="33" t="inlineStr">
        <is>
          <t>HT-07 · Cargar los datos de prueba reales (historia técnica · puntos por votar)</t>
        </is>
      </c>
      <c r="D252" s="34" t="inlineStr">
        <is>
          <t>T-247</t>
        </is>
      </c>
      <c r="E252" s="35" t="inlineStr">
        <is>
          <t>Cargar en la base los 626 proveedores y el catálogo de insumos del cliente</t>
        </is>
      </c>
      <c r="F252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To Do — cargador idempotente ya probado. 1 h · límite 25/10.</t>
        </is>
      </c>
    </row>
    <row r="253" ht="66" customHeight="1">
      <c r="B253" s="36" t="n"/>
      <c r="C253" s="36" t="n"/>
      <c r="D253" s="34" t="inlineStr">
        <is>
          <t>T-248</t>
        </is>
      </c>
      <c r="E253" s="35" t="inlineStr">
        <is>
          <t>Crear la obra Multifamiliar Flores con su relación de insumos del S10 en la base de pruebas</t>
        </is>
      </c>
      <c r="F253" s="35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1 h · límite 25/10.</t>
        </is>
      </c>
    </row>
    <row r="254" ht="66" customHeight="1">
      <c r="B254" s="36" t="n"/>
      <c r="C254" s="37" t="n"/>
      <c r="D254" s="34" t="inlineStr">
        <is>
          <t>T-249</t>
        </is>
      </c>
      <c r="E254" s="38" t="inlineStr">
        <is>
          <t>Aceptar HT-07 como Product Owner y moverla a Done</t>
        </is>
      </c>
      <c r="F254" s="35" t="inlineStr">
        <is>
          <t>El Product Owner revisa HT-07 desde la interfaz, confirma la DoD (T1–T10) y la mueve a Done. Solo así cuenta en la velocidad del sprint. Estado: To Do — mueve la historia técnica a Done. 0.5 h · límite 27/10.</t>
        </is>
      </c>
    </row>
    <row r="255" ht="66" customHeight="1">
      <c r="B255" s="36" t="n"/>
      <c r="C255" s="33" t="inlineStr">
        <is>
          <t>HT-08 · Autenticar a los servicios entre sí (historia técnica · puntos por votar)</t>
        </is>
      </c>
      <c r="D255" s="34" t="inlineStr">
        <is>
          <t>T-250</t>
        </is>
      </c>
      <c r="E255" s="35" t="inlineStr">
        <is>
          <t>Exigir el token de servicio en Integraciones</t>
        </is>
      </c>
      <c r="F255" s="35" t="inlineStr">
        <is>
          <t>Fernando conecta con el sistema externo sin que la API dependa de él: el microservicio devuelve datos normalizados y, si el servicio cae, el registro no se bloquea. Se prueba con el archivo o servicio real. Estado: Done — X-Servicio-Token, 22/10. 1 h · límite 25/10.</t>
        </is>
      </c>
    </row>
    <row r="256" ht="66" customHeight="1">
      <c r="B256" s="36" t="n"/>
      <c r="C256" s="36" t="n"/>
      <c r="D256" s="34" t="inlineStr">
        <is>
          <t>T-251</t>
        </is>
      </c>
      <c r="E256" s="35" t="inlineStr">
        <is>
          <t>Configurar el token de servicio en docker compose y enviarlo desde la API a Integraciones y Notificaciones</t>
        </is>
      </c>
      <c r="F256" s="35" t="inlineStr">
        <is>
          <t>Adiel: Habilitador del equipo: sin esto ninguna HU puede cumplir la Definición de Terminado. 1.5 h · límite 24/10.</t>
        </is>
      </c>
    </row>
    <row r="257" ht="66" customHeight="1">
      <c r="B257" s="37" t="n"/>
      <c r="C257" s="37" t="n"/>
      <c r="D257" s="34" t="inlineStr">
        <is>
          <t>T-252</t>
        </is>
      </c>
      <c r="E257" s="38" t="inlineStr">
        <is>
          <t>Aceptar HT-08 como Product Owner y moverla a Done</t>
        </is>
      </c>
      <c r="F257" s="35" t="inlineStr">
        <is>
          <t>El Product Owner revisa HT-08 desde la interfaz, confirma la DoD (T1–T10) y la mueve a Done. Solo así cuenta en la velocidad del sprint. Estado: To Do — mueve la historia técnica a Done. 0.5 h · límite 27/10.</t>
        </is>
      </c>
    </row>
    <row r="258" ht="66" customHeight="1">
      <c r="B258" s="32" t="inlineStr">
        <is>
          <t>Transversal</t>
        </is>
      </c>
      <c r="C258" s="33" t="inlineStr">
        <is>
          <t>Otras tareas transversales</t>
        </is>
      </c>
      <c r="D258" s="34" t="inlineStr">
        <is>
          <t>T-253</t>
        </is>
      </c>
      <c r="E258" s="35" t="inlineStr">
        <is>
          <t>Armar el tablero en GitHub Projects con las plantillas de DoR y DoD</t>
        </is>
      </c>
      <c r="F258" s="35" t="inlineStr">
        <is>
          <t>Fernando: Trabajo del Scrum Master para que el equipo y el docente vean el avance real. Estado: Doing. 2 h · límite 23/10.</t>
        </is>
      </c>
    </row>
    <row r="259" ht="66" customHeight="1">
      <c r="B259" s="36" t="n"/>
      <c r="C259" s="36" t="n"/>
      <c r="D259" s="34" t="inlineStr">
        <is>
          <t>T-254</t>
        </is>
      </c>
      <c r="E259" s="35" t="inlineStr">
        <is>
          <t>Facilitar el Daily Scrum de 15 minutos cada día, registrarlo y actualizar el burndown</t>
        </is>
      </c>
      <c r="F259" s="35" t="inlineStr">
        <is>
          <t>Fernando: Trabajo del Scrum Master para que el equipo y el docente vean el avance real. Estado: Doing — hasta el 28/10. 2 h · límite 27/10.</t>
        </is>
      </c>
    </row>
    <row r="260" ht="66" customHeight="1">
      <c r="B260" s="36" t="n"/>
      <c r="C260" s="36" t="n"/>
      <c r="D260" s="34" t="inlineStr">
        <is>
          <t>T-255</t>
        </is>
      </c>
      <c r="E260" s="35" t="inlineStr">
        <is>
          <t>Simplificar los textos de cada pantalla web: título y una línea, con ayuda «?» bajo demanda</t>
        </is>
      </c>
      <c r="F260" s="35" t="inlineStr">
        <is>
          <t>Fernando: Para que la gente de SEVENS entienda y use el sistema sin una capacitación larga. Estado: To Do — observación de Fernando: hoy hay demasiado texto. 3 h · límite 26/10.</t>
        </is>
      </c>
    </row>
    <row r="261" ht="66" customHeight="1">
      <c r="B261" s="36" t="n"/>
      <c r="C261" s="36" t="n"/>
      <c r="D261" s="34" t="inlineStr">
        <is>
          <t>T-256</t>
        </is>
      </c>
      <c r="E261" s="35" t="inlineStr">
        <is>
          <t>Validar las pantallas con el cliente (Pool) en una sesión corta y registrar sus observaciones</t>
        </is>
      </c>
      <c r="F261" s="35" t="inlineStr">
        <is>
          <t>Fernando: Para que la gente de SEVENS entienda y use el sistema sin una capacitación larga. Estado: To Do — que lo use quien lo va a usar. 1.5 h · límite 26/10.</t>
        </is>
      </c>
    </row>
    <row r="262" ht="66" customHeight="1">
      <c r="B262" s="36" t="n"/>
      <c r="C262" s="36" t="n"/>
      <c r="D262" s="34" t="inlineStr">
        <is>
          <t>T-257</t>
        </is>
      </c>
      <c r="E262" s="35" t="inlineStr">
        <is>
          <t>Revisar la app con guantes y al sol: botones grandes, una acción por pantalla, contraste AA</t>
        </is>
      </c>
      <c r="F262" s="35" t="inlineStr">
        <is>
          <t>Nicolás: Para que la gente de SEVENS entienda y use el sistema sin una capacitación larga. Estado: To Do — el almacenero trabaja en obra. 2 h · límite 26/10.</t>
        </is>
      </c>
    </row>
    <row r="263" ht="66" customHeight="1">
      <c r="B263" s="36" t="n"/>
      <c r="C263" s="36" t="n"/>
      <c r="D263" s="34" t="inlineStr">
        <is>
          <t>T-258</t>
        </is>
      </c>
      <c r="E263" s="35" t="inlineStr">
        <is>
          <t>Modelar los 3 diagramas de casos de uso y los 3 de secuencia (importación S10, salida sin señal, recepción y costo promedio)</t>
        </is>
      </c>
      <c r="F263" s="35" t="inlineStr">
        <is>
          <t>Fernando dibuja el diagrama UML que explica cómo funciona la HU (actores, pantallas, API y base) para que quien programa no tenga que adivinar el flujo. Estado: Done — en el lienzo; cubren HU-07, 35, 37, 38, 40 y 55. 2 h · límite 24/10.</t>
        </is>
      </c>
    </row>
    <row r="264" ht="66" customHeight="1">
      <c r="B264" s="36" t="n"/>
      <c r="C264" s="36" t="n"/>
      <c r="D264" s="34" t="inlineStr">
        <is>
          <t>T-259</t>
        </is>
      </c>
      <c r="E264" s="35" t="inlineStr">
        <is>
          <t>Dibujar los diagramas de actividades del negocio y de estados</t>
        </is>
      </c>
      <c r="F264" s="35" t="inlineStr">
        <is>
          <t>Nicolás dibuja el diagrama UML que explica cómo funciona la HU (actores, pantallas, API y base) para que quien programa no tenga que adivinar el flujo. Estado: Done — 14 hojas: A1–A4 y E1–E3 (22/10). 2 h · límite 24/10.</t>
        </is>
      </c>
    </row>
    <row r="265" ht="66" customHeight="1">
      <c r="B265" s="36" t="n"/>
      <c r="C265" s="36" t="n"/>
      <c r="D265" s="34" t="inlineStr">
        <is>
          <t>T-260</t>
        </is>
      </c>
      <c r="E265" s="35" t="inlineStr">
        <is>
          <t>Dibujar la arquitectura en las cuatro vistas del C4 a partir del diagrama de microservicios</t>
        </is>
      </c>
      <c r="F265" s="35" t="inlineStr">
        <is>
          <t>Nicolás dibuja el diagrama UML que explica cómo funciona la HU (actores, pantallas, API y base) para que quien programa no tenga que adivinar el flujo. Estado: To Do — parte de api/docs/diagrama-microservicios.png. 4 h · límite 24/10.</t>
        </is>
      </c>
    </row>
    <row r="266" ht="66" customHeight="1">
      <c r="B266" s="37" t="n"/>
      <c r="C266" s="37" t="n"/>
      <c r="D266" s="34" t="inlineStr">
        <is>
          <t>T-261</t>
        </is>
      </c>
      <c r="E266" s="35" t="inlineStr">
        <is>
          <t>Preparar la demo de la Sprint Review: una compra que cruza recepción, salida y costo de punta a punta</t>
        </is>
      </c>
      <c r="F266" s="35" t="inlineStr">
        <is>
          <t>Fernando: Demostración para el cliente y el docente en la Sprint Review del 28/10. 2 h · límite 27/10.</t>
        </is>
      </c>
    </row>
  </sheetData>
  <mergeCells count="46">
    <mergeCell ref="C109:C115"/>
    <mergeCell ref="B166:B205"/>
    <mergeCell ref="C149:C156"/>
    <mergeCell ref="C125:C132"/>
    <mergeCell ref="C101:C108"/>
    <mergeCell ref="C166:C171"/>
    <mergeCell ref="C55:C61"/>
    <mergeCell ref="B258:B266"/>
    <mergeCell ref="C15:C22"/>
    <mergeCell ref="C249:C251"/>
    <mergeCell ref="C62:C69"/>
    <mergeCell ref="C141:C148"/>
    <mergeCell ref="C172:C179"/>
    <mergeCell ref="C23:C31"/>
    <mergeCell ref="C48:C54"/>
    <mergeCell ref="C206:C213"/>
    <mergeCell ref="B206:B221"/>
    <mergeCell ref="C78:C84"/>
    <mergeCell ref="C180:C187"/>
    <mergeCell ref="B6:B69"/>
    <mergeCell ref="B222:B237"/>
    <mergeCell ref="C85:C92"/>
    <mergeCell ref="C230:C237"/>
    <mergeCell ref="C238:C239"/>
    <mergeCell ref="C93:C100"/>
    <mergeCell ref="C247:C248"/>
    <mergeCell ref="B133:B165"/>
    <mergeCell ref="C40:C47"/>
    <mergeCell ref="B70:B132"/>
    <mergeCell ref="C214:C221"/>
    <mergeCell ref="C258:C266"/>
    <mergeCell ref="C240:C241"/>
    <mergeCell ref="C157:C165"/>
    <mergeCell ref="C133:C140"/>
    <mergeCell ref="C222:C229"/>
    <mergeCell ref="C6:C14"/>
    <mergeCell ref="C198:C205"/>
    <mergeCell ref="C252:C254"/>
    <mergeCell ref="C70:C77"/>
    <mergeCell ref="C255:C257"/>
    <mergeCell ref="C242:C244"/>
    <mergeCell ref="C188:C197"/>
    <mergeCell ref="C245:C246"/>
    <mergeCell ref="C116:C124"/>
    <mergeCell ref="C32:C39"/>
    <mergeCell ref="B238:B257"/>
  </mergeCells>
  <pageMargins left="0.4" right="0.4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2026-10-27T22:54:40Z</dcterms:created>
  <dcterms:modified xmlns:dcterms="http://purl.org/dc/terms/" xmlns:xsi="http://www.w3.org/2001/XMLSchema-instance" xsi:type="dcterms:W3CDTF">2026-10-27T22:54:42Z</dcterms:modified>
</cp:coreProperties>
</file>