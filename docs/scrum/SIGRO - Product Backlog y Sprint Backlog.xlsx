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Historias de usuario" sheetId="1" state="visible" r:id="rId1"/>
    <sheet xmlns:r="http://schemas.openxmlformats.org/officeDocument/2006/relationships" name="1. Puntuación de las HU" sheetId="2" state="visible" r:id="rId2"/>
    <sheet xmlns:r="http://schemas.openxmlformats.org/officeDocument/2006/relationships" name="2. Tarjetas DoR y DoD" sheetId="3" state="visible" r:id="rId3"/>
    <sheet xmlns:r="http://schemas.openxmlformats.org/officeDocument/2006/relationships" name="3. Criterios DoR y DoD" sheetId="4" state="visible" r:id="rId4"/>
    <sheet xmlns:r="http://schemas.openxmlformats.org/officeDocument/2006/relationships" name="4. Sprint Backlog" sheetId="5" state="visible" r:id="rId5"/>
    <sheet xmlns:r="http://schemas.openxmlformats.org/officeDocument/2006/relationships" name="5. Historias técnicas" sheetId="6" state="visible" r:id="rId6"/>
  </sheets>
  <definedNames>
    <definedName name="_xlnm.Print_Area" localSheetId="2">'2. Tarjetas DoR y DoD'!$A$1:$P$1955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9A3E00"/>
      <sz val="16"/>
    </font>
    <font>
      <name val="Calibri"/>
      <color rgb="0070777D"/>
      <sz val="10"/>
    </font>
    <font>
      <name val="Calibri"/>
      <b val="1"/>
      <color rgb="00FFFFFF"/>
      <sz val="10"/>
    </font>
    <font>
      <name val="Calibri"/>
      <b val="1"/>
      <color rgb="001C1D1F"/>
      <sz val="10"/>
    </font>
    <font>
      <name val="Calibri"/>
      <color rgb="001C1D1F"/>
      <sz val="10"/>
    </font>
    <font>
      <name val="Calibri"/>
      <color rgb="001C1D1F"/>
      <sz val="9"/>
    </font>
    <font>
      <name val="Calibri"/>
      <i val="1"/>
      <color rgb="0070777D"/>
      <sz val="9"/>
    </font>
    <font>
      <name val="Calibri"/>
      <b val="1"/>
      <color rgb="009A3E00"/>
      <sz val="10"/>
    </font>
    <font>
      <name val="Calibri"/>
      <b val="1"/>
      <color rgb="009A3E00"/>
      <sz val="12"/>
    </font>
    <font>
      <name val="Calibri"/>
      <b val="1"/>
      <color rgb="00FFFFFF"/>
      <sz val="11"/>
    </font>
    <font>
      <name val="Calibri"/>
      <i val="1"/>
      <color rgb="001C1D1F"/>
      <sz val="9"/>
    </font>
    <font>
      <name val="Calibri"/>
      <b val="1"/>
      <color rgb="001C1D1F"/>
      <sz val="9"/>
    </font>
    <font>
      <name val="Calibri"/>
      <b val="1"/>
      <color rgb="00FFFFFF"/>
      <sz val="12"/>
    </font>
    <font>
      <name val="Calibri"/>
      <b val="1"/>
      <color rgb="001C1D1F"/>
      <sz val="14"/>
    </font>
    <font>
      <name val="Calibri"/>
      <color rgb="001C1D1F"/>
      <sz val="11"/>
    </font>
  </fonts>
  <fills count="8">
    <fill>
      <patternFill/>
    </fill>
    <fill>
      <patternFill patternType="gray125"/>
    </fill>
    <fill>
      <patternFill patternType="solid">
        <fgColor rgb="00C2410C"/>
      </patternFill>
    </fill>
    <fill>
      <patternFill patternType="solid">
        <fgColor rgb="00FFF1E5"/>
      </patternFill>
    </fill>
    <fill>
      <patternFill patternType="solid">
        <fgColor rgb="00FCEBEB"/>
      </patternFill>
    </fill>
    <fill>
      <patternFill patternType="solid">
        <fgColor rgb="00FDF2E3"/>
      </patternFill>
    </fill>
    <fill>
      <patternFill patternType="solid">
        <fgColor rgb="00E7F6EC"/>
      </patternFill>
    </fill>
    <fill>
      <patternFill patternType="solid">
        <fgColor rgb="00FAFAF7"/>
      </patternFill>
    </fill>
  </fills>
  <borders count="10">
    <border>
      <left/>
      <right/>
      <top/>
      <bottom/>
      <diagonal/>
    </border>
    <border>
      <left style="thin">
        <color rgb="00D9D9D4"/>
      </left>
      <right style="thin">
        <color rgb="00D9D9D4"/>
      </right>
      <top style="thin">
        <color rgb="00D9D9D4"/>
      </top>
      <bottom style="thin">
        <color rgb="00D9D9D4"/>
      </bottom>
    </border>
    <border>
      <left style="medium">
        <color rgb="00C2410C"/>
      </left>
      <right style="thin">
        <color rgb="00D9D9D4"/>
      </right>
      <top style="medium">
        <color rgb="00C2410C"/>
      </top>
      <bottom style="thin">
        <color rgb="00D9D9D4"/>
      </bottom>
    </border>
    <border>
      <left style="thin">
        <color rgb="00D9D9D4"/>
      </left>
      <right style="thin">
        <color rgb="00D9D9D4"/>
      </right>
      <top style="medium">
        <color rgb="00C2410C"/>
      </top>
      <bottom style="thin">
        <color rgb="00D9D9D4"/>
      </bottom>
    </border>
    <border>
      <left style="thin">
        <color rgb="00D9D9D4"/>
      </left>
      <right style="medium">
        <color rgb="00C2410C"/>
      </right>
      <top style="medium">
        <color rgb="00C2410C"/>
      </top>
      <bottom style="thin">
        <color rgb="00D9D9D4"/>
      </bottom>
    </border>
    <border>
      <left style="medium">
        <color rgb="00C2410C"/>
      </left>
      <right style="thin">
        <color rgb="00D9D9D4"/>
      </right>
      <top style="thin">
        <color rgb="00D9D9D4"/>
      </top>
      <bottom style="thin">
        <color rgb="00D9D9D4"/>
      </bottom>
    </border>
    <border>
      <left style="thin">
        <color rgb="00D9D9D4"/>
      </left>
      <right style="medium">
        <color rgb="00C2410C"/>
      </right>
      <top style="thin">
        <color rgb="00D9D9D4"/>
      </top>
      <bottom style="thin">
        <color rgb="00D9D9D4"/>
      </bottom>
    </border>
    <border>
      <left style="medium">
        <color rgb="00C2410C"/>
      </left>
      <right style="thin">
        <color rgb="00D9D9D4"/>
      </right>
      <top style="thin">
        <color rgb="00D9D9D4"/>
      </top>
      <bottom style="medium">
        <color rgb="00C2410C"/>
      </bottom>
    </border>
    <border>
      <left style="thin">
        <color rgb="00D9D9D4"/>
      </left>
      <right style="thin">
        <color rgb="00D9D9D4"/>
      </right>
      <top style="thin">
        <color rgb="00D9D9D4"/>
      </top>
      <bottom style="medium">
        <color rgb="00C2410C"/>
      </bottom>
    </border>
    <border>
      <left style="thin">
        <color rgb="00D9D9D4"/>
      </left>
      <right style="medium">
        <color rgb="00C2410C"/>
      </right>
      <top style="thin">
        <color rgb="00D9D9D4"/>
      </top>
      <bottom style="medium">
        <color rgb="00C2410C"/>
      </bottom>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3" borderId="1"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2" borderId="2" applyAlignment="1" pivotButton="0" quotePrefix="0" xfId="0">
      <alignment horizontal="center" vertical="center" wrapText="1"/>
    </xf>
    <xf numFmtId="0" fontId="0" fillId="0" borderId="3" pivotButton="0" quotePrefix="0" xfId="0"/>
    <xf numFmtId="0" fontId="0" fillId="0" borderId="4" pivotButton="0" quotePrefix="0" xfId="0"/>
    <xf numFmtId="0" fontId="11" fillId="3" borderId="5" applyAlignment="1" pivotButton="0" quotePrefix="0" xfId="0">
      <alignment horizontal="center" vertical="center" wrapText="1"/>
    </xf>
    <xf numFmtId="0" fontId="0" fillId="0" borderId="6" pivotButton="0" quotePrefix="0" xfId="0"/>
    <xf numFmtId="0" fontId="12" fillId="3" borderId="5" applyAlignment="1" pivotButton="0" quotePrefix="0" xfId="0">
      <alignment horizontal="center" vertical="center" wrapText="1"/>
    </xf>
    <xf numFmtId="0" fontId="12" fillId="3" borderId="1" applyAlignment="1" pivotButton="0" quotePrefix="0" xfId="0">
      <alignment horizontal="center" vertical="center" wrapText="1"/>
    </xf>
    <xf numFmtId="0" fontId="12" fillId="3" borderId="6" applyAlignment="1" pivotButton="0" quotePrefix="0" xfId="0">
      <alignment horizontal="center" vertical="center" wrapText="1"/>
    </xf>
    <xf numFmtId="0" fontId="4" fillId="0" borderId="5" applyAlignment="1" pivotButton="0" quotePrefix="0" xfId="0">
      <alignment horizontal="left" vertical="center" wrapText="1"/>
    </xf>
    <xf numFmtId="0" fontId="5" fillId="0" borderId="6" applyAlignment="1" pivotButton="0" quotePrefix="0" xfId="0">
      <alignment horizontal="center" vertical="center" wrapText="1"/>
    </xf>
    <xf numFmtId="0" fontId="12" fillId="3" borderId="5" applyAlignment="1" pivotButton="0" quotePrefix="0" xfId="0">
      <alignment horizontal="left" vertical="center" wrapText="1"/>
    </xf>
    <xf numFmtId="0" fontId="5" fillId="0" borderId="5" applyAlignment="1" pivotButton="0" quotePrefix="0" xfId="0">
      <alignment horizontal="left" vertical="top" wrapText="1"/>
    </xf>
    <xf numFmtId="0" fontId="0" fillId="0" borderId="5" pivotButton="0" quotePrefix="0" xfId="0"/>
    <xf numFmtId="0" fontId="11" fillId="0" borderId="5" applyAlignment="1" pivotButton="0" quotePrefix="0" xfId="0">
      <alignment horizontal="left" vertical="top" wrapText="1"/>
    </xf>
    <xf numFmtId="0" fontId="4" fillId="6" borderId="5"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5" applyAlignment="1" pivotButton="0" quotePrefix="0" xfId="0">
      <alignment horizontal="center" vertical="center" wrapText="1"/>
    </xf>
    <xf numFmtId="0" fontId="11" fillId="0" borderId="7" applyAlignment="1" pivotButton="0" quotePrefix="0" xfId="0">
      <alignment horizontal="left" vertical="top" wrapText="1"/>
    </xf>
    <xf numFmtId="0" fontId="0" fillId="0" borderId="8" pivotButton="0" quotePrefix="0" xfId="0"/>
    <xf numFmtId="0" fontId="0" fillId="0" borderId="9" pivotButton="0" quotePrefix="0" xfId="0"/>
    <xf numFmtId="0" fontId="6" fillId="0" borderId="5" applyAlignment="1" pivotButton="0" quotePrefix="0" xfId="0">
      <alignment horizontal="left" vertical="top" wrapText="1"/>
    </xf>
    <xf numFmtId="0" fontId="4" fillId="4" borderId="5" applyAlignment="1" pivotButton="0" quotePrefix="0" xfId="0">
      <alignment horizontal="center" vertical="center" wrapText="1"/>
    </xf>
    <xf numFmtId="0" fontId="3" fillId="2" borderId="0" applyAlignment="1" pivotButton="0" quotePrefix="0" xfId="0">
      <alignment horizontal="center" vertical="center" wrapText="1"/>
    </xf>
    <xf numFmtId="0" fontId="13" fillId="2" borderId="0" applyAlignment="1" pivotButton="0" quotePrefix="0" xfId="0">
      <alignment horizontal="left" vertical="center" wrapText="1"/>
    </xf>
    <xf numFmtId="0" fontId="14" fillId="7" borderId="0" applyAlignment="1" pivotButton="0" quotePrefix="0" xfId="0">
      <alignment horizontal="left" vertical="center" wrapText="1"/>
    </xf>
    <xf numFmtId="0" fontId="15"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8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9" customWidth="1" min="3" max="3"/>
    <col width="95" customWidth="1" min="4" max="4"/>
    <col width="34" customWidth="1" min="5" max="5"/>
  </cols>
  <sheetData>
    <row r="2" ht="26" customHeight="1">
      <c r="B2" s="1" t="inlineStr">
        <is>
          <t>PRODUCT BACKLOG · Historias de usuario</t>
        </is>
      </c>
    </row>
    <row r="3">
      <c r="B3" s="2" t="inlineStr">
        <is>
          <t>67 historias en 7 épicas · redacción formal y nombre corto en lenguaje informal (verbo + qué) · actores corregidos con el cliente (CR-05)</t>
        </is>
      </c>
    </row>
    <row r="5" ht="22" customHeight="1">
      <c r="B5" s="3" t="inlineStr">
        <is>
          <t>Épica</t>
        </is>
      </c>
      <c r="C5" s="3" t="inlineStr">
        <is>
          <t>Código</t>
        </is>
      </c>
      <c r="D5" s="3" t="inlineStr">
        <is>
          <t>Historia de usuario</t>
        </is>
      </c>
      <c r="E5" s="3" t="inlineStr">
        <is>
          <t>Nombre corto (lenguaje informal)</t>
        </is>
      </c>
    </row>
    <row r="6" ht="32" customHeight="1">
      <c r="B6" s="4" t="inlineStr">
        <is>
          <t>E1. Preparar la obra y su control</t>
        </is>
      </c>
      <c r="C6" s="5" t="inlineStr">
        <is>
          <t>HU-01</t>
        </is>
      </c>
      <c r="D6" s="6" t="inlineStr">
        <is>
          <t>Como residente de obra, quiero crear el proyecto con su nombre y su plazo, para acotar todo el movimiento a ese periodo.</t>
        </is>
      </c>
      <c r="E6" s="7" t="inlineStr">
        <is>
          <t>Crear proyecto</t>
        </is>
      </c>
    </row>
    <row r="7" ht="32" customHeight="1">
      <c r="B7" s="8" t="n"/>
      <c r="C7" s="5" t="inlineStr">
        <is>
          <t>HU-02</t>
        </is>
      </c>
      <c r="D7" s="6" t="inlineStr">
        <is>
          <t>Como residente de obra, quiero ampliar el plazo del proyecto dejando registro de quién y cuándo, para que la obra pueda seguir registrando movimientos después de la fecha original.</t>
        </is>
      </c>
      <c r="E7" s="7" t="inlineStr">
        <is>
          <t>Ampliar plazo</t>
        </is>
      </c>
    </row>
    <row r="8" ht="32" customHeight="1">
      <c r="B8" s="8" t="n"/>
      <c r="C8" s="5" t="inlineStr">
        <is>
          <t>HU-03</t>
        </is>
      </c>
      <c r="D8" s="6" t="inlineStr">
        <is>
          <t>Como residente de obra, quiero dividir el plazo de la obra en periodos semanales de control, para comparar lo consumido de un periodo con otro sin armar el corte a mano.</t>
        </is>
      </c>
      <c r="E8" s="7" t="inlineStr">
        <is>
          <t>Reportar la obra en semanas</t>
        </is>
      </c>
    </row>
    <row r="9" ht="32" customHeight="1">
      <c r="B9" s="8" t="n"/>
      <c r="C9" s="5" t="inlineStr">
        <is>
          <t>HU-04</t>
        </is>
      </c>
      <c r="D9" s="6" t="inlineStr">
        <is>
          <t>Como residente de obra, quiero definir en qué día de la semana cierra cada periodo de control, para que el corte coincida con el que exige el contratante de la obra.</t>
        </is>
      </c>
      <c r="E9" s="7" t="inlineStr">
        <is>
          <t>Definir día de corte e inicio de semana</t>
        </is>
      </c>
    </row>
    <row r="10" ht="32" customHeight="1">
      <c r="B10" s="8" t="n"/>
      <c r="C10" s="5" t="inlineStr">
        <is>
          <t>HU-05</t>
        </is>
      </c>
      <c r="D10" s="6" t="inlineStr">
        <is>
          <t>Como almacenero, quiero registrar más de un almacén en un mismo proyecto, para separar los frentes de obra distantes.</t>
        </is>
      </c>
      <c r="E10" s="7" t="inlineStr">
        <is>
          <t>Registrar almacenes de obra</t>
        </is>
      </c>
    </row>
    <row r="11" ht="32" customHeight="1">
      <c r="B11" s="8" t="n"/>
      <c r="C11" s="5" t="inlineStr">
        <is>
          <t>HU-06</t>
        </is>
      </c>
      <c r="D11" s="6" t="inlineStr">
        <is>
          <t>Como gerente, quiero consultar los proyectos con su estado y su plazo, para entrar directo al que necesito revisar.</t>
        </is>
      </c>
      <c r="E11" s="7" t="inlineStr">
        <is>
          <t>Consultar estado de proyectos</t>
        </is>
      </c>
    </row>
    <row r="12" ht="32" customHeight="1">
      <c r="B12" s="8" t="n"/>
      <c r="C12" s="5" t="inlineStr">
        <is>
          <t>HU-07</t>
        </is>
      </c>
      <c r="D12" s="6" t="inlineStr">
        <is>
          <t>Como residente de obra, quiero importar el catálogo de insumos del S10, para evitar cargar a mano cientos de insumos.</t>
        </is>
      </c>
      <c r="E12" s="7" t="inlineStr">
        <is>
          <t>Importar catálogo de insumos del S10</t>
        </is>
      </c>
    </row>
    <row r="13" ht="32" customHeight="1">
      <c r="B13" s="8" t="n"/>
      <c r="C13" s="5" t="inlineStr">
        <is>
          <t>HU-08</t>
        </is>
      </c>
      <c r="D13" s="6" t="inlineStr">
        <is>
          <t>Como almacenero, quiero registrar un insumo con información estandarizada, para identificarlo de la misma manera en todas las obras.</t>
        </is>
      </c>
      <c r="E13" s="7" t="inlineStr">
        <is>
          <t>Registrar insumos</t>
        </is>
      </c>
    </row>
    <row r="14" ht="32" customHeight="1">
      <c r="B14" s="8" t="n"/>
      <c r="C14" s="5" t="inlineStr">
        <is>
          <t>HU-09</t>
        </is>
      </c>
      <c r="D14" s="6" t="inlineStr">
        <is>
          <t>Como almacenero, quiero registrar nombres comerciales alternativos de un insumo, para encontrarlo aunque el proveedor use otra denominación.</t>
        </is>
      </c>
      <c r="E14" s="7" t="inlineStr">
        <is>
          <t>Registrar nombres comerciales</t>
        </is>
      </c>
    </row>
    <row r="15" ht="32" customHeight="1">
      <c r="B15" s="8" t="n"/>
      <c r="C15" s="5" t="inlineStr">
        <is>
          <t>HU-10</t>
        </is>
      </c>
      <c r="D15" s="6" t="inlineStr">
        <is>
          <t>Como almacenero, quiero buscar un insumo por cualquiera de sus nombres, para no crear un duplicado por error.</t>
        </is>
      </c>
      <c r="E15" s="7" t="inlineStr">
        <is>
          <t>Buscar insumos</t>
        </is>
      </c>
    </row>
    <row r="16" ht="32" customHeight="1">
      <c r="B16" s="8" t="n"/>
      <c r="C16" s="5" t="inlineStr">
        <is>
          <t>HU-11</t>
        </is>
      </c>
      <c r="D16" s="6" t="inlineStr">
        <is>
          <t>Como almacenero, quiero adjuntar una foto del insumo, para reconocerlo cuando lo facturan con otro nombre.</t>
        </is>
      </c>
      <c r="E16" s="7" t="inlineStr">
        <is>
          <t>Adjuntar foto del insumo</t>
        </is>
      </c>
    </row>
    <row r="17" ht="32" customHeight="1">
      <c r="B17" s="8" t="n"/>
      <c r="C17" s="5" t="inlineStr">
        <is>
          <t>HU-12</t>
        </is>
      </c>
      <c r="D17" s="6" t="inlineStr">
        <is>
          <t>Como administrador, quiero entrar al sistema con mi usuario y contraseña, para que mis registros queden atribuidos a mí.</t>
        </is>
      </c>
      <c r="E17" s="7" t="inlineStr">
        <is>
          <t>Loguear usuario</t>
        </is>
      </c>
    </row>
    <row r="18" ht="32" customHeight="1">
      <c r="B18" s="8" t="n"/>
      <c r="C18" s="5" t="inlineStr">
        <is>
          <t>HU-13</t>
        </is>
      </c>
      <c r="D18" s="6" t="inlineStr">
        <is>
          <t>Como administrador, quiero asignar a cada persona un usuario y un rol, para limitar lo que cada quien ve y registra.</t>
        </is>
      </c>
      <c r="E18" s="7" t="inlineStr">
        <is>
          <t>Asignar roles</t>
        </is>
      </c>
    </row>
    <row r="19" ht="32" customHeight="1">
      <c r="B19" s="8" t="n"/>
      <c r="C19" s="5" t="inlineStr">
        <is>
          <t>HU-14</t>
        </is>
      </c>
      <c r="D19" s="6" t="inlineStr">
        <is>
          <t>Como administrador, quiero asignar usuarios a los proyectos, para que cada quien opere solo en sus obras.</t>
        </is>
      </c>
      <c r="E19" s="7" t="inlineStr">
        <is>
          <t>Asignar usuarios a obras</t>
        </is>
      </c>
    </row>
    <row r="20" ht="32" customHeight="1">
      <c r="B20" s="8" t="n"/>
      <c r="C20" s="5" t="inlineStr">
        <is>
          <t>HU-15</t>
        </is>
      </c>
      <c r="D20" s="6" t="inlineStr">
        <is>
          <t>Como administrador, quiero autorizar el dispositivo que registra movimientos en cada obra, para impedir que un equipo ajeno opere en nombre de la obra.</t>
        </is>
      </c>
      <c r="E20" s="7" t="inlineStr">
        <is>
          <t>Autorizar celular de la obra</t>
        </is>
      </c>
    </row>
    <row r="21" ht="32" customHeight="1">
      <c r="B21" s="4" t="inlineStr">
        <is>
          <t>E2. Planificar el requerimiento y la reposición de recursos</t>
        </is>
      </c>
      <c r="C21" s="5" t="inlineStr">
        <is>
          <t>HU-16</t>
        </is>
      </c>
      <c r="D21" s="6" t="inlineStr">
        <is>
          <t>Como residente de obra, quiero importar el análisis de precios unitarios del S10, para conocer cuánto material exige cada partida.</t>
        </is>
      </c>
      <c r="E21" s="7" t="inlineStr">
        <is>
          <t>Importar precios unitarios</t>
        </is>
      </c>
    </row>
    <row r="22" ht="32" customHeight="1">
      <c r="B22" s="8" t="n"/>
      <c r="C22" s="5" t="inlineStr">
        <is>
          <t>HU-17</t>
        </is>
      </c>
      <c r="D22" s="6" t="inlineStr">
        <is>
          <t>Como almacenero, quiero registrar el factor entre la unidad del S10 y la unidad de compra, para comparar en una misma unidad lo presupuestado, lo comprado y lo consumido.</t>
        </is>
      </c>
      <c r="E22" s="7" t="inlineStr">
        <is>
          <t>Convertir unidades (kg a varillas)</t>
        </is>
      </c>
    </row>
    <row r="23" ht="32" customHeight="1">
      <c r="B23" s="8" t="n"/>
      <c r="C23" s="5" t="inlineStr">
        <is>
          <t>HU-18</t>
        </is>
      </c>
      <c r="D23" s="6" t="inlineStr">
        <is>
          <t>Como residente de obra, quiero declarar cómo se reparte un recurso genérico del S10 entre los insumos con que se compra, para convertir a varillas por diámetro el acero que el presupuesto entrega como kilos totales.</t>
        </is>
      </c>
      <c r="E23" s="7" t="inlineStr">
        <is>
          <t>Repartir acero por diámetro</t>
        </is>
      </c>
    </row>
    <row r="24" ht="32" customHeight="1">
      <c r="B24" s="8" t="n"/>
      <c r="C24" s="5" t="inlineStr">
        <is>
          <t>HU-19</t>
        </is>
      </c>
      <c r="D24" s="6" t="inlineStr">
        <is>
          <t>Como residente de obra, quiero importar el requerimiento total de la obra desde el reporte de recursos del S10, para fijar el cien por ciento contra el que se controla todo.</t>
        </is>
      </c>
      <c r="E24" s="7" t="inlineStr">
        <is>
          <t>Importar requerimiento de la obra</t>
        </is>
      </c>
    </row>
    <row r="25" ht="32" customHeight="1">
      <c r="B25" s="8" t="n"/>
      <c r="C25" s="5" t="inlineStr">
        <is>
          <t>HU-20</t>
        </is>
      </c>
      <c r="D25" s="6" t="inlineStr">
        <is>
          <t>Como residente de obra, quiero registrar requerimientos parciales por fase, para pedir el material por etapas.</t>
        </is>
      </c>
      <c r="E25" s="7" t="inlineStr">
        <is>
          <t>Registrar requerimiento por fase</t>
        </is>
      </c>
    </row>
    <row r="26" ht="32" customHeight="1">
      <c r="B26" s="8" t="n"/>
      <c r="C26" s="5" t="inlineStr">
        <is>
          <t>HU-21</t>
        </is>
      </c>
      <c r="D26" s="6" t="inlineStr">
        <is>
          <t>Como residente de obra, quiero recibir un aviso cuando los parciales superen el total, para frenar un pedido que excede el presupuesto.</t>
        </is>
      </c>
      <c r="E26" s="7" t="inlineStr">
        <is>
          <t>Avisar exceso del requerimiento</t>
        </is>
      </c>
    </row>
    <row r="27" ht="32" customHeight="1">
      <c r="B27" s="8" t="n"/>
      <c r="C27" s="5" t="inlineStr">
        <is>
          <t>HU-22</t>
        </is>
      </c>
      <c r="D27" s="6" t="inlineStr">
        <is>
          <t>Como residente de obra, quiero agregar insumos que el presupuesto no contempló, para cubrir lo que las instalaciones exigen en obra.</t>
        </is>
      </c>
      <c r="E27" s="7" t="inlineStr">
        <is>
          <t>Agregar insumo no presupuestado</t>
        </is>
      </c>
    </row>
    <row r="28" ht="32" customHeight="1">
      <c r="B28" s="8" t="n"/>
      <c r="C28" s="5" t="inlineStr">
        <is>
          <t>HU-23</t>
        </is>
      </c>
      <c r="D28" s="6" t="inlineStr">
        <is>
          <t>Como residente de obra, quiero consultar qué porcentaje de cada insumo se compró y se consumió, para distinguir lo que ingresó de lo que se usó.</t>
        </is>
      </c>
      <c r="E28" s="7" t="inlineStr">
        <is>
          <t>Consultar cuánto se compró y consumió</t>
        </is>
      </c>
    </row>
    <row r="29" ht="32" customHeight="1">
      <c r="B29" s="8" t="n"/>
      <c r="C29" s="5" t="inlineStr">
        <is>
          <t>HU-24</t>
        </is>
      </c>
      <c r="D29" s="6" t="inlineStr">
        <is>
          <t>Como residente de obra, quiero consultar cuánto falta comprar de cada insumo, para formular el siguiente requerimiento sobre una base cierta.</t>
        </is>
      </c>
      <c r="E29" s="7" t="inlineStr">
        <is>
          <t>Consultar cuánto falta comprar</t>
        </is>
      </c>
    </row>
    <row r="30" ht="32" customHeight="1">
      <c r="B30" s="8" t="n"/>
      <c r="C30" s="5" t="inlineStr">
        <is>
          <t>HU-25</t>
        </is>
      </c>
      <c r="D30" s="6" t="inlineStr">
        <is>
          <t>Como residente de obra, quiero definir para cada insumo su stock de seguridad y su punto de reposición, para saber cuándo reponer y con cuánto colchón frente a la demora del proveedor.</t>
        </is>
      </c>
      <c r="E30" s="7" t="inlineStr">
        <is>
          <t>Definir punto de reposición</t>
        </is>
      </c>
    </row>
    <row r="31" ht="32" customHeight="1">
      <c r="B31" s="8" t="n"/>
      <c r="C31" s="5" t="inlineStr">
        <is>
          <t>HU-26</t>
        </is>
      </c>
      <c r="D31" s="6" t="inlineStr">
        <is>
          <t>Como residente de obra, quiero recibir un aviso cuando un insumo baje de su punto de reposición, para reponer antes de que la obra se detenga.</t>
        </is>
      </c>
      <c r="E31" s="7" t="inlineStr">
        <is>
          <t>Avisar cuándo reponer</t>
        </is>
      </c>
    </row>
    <row r="32" ht="32" customHeight="1">
      <c r="B32" s="8" t="n"/>
      <c r="C32" s="5" t="inlineStr">
        <is>
          <t>HU-27</t>
        </is>
      </c>
      <c r="D32" s="6" t="inlineStr">
        <is>
          <t>Como residente de obra, quiero consultar cuánto conviene comprar de cada insumo, para tener una referencia para armar el pedido.</t>
        </is>
      </c>
      <c r="E32" s="7" t="inlineStr">
        <is>
          <t>Sugerir cuánto comprar</t>
        </is>
      </c>
    </row>
    <row r="33" ht="32" customHeight="1">
      <c r="B33" s="8" t="n"/>
      <c r="C33" s="5" t="inlineStr">
        <is>
          <t>HU-28</t>
        </is>
      </c>
      <c r="D33" s="6" t="inlineStr">
        <is>
          <t>Como residente de obra, quiero marcar los insumos críticos de la obra, para concentrar el control en los que concentran el valor.</t>
        </is>
      </c>
      <c r="E33" s="7" t="inlineStr">
        <is>
          <t>Marcar insumos críticos</t>
        </is>
      </c>
    </row>
    <row r="34" ht="32" customHeight="1">
      <c r="B34" s="8" t="n"/>
      <c r="C34" s="5" t="inlineStr">
        <is>
          <t>HU-66</t>
        </is>
      </c>
      <c r="D34" s="6" t="inlineStr">
        <is>
          <t>Como residente de obra, quiero registrar la solicitud de materiales con las cantidades que necesita la obra, para que la compra parta de un pedido escrito y no de una coordinación verbal.</t>
        </is>
      </c>
      <c r="E34" s="7" t="inlineStr">
        <is>
          <t>Hacer solicitud de materiales</t>
        </is>
      </c>
    </row>
    <row r="35" ht="32" customHeight="1">
      <c r="B35" s="8" t="n"/>
      <c r="C35" s="5" t="inlineStr">
        <is>
          <t>HU-67</t>
        </is>
      </c>
      <c r="D35" s="6" t="inlineStr">
        <is>
          <t>Como residente de obra, quiero consultar en qué estado está cada solicitud de materiales, para saber qué falta llegar sin tener que preguntar por teléfono.</t>
        </is>
      </c>
      <c r="E35" s="7" t="inlineStr">
        <is>
          <t>Seguir estado de la solicitud</t>
        </is>
      </c>
    </row>
    <row r="36" ht="32" customHeight="1">
      <c r="B36" s="4" t="inlineStr">
        <is>
          <t>E3. Registrar las compras y sus recepciones</t>
        </is>
      </c>
      <c r="C36" s="5" t="inlineStr">
        <is>
          <t>HU-29</t>
        </is>
      </c>
      <c r="D36" s="6" t="inlineStr">
        <is>
          <t>Como residente de obra, quiero consultar la lista de proveedores, para elegir uno sin volver a escribir sus datos.</t>
        </is>
      </c>
      <c r="E36" s="7" t="inlineStr">
        <is>
          <t>Consultar proveedores</t>
        </is>
      </c>
    </row>
    <row r="37" ht="32" customHeight="1">
      <c r="B37" s="8" t="n"/>
      <c r="C37" s="5" t="inlineStr">
        <is>
          <t>HU-30</t>
        </is>
      </c>
      <c r="D37" s="6" t="inlineStr">
        <is>
          <t>Como residente de obra, quiero crear un proveedor desde el formulario de compra, para no interrumpir el registro cuando aún no existe.</t>
        </is>
      </c>
      <c r="E37" s="7" t="inlineStr">
        <is>
          <t>Registrar proveedores</t>
        </is>
      </c>
    </row>
    <row r="38" ht="32" customHeight="1">
      <c r="B38" s="8" t="n"/>
      <c r="C38" s="5" t="inlineStr">
        <is>
          <t>HU-31</t>
        </is>
      </c>
      <c r="D38" s="6" t="inlineStr">
        <is>
          <t>Como residente de obra, quiero validar el RUC del proveedor contra el padrón de SUNAT, para asegurar que el comprobante corresponda a quien dice.</t>
        </is>
      </c>
      <c r="E38" s="7" t="inlineStr">
        <is>
          <t>Validar RUC en SUNAT</t>
        </is>
      </c>
    </row>
    <row r="39" ht="32" customHeight="1">
      <c r="B39" s="8" t="n"/>
      <c r="C39" s="5" t="inlineStr">
        <is>
          <t>HU-32</t>
        </is>
      </c>
      <c r="D39" s="6" t="inlineStr">
        <is>
          <t>Como residente de obra, quiero registrar la compra con proveedor, comprobante y productos, para dejar constancia de lo adquirido.</t>
        </is>
      </c>
      <c r="E39" s="7" t="inlineStr">
        <is>
          <t>Registrar compras</t>
        </is>
      </c>
    </row>
    <row r="40" ht="32" customHeight="1">
      <c r="B40" s="8" t="n"/>
      <c r="C40" s="5" t="inlineStr">
        <is>
          <t>HU-33</t>
        </is>
      </c>
      <c r="D40" s="6" t="inlineStr">
        <is>
          <t>Como residente de obra, quiero registrar el precio pagado viendo propuesto el promedio ya pagado, para reconocer cuándo el precio se salió de lo habitual.</t>
        </is>
      </c>
      <c r="E40" s="7" t="inlineStr">
        <is>
          <t>Registrar precio pagado</t>
        </is>
      </c>
    </row>
    <row r="41" ht="32" customHeight="1">
      <c r="B41" s="8" t="n"/>
      <c r="C41" s="5" t="inlineStr">
        <is>
          <t>HU-34</t>
        </is>
      </c>
      <c r="D41" s="6" t="inlineStr">
        <is>
          <t>Como residente de obra, quiero adjuntar la factura en foto o PDF, para guardar el respaldo junto a la operación.</t>
        </is>
      </c>
      <c r="E41" s="7" t="inlineStr">
        <is>
          <t>Adjuntar comprobante</t>
        </is>
      </c>
    </row>
    <row r="42" ht="32" customHeight="1">
      <c r="B42" s="8" t="n"/>
      <c r="C42" s="5" t="inlineStr">
        <is>
          <t>HU-35</t>
        </is>
      </c>
      <c r="D42" s="6" t="inlineStr">
        <is>
          <t>Como almacenero, quiero registrar la recepción total o parcial de una compra, para actualizar el stock solo con lo realmente recibido.</t>
        </is>
      </c>
      <c r="E42" s="7" t="inlineStr">
        <is>
          <t>Recibir compras</t>
        </is>
      </c>
    </row>
    <row r="43" ht="32" customHeight="1">
      <c r="B43" s="8" t="n"/>
      <c r="C43" s="5" t="inlineStr">
        <is>
          <t>HU-36</t>
        </is>
      </c>
      <c r="D43" s="6" t="inlineStr">
        <is>
          <t>Como almacenero, quiero recibir una advertencia antes de confirmar una recepción que exceda lo requerido, para evitar registrar cantidades no justificadas.</t>
        </is>
      </c>
      <c r="E43" s="7" t="inlineStr">
        <is>
          <t>Avisar recepción excedida</t>
        </is>
      </c>
    </row>
    <row r="44" ht="32" customHeight="1">
      <c r="B44" s="4" t="inlineStr">
        <is>
          <t>E4. Controlar el movimiento de materiales en almacén</t>
        </is>
      </c>
      <c r="C44" s="5" t="inlineStr">
        <is>
          <t>HU-37</t>
        </is>
      </c>
      <c r="D44" s="6" t="inlineStr">
        <is>
          <t>Como almacenero, quiero registrar un movimiento aunque el celular no tenga señal, para no interrumpir el trabajo en obra, donde la señal falla.</t>
        </is>
      </c>
      <c r="E44" s="7" t="inlineStr">
        <is>
          <t>Registrar sin señal</t>
        </is>
      </c>
    </row>
    <row r="45" ht="32" customHeight="1">
      <c r="B45" s="8" t="n"/>
      <c r="C45" s="5" t="inlineStr">
        <is>
          <t>HU-38</t>
        </is>
      </c>
      <c r="D45" s="6" t="inlineStr">
        <is>
          <t>Como almacenero, quiero enviar al servidor los movimientos que quedaron en cola, para que el saldo del sistema refleje lo que ya ocurrió en obra.</t>
        </is>
      </c>
      <c r="E45" s="7" t="inlineStr">
        <is>
          <t>Sincronizar pendientes</t>
        </is>
      </c>
    </row>
    <row r="46" ht="32" customHeight="1">
      <c r="B46" s="8" t="n"/>
      <c r="C46" s="5" t="inlineStr">
        <is>
          <t>HU-39</t>
        </is>
      </c>
      <c r="D46" s="6" t="inlineStr">
        <is>
          <t>Como almacenero, quiero distinguir cuáles de mis registros ya se sincronizaron, para confiar en que nada quedó sin enviar.</t>
        </is>
      </c>
      <c r="E46" s="7" t="inlineStr">
        <is>
          <t>Consultar estado de sincronización</t>
        </is>
      </c>
    </row>
    <row r="47" ht="32" customHeight="1">
      <c r="B47" s="8" t="n"/>
      <c r="C47" s="5" t="inlineStr">
        <is>
          <t>HU-40</t>
        </is>
      </c>
      <c r="D47" s="6" t="inlineStr">
        <is>
          <t>Como almacenero, quiero registrar la salida con su motivo y quién retira el material, para saber en qué se usó y quién responde por él.</t>
        </is>
      </c>
      <c r="E47" s="7" t="inlineStr">
        <is>
          <t>Registrar salidas de material</t>
        </is>
      </c>
    </row>
    <row r="48" ht="32" customHeight="1">
      <c r="B48" s="8" t="n"/>
      <c r="C48" s="5" t="inlineStr">
        <is>
          <t>HU-41</t>
        </is>
      </c>
      <c r="D48" s="6" t="inlineStr">
        <is>
          <t>Como almacenero, quiero registrar un ingreso que no viene de una compra, para reflejar el material que llega por otra vía.</t>
        </is>
      </c>
      <c r="E48" s="7" t="inlineStr">
        <is>
          <t>Registrar ingreso sin compra</t>
        </is>
      </c>
    </row>
    <row r="49" ht="32" customHeight="1">
      <c r="B49" s="8" t="n"/>
      <c r="C49" s="5" t="inlineStr">
        <is>
          <t>HU-42</t>
        </is>
      </c>
      <c r="D49" s="6" t="inlineStr">
        <is>
          <t>Como almacenero, quiero trasladar material de una obra a otra, para aprovechar el stock sin descuadrar ningún saldo.</t>
        </is>
      </c>
      <c r="E49" s="7" t="inlineStr">
        <is>
          <t>Trasladar material entre obras</t>
        </is>
      </c>
    </row>
    <row r="50" ht="32" customHeight="1">
      <c r="B50" s="8" t="n"/>
      <c r="C50" s="5" t="inlineStr">
        <is>
          <t>HU-43</t>
        </is>
      </c>
      <c r="D50" s="6" t="inlineStr">
        <is>
          <t>Como residente de obra, quiero consultar el stock de cada insumo en cualquier momento, para programar la jornada sabiendo con qué cuento.</t>
        </is>
      </c>
      <c r="E50" s="7" t="inlineStr">
        <is>
          <t>Consultar stock</t>
        </is>
      </c>
    </row>
    <row r="51" ht="32" customHeight="1">
      <c r="B51" s="8" t="n"/>
      <c r="C51" s="5" t="inlineStr">
        <is>
          <t>HU-44</t>
        </is>
      </c>
      <c r="D51" s="6" t="inlineStr">
        <is>
          <t>Como almacenero, quiero revisar las entradas y salidas agrupadas por semana, para cuadrar el almacén con el corte que ya usamos.</t>
        </is>
      </c>
      <c r="E51" s="7" t="inlineStr">
        <is>
          <t>Reportar entradas y salidas semanales</t>
        </is>
      </c>
    </row>
    <row r="52" ht="32" customHeight="1">
      <c r="B52" s="8" t="n"/>
      <c r="C52" s="5" t="inlineStr">
        <is>
          <t>HU-45</t>
        </is>
      </c>
      <c r="D52" s="6" t="inlineStr">
        <is>
          <t>Como almacenero, quiero corregir un movimiento sin borrar el original, para conservar el rastro de lo registrado y lo corregido.</t>
        </is>
      </c>
      <c r="E52" s="7" t="inlineStr">
        <is>
          <t>Corregir movimientos</t>
        </is>
      </c>
    </row>
    <row r="53" ht="32" customHeight="1">
      <c r="B53" s="8" t="n"/>
      <c r="C53" s="5" t="inlineStr">
        <is>
          <t>HU-46</t>
        </is>
      </c>
      <c r="D53" s="6" t="inlineStr">
        <is>
          <t>Como almacenero, quiero registrar el conteo físico y justificar cada diferencia, para cuadrar el saldo del sistema con el almacén.</t>
        </is>
      </c>
      <c r="E53" s="7" t="inlineStr">
        <is>
          <t>Hacer conteo físico</t>
        </is>
      </c>
    </row>
    <row r="54" ht="32" customHeight="1">
      <c r="B54" s="8" t="n"/>
      <c r="C54" s="5" t="inlineStr">
        <is>
          <t>HU-47</t>
        </is>
      </c>
      <c r="D54" s="6" t="inlineStr">
        <is>
          <t>Como almacenero, quiero registrar el inventario final de la obra y transferir el saldo al almacén central, para que el material sobrante quede disponible para la siguiente obra.</t>
        </is>
      </c>
      <c r="E54" s="7" t="inlineStr">
        <is>
          <t>Cerrar obra</t>
        </is>
      </c>
    </row>
    <row r="55" ht="32" customHeight="1">
      <c r="B55" s="4" t="inlineStr">
        <is>
          <t>E5. Controlar las existencias de herramientas y equipos</t>
        </is>
      </c>
      <c r="C55" s="5" t="inlineStr">
        <is>
          <t>HU-48</t>
        </is>
      </c>
      <c r="D55" s="6" t="inlineStr">
        <is>
          <t>Como almacenero, quiero registrar las herramientas y equipos que entran a obra con su estado inicial, para saber con qué se cuenta y en qué condición llegó.</t>
        </is>
      </c>
      <c r="E55" s="7" t="inlineStr">
        <is>
          <t>Ingresar herramientas</t>
        </is>
      </c>
    </row>
    <row r="56" ht="32" customHeight="1">
      <c r="B56" s="8" t="n"/>
      <c r="C56" s="5" t="inlineStr">
        <is>
          <t>HU-49</t>
        </is>
      </c>
      <c r="D56" s="6" t="inlineStr">
        <is>
          <t>Como almacenero, quiero registrar a quién se entrega una herramienta, para conocer quién es responsable de ella durante su uso.</t>
        </is>
      </c>
      <c r="E56" s="7" t="inlineStr">
        <is>
          <t>Prestar herramientas</t>
        </is>
      </c>
    </row>
    <row r="57" ht="32" customHeight="1">
      <c r="B57" s="8" t="n"/>
      <c r="C57" s="5" t="inlineStr">
        <is>
          <t>HU-50</t>
        </is>
      </c>
      <c r="D57" s="6" t="inlineStr">
        <is>
          <t>Como almacenero, quiero registrar la devolución de una herramienta y el estado en que vuelve, para conocer su disponibilidad y su condición actual.</t>
        </is>
      </c>
      <c r="E57" s="7" t="inlineStr">
        <is>
          <t>Devolver herramientas</t>
        </is>
      </c>
    </row>
    <row r="58" ht="32" customHeight="1">
      <c r="B58" s="8" t="n"/>
      <c r="C58" s="5" t="inlineStr">
        <is>
          <t>HU-51</t>
        </is>
      </c>
      <c r="D58" s="6" t="inlineStr">
        <is>
          <t>Como residente de obra, quiero consultar dónde está y quién tiene cada herramienta, para ubicarla sin preguntar de persona en persona.</t>
        </is>
      </c>
      <c r="E58" s="7" t="inlineStr">
        <is>
          <t>Consultar quién tiene cada herramienta</t>
        </is>
      </c>
    </row>
    <row r="59" ht="32" customHeight="1">
      <c r="B59" s="8" t="n"/>
      <c r="C59" s="5" t="inlineStr">
        <is>
          <t>HU-52</t>
        </is>
      </c>
      <c r="D59" s="6" t="inlineStr">
        <is>
          <t>Como almacenero, quiero registrar el mantenimiento de una herramienta y cuándo corresponde el siguiente, para anticipar su reemplazo antes de que falle.</t>
        </is>
      </c>
      <c r="E59" s="7" t="inlineStr">
        <is>
          <t>Registrar mantenimiento de herramienta</t>
        </is>
      </c>
    </row>
    <row r="60" ht="32" customHeight="1">
      <c r="B60" s="8" t="n"/>
      <c r="C60" s="5" t="inlineStr">
        <is>
          <t>HU-53</t>
        </is>
      </c>
      <c r="D60" s="6" t="inlineStr">
        <is>
          <t>Como almacenero, quiero dar de baja una herramienta perdida o deteriorada, para explicar por qué no regresan todas las que salieron.</t>
        </is>
      </c>
      <c r="E60" s="7" t="inlineStr">
        <is>
          <t>Dar de baja herramienta</t>
        </is>
      </c>
    </row>
    <row r="61" ht="32" customHeight="1">
      <c r="B61" s="8" t="n"/>
      <c r="C61" s="5" t="inlineStr">
        <is>
          <t>HU-54</t>
        </is>
      </c>
      <c r="D61" s="6" t="inlineStr">
        <is>
          <t>Como almacenero, quiero declarar el estado de cada herramienta al cerrar la obra, para sustentar el desgaste frente a la gerencia.</t>
        </is>
      </c>
      <c r="E61" s="7" t="inlineStr">
        <is>
          <t>Revisar herramientas al cierre</t>
        </is>
      </c>
    </row>
    <row r="62" ht="32" customHeight="1">
      <c r="B62" s="4" t="inlineStr">
        <is>
          <t>E6. Valorizar el consumo e informar el costo de obra</t>
        </is>
      </c>
      <c r="C62" s="5" t="inlineStr">
        <is>
          <t>HU-55</t>
        </is>
      </c>
      <c r="D62" s="6" t="inlineStr">
        <is>
          <t>Como gerente, quiero consultar cada salida valorizada al costo promedio ponderado, para conocer el costo de lo que se consumió.</t>
        </is>
      </c>
      <c r="E62" s="7" t="inlineStr">
        <is>
          <t>Valorizar salidas</t>
        </is>
      </c>
    </row>
    <row r="63" ht="32" customHeight="1">
      <c r="B63" s="8" t="n"/>
      <c r="C63" s="5" t="inlineStr">
        <is>
          <t>HU-56</t>
        </is>
      </c>
      <c r="D63" s="6" t="inlineStr">
        <is>
          <t>Como administrador, quiero consultar el inventario valorizado por obra, para saber cuánto capital está detenido en almacén.</t>
        </is>
      </c>
      <c r="E63" s="7" t="inlineStr">
        <is>
          <t>Consultar inventario valorizado</t>
        </is>
      </c>
    </row>
    <row r="64" ht="32" customHeight="1">
      <c r="B64" s="8" t="n"/>
      <c r="C64" s="5" t="inlineStr">
        <is>
          <t>HU-57</t>
        </is>
      </c>
      <c r="D64" s="6" t="inlineStr">
        <is>
          <t>Como gerente, quiero comparar el consumo valorizado de cada insumo contra lo que se planificó para la obra, para detectar la desviación de costo mientras la obra corre.</t>
        </is>
      </c>
      <c r="E64" s="7" t="inlineStr">
        <is>
          <t>Comparar consumo vs. lo planificado</t>
        </is>
      </c>
    </row>
    <row r="65" ht="32" customHeight="1">
      <c r="B65" s="8" t="n"/>
      <c r="C65" s="5" t="inlineStr">
        <is>
          <t>HU-58</t>
        </is>
      </c>
      <c r="D65" s="6" t="inlineStr">
        <is>
          <t>Como gerente, quiero consultar cuánto se gastó en los recursos de la obra: material, herramientas y horas hombre, para saber en qué estado está el dinero puesto en los recursos.</t>
        </is>
      </c>
      <c r="E65" s="7" t="inlineStr">
        <is>
          <t>Consultar gasto en recursos</t>
        </is>
      </c>
    </row>
    <row r="66" ht="32" customHeight="1">
      <c r="B66" s="8" t="n"/>
      <c r="C66" s="5" t="inlineStr">
        <is>
          <t>HU-59</t>
        </is>
      </c>
      <c r="D66" s="6" t="inlineStr">
        <is>
          <t>Como gerente, quiero separar el impuesto del gasto en materiales, para leer el costo real sin el componente tributario.</t>
        </is>
      </c>
      <c r="E66" s="7" t="inlineStr">
        <is>
          <t>Separar IGV del costo</t>
        </is>
      </c>
    </row>
    <row r="67" ht="32" customHeight="1">
      <c r="B67" s="8" t="n"/>
      <c r="C67" s="5" t="inlineStr">
        <is>
          <t>HU-60</t>
        </is>
      </c>
      <c r="D67" s="6" t="inlineStr">
        <is>
          <t>Como administrador, quiero revisar todas las facturas en un solo cuadro, para no abrirlas una por una.</t>
        </is>
      </c>
      <c r="E67" s="7" t="inlineStr">
        <is>
          <t>Listar facturas</t>
        </is>
      </c>
    </row>
    <row r="68" ht="32" customHeight="1">
      <c r="B68" s="8" t="n"/>
      <c r="C68" s="5" t="inlineStr">
        <is>
          <t>HU-61</t>
        </is>
      </c>
      <c r="D68" s="6" t="inlineStr">
        <is>
          <t>Como administrador, quiero descargar la factura de cualquier compra, para entregarla cuando la administración la pide.</t>
        </is>
      </c>
      <c r="E68" s="7" t="inlineStr">
        <is>
          <t>Descargar comprobante</t>
        </is>
      </c>
    </row>
    <row r="69" ht="32" customHeight="1">
      <c r="B69" s="4" t="inlineStr">
        <is>
          <t>E7. Controlar la asistencia de la mano de obra</t>
        </is>
      </c>
      <c r="C69" s="5" t="inlineStr">
        <is>
          <t>HU-62</t>
        </is>
      </c>
      <c r="D69" s="6" t="inlineStr">
        <is>
          <t>Como almacenero, quiero registrar a cada trabajador de la obra con su categoría y su cuadrilla, para saber quiénes componen la mano de obra de esa obra.</t>
        </is>
      </c>
      <c r="E69" s="7" t="inlineStr">
        <is>
          <t>Registrar trabajadores</t>
        </is>
      </c>
    </row>
    <row r="70" ht="32" customHeight="1">
      <c r="B70" s="8" t="n"/>
      <c r="C70" s="5" t="inlineStr">
        <is>
          <t>HU-63</t>
        </is>
      </c>
      <c r="D70" s="6" t="inlineStr">
        <is>
          <t>Como almacenero, quiero registrar la asistencia y las horas trabajadas de cada jornada, para tener el tareo de la obra en el sistema y no en un cuaderno.</t>
        </is>
      </c>
      <c r="E70" s="7" t="inlineStr">
        <is>
          <t>Tomar asistencia</t>
        </is>
      </c>
    </row>
    <row r="71" ht="32" customHeight="1">
      <c r="B71" s="8" t="n"/>
      <c r="C71" s="5" t="inlineStr">
        <is>
          <t>HU-64</t>
        </is>
      </c>
      <c r="D71" s="6" t="inlineStr">
        <is>
          <t>Como residente de obra, quiero consultar las horas acumuladas por trabajador y por cuadrilla, para saber cuánta mano de obra lleva consumida la obra.</t>
        </is>
      </c>
      <c r="E71" s="7" t="inlineStr">
        <is>
          <t>Consultar horas acumuladas</t>
        </is>
      </c>
    </row>
    <row r="72" ht="32" customHeight="1">
      <c r="B72" s="8" t="n"/>
      <c r="C72" s="5" t="inlineStr">
        <is>
          <t>HU-65</t>
        </is>
      </c>
      <c r="D72" s="6" t="inlineStr">
        <is>
          <t>Como gerente, quiero consultar el costo de las horas trabajadas junto al costo del material, para conocer cuánto lleva gastado la obra en sus recursos.</t>
        </is>
      </c>
      <c r="E72" s="7" t="inlineStr">
        <is>
          <t>Consultar costo de mano de obra</t>
        </is>
      </c>
    </row>
    <row r="73" ht="32" customHeight="1">
      <c r="B73" s="4" t="inlineStr">
        <is>
          <t>HT. Historias técnicas (habilitadoras)</t>
        </is>
      </c>
      <c r="C73" s="5" t="inlineStr">
        <is>
          <t>HT-01</t>
        </is>
      </c>
      <c r="D73" s="6" t="inlineStr">
        <is>
          <t>Como equipo de desarrollo, quiero un ambiente de pruebas desplegado con la API, la base de datos y la web, para que cada HU se pruebe y se acepte fuera de la máquina de quien la programó.</t>
        </is>
      </c>
      <c r="E73" s="7" t="inlineStr">
        <is>
          <t>Desplegar el ambiente de pruebas</t>
        </is>
      </c>
    </row>
    <row r="74" ht="32" customHeight="1">
      <c r="C74" s="5" t="inlineStr">
        <is>
          <t>HT-02</t>
        </is>
      </c>
      <c r="D74" s="6" t="inlineStr">
        <is>
          <t>Como equipo de desarrollo, quiero que cada Pull Request compile y corra las pruebas automáticamente, para detectar un error antes de que llegue a main.</t>
        </is>
      </c>
      <c r="E74" s="7" t="inlineStr">
        <is>
          <t>Configurar la integración continua</t>
        </is>
      </c>
    </row>
    <row r="75" ht="32" customHeight="1">
      <c r="C75" s="5" t="inlineStr">
        <is>
          <t>HT-03</t>
        </is>
      </c>
      <c r="D75" s="6" t="inlineStr">
        <is>
          <t>Como equipo de desarrollo, quiero el repositorio privado y la rama main protegida, para que los datos del cliente no queden expuestos y nada entre sin revisión.</t>
        </is>
      </c>
      <c r="E75" s="7" t="inlineStr">
        <is>
          <t>Proteger el repositorio y main</t>
        </is>
      </c>
    </row>
    <row r="76" ht="32" customHeight="1">
      <c r="C76" s="5" t="inlineStr">
        <is>
          <t>HT-04</t>
        </is>
      </c>
      <c r="D76" s="6" t="inlineStr">
        <is>
          <t>Como equipo de desarrollo, quiero un cliente HTTP único en la web que hable con la API, para conectar todas las pantallas sin rehacerlas.</t>
        </is>
      </c>
      <c r="E76" s="7" t="inlineStr">
        <is>
          <t>Conectar la web con la API real</t>
        </is>
      </c>
    </row>
    <row r="77" ht="32" customHeight="1">
      <c r="C77" s="5" t="inlineStr">
        <is>
          <t>HT-05</t>
        </is>
      </c>
      <c r="D77" s="6" t="inlineStr">
        <is>
          <t>Como equipo de desarrollo, quiero el proyecto base de la app con Compose, Room, WorkManager, sesión y cliente de la API, para construir encima las pantallas del almacenero.</t>
        </is>
      </c>
      <c r="E77" s="7" t="inlineStr">
        <is>
          <t>Crear la base de la app Android</t>
        </is>
      </c>
    </row>
    <row r="78" ht="32" customHeight="1">
      <c r="C78" s="5" t="inlineStr">
        <is>
          <t>HT-06</t>
        </is>
      </c>
      <c r="D78" s="6" t="inlineStr">
        <is>
          <t>Como equipo de desarrollo, quiero el contrato de la API publicado (OpenAPI) y una colección de Postman compartida, para probar cada endpoint igual y sin adivinar cómo llamarlo.</t>
        </is>
      </c>
      <c r="E78" s="7" t="inlineStr">
        <is>
          <t>Publicar el contrato de la API y Postman</t>
        </is>
      </c>
    </row>
    <row r="79" ht="32" customHeight="1">
      <c r="C79" s="5" t="inlineStr">
        <is>
          <t>HT-07</t>
        </is>
      </c>
      <c r="D79" s="6" t="inlineStr">
        <is>
          <t>Como equipo de desarrollo, quiero la base de pruebas cargada con los datos reales del cliente, para que ninguna HU se pruebe con datos inventados.</t>
        </is>
      </c>
      <c r="E79" s="7" t="inlineStr">
        <is>
          <t>Cargar los datos de prueba reales</t>
        </is>
      </c>
    </row>
    <row r="80" ht="32" customHeight="1">
      <c r="C80" s="5" t="inlineStr">
        <is>
          <t>HT-08</t>
        </is>
      </c>
      <c r="D80" s="6" t="inlineStr">
        <is>
          <t>Como equipo de desarrollo, quiero que Integraciones y Notificaciones solo atiendan a la API con un token de servicio, para que nadie gaste las consultas de Factiliza ni envíe avisos falsos.</t>
        </is>
      </c>
      <c r="E80" s="7" t="inlineStr">
        <is>
          <t>Autenticar a los servicios entre sí</t>
        </is>
      </c>
    </row>
  </sheetData>
  <mergeCells count="10">
    <mergeCell ref="B6:B20"/>
    <mergeCell ref="B62:B68"/>
    <mergeCell ref="B69:B72"/>
    <mergeCell ref="B73:B80"/>
    <mergeCell ref="B55:B61"/>
    <mergeCell ref="B21:B35"/>
    <mergeCell ref="B3:E3"/>
    <mergeCell ref="B2:E2"/>
    <mergeCell ref="B44:B54"/>
    <mergeCell ref="B36:B43"/>
  </mergeCells>
  <pageMargins left="0.4" right="0.4"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B2:N7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13" customWidth="1" min="2" max="2"/>
    <col width="38" customWidth="1" min="3" max="3"/>
    <col width="7" customWidth="1" min="4" max="4"/>
    <col width="10" customWidth="1" min="5" max="5"/>
    <col width="10" customWidth="1" min="6" max="6"/>
    <col width="9" customWidth="1" min="7" max="7"/>
    <col width="9" customWidth="1" min="8" max="8"/>
    <col width="9" customWidth="1" min="9" max="9"/>
    <col width="8" customWidth="1" min="10" max="10"/>
    <col width="7" customWidth="1" min="11" max="11"/>
    <col width="7" customWidth="1" min="12" max="12"/>
    <col width="9" customWidth="1" min="13" max="13"/>
    <col width="16" customWidth="1" min="14" max="14"/>
  </cols>
  <sheetData>
    <row r="2" ht="26" customHeight="1">
      <c r="B2" s="1" t="inlineStr">
        <is>
          <t>PRODUCT BACKLOG · Puntuación de las historias de usuario</t>
        </is>
      </c>
    </row>
    <row r="3">
      <c r="B3" s="2" t="inlineStr">
        <is>
          <t>Planning Poker del 21/10/2026 · cada integrante vota en secreto con Fibonacci (1, 2, 3, 5, 8, 13) · la MODA es el puntaje · 67 HU · 283 puntos</t>
        </is>
      </c>
    </row>
    <row r="5" ht="22" customHeight="1">
      <c r="B5" s="3" t="inlineStr">
        <is>
          <t>Código</t>
        </is>
      </c>
      <c r="C5" s="3" t="inlineStr">
        <is>
          <t>Historia de usuario</t>
        </is>
      </c>
      <c r="D5" s="3" t="inlineStr">
        <is>
          <t>Épica</t>
        </is>
      </c>
      <c r="E5" s="3" t="inlineStr">
        <is>
          <t>Prioridad</t>
        </is>
      </c>
      <c r="F5" s="3" t="inlineStr">
        <is>
          <t>Fernando</t>
        </is>
      </c>
      <c r="G5" s="3" t="inlineStr">
        <is>
          <t>Adiel</t>
        </is>
      </c>
      <c r="H5" s="3" t="inlineStr">
        <is>
          <t>Nicolás</t>
        </is>
      </c>
      <c r="I5" s="3" t="inlineStr">
        <is>
          <t>Henry</t>
        </is>
      </c>
      <c r="J5" s="3" t="inlineStr">
        <is>
          <t>MODA</t>
        </is>
      </c>
      <c r="K5" s="3" t="inlineStr">
        <is>
          <t>MÁX</t>
        </is>
      </c>
      <c r="L5" s="3" t="inlineStr">
        <is>
          <t>MÍN</t>
        </is>
      </c>
      <c r="M5" s="3" t="inlineStr">
        <is>
          <t>Puntaje</t>
        </is>
      </c>
      <c r="N5" s="3" t="inlineStr">
        <is>
          <t>Sprint</t>
        </is>
      </c>
    </row>
    <row r="6">
      <c r="B6" s="5" t="inlineStr">
        <is>
          <t>HU-01</t>
        </is>
      </c>
      <c r="C6" s="6" t="inlineStr">
        <is>
          <t>Crear proyecto</t>
        </is>
      </c>
      <c r="D6" s="9" t="inlineStr">
        <is>
          <t>E1</t>
        </is>
      </c>
      <c r="E6" s="10" t="inlineStr">
        <is>
          <t>Crítica</t>
        </is>
      </c>
      <c r="F6" s="9" t="n">
        <v>3</v>
      </c>
      <c r="G6" s="9" t="n">
        <v>3</v>
      </c>
      <c r="H6" s="9" t="n">
        <v>3</v>
      </c>
      <c r="I6" s="9" t="n">
        <v>3</v>
      </c>
      <c r="J6" s="5" t="n">
        <v>3</v>
      </c>
      <c r="K6" s="9">
        <f>MAX(F6:I6)</f>
        <v/>
      </c>
      <c r="L6" s="9">
        <f>MIN(F6:I6)</f>
        <v/>
      </c>
      <c r="M6" s="11" t="n">
        <v>3</v>
      </c>
      <c r="N6" s="12" t="inlineStr">
        <is>
          <t>Sprint 1</t>
        </is>
      </c>
    </row>
    <row r="7">
      <c r="B7" s="5" t="inlineStr">
        <is>
          <t>HU-02</t>
        </is>
      </c>
      <c r="C7" s="6" t="inlineStr">
        <is>
          <t>Ampliar plazo</t>
        </is>
      </c>
      <c r="D7" s="9" t="inlineStr">
        <is>
          <t>E1</t>
        </is>
      </c>
      <c r="E7" s="13" t="inlineStr">
        <is>
          <t>Alta</t>
        </is>
      </c>
      <c r="F7" s="9" t="n">
        <v>2</v>
      </c>
      <c r="G7" s="9" t="n">
        <v>2</v>
      </c>
      <c r="H7" s="9" t="n">
        <v>2</v>
      </c>
      <c r="I7" s="9" t="n">
        <v>2</v>
      </c>
      <c r="J7" s="5" t="n">
        <v>2</v>
      </c>
      <c r="K7" s="9">
        <f>MAX(F7:I7)</f>
        <v/>
      </c>
      <c r="L7" s="9">
        <f>MIN(F7:I7)</f>
        <v/>
      </c>
      <c r="M7" s="11" t="n">
        <v>2</v>
      </c>
      <c r="N7" s="12" t="inlineStr">
        <is>
          <t>Sprint 2</t>
        </is>
      </c>
    </row>
    <row r="8">
      <c r="B8" s="5" t="inlineStr">
        <is>
          <t>HU-03</t>
        </is>
      </c>
      <c r="C8" s="6" t="inlineStr">
        <is>
          <t>Reportar la obra en semanas</t>
        </is>
      </c>
      <c r="D8" s="9" t="inlineStr">
        <is>
          <t>E1</t>
        </is>
      </c>
      <c r="E8" s="10" t="inlineStr">
        <is>
          <t>Crítica</t>
        </is>
      </c>
      <c r="F8" s="9" t="n">
        <v>5</v>
      </c>
      <c r="G8" s="9" t="n">
        <v>1</v>
      </c>
      <c r="H8" s="9" t="n">
        <v>3</v>
      </c>
      <c r="I8" s="9" t="n">
        <v>3</v>
      </c>
      <c r="J8" s="5" t="n">
        <v>3</v>
      </c>
      <c r="K8" s="9">
        <f>MAX(F8:I8)</f>
        <v/>
      </c>
      <c r="L8" s="9">
        <f>MIN(F8:I8)</f>
        <v/>
      </c>
      <c r="M8" s="11" t="n">
        <v>3</v>
      </c>
      <c r="N8" s="12" t="inlineStr">
        <is>
          <t>Sprint 1</t>
        </is>
      </c>
    </row>
    <row r="9">
      <c r="B9" s="5" t="inlineStr">
        <is>
          <t>HU-04</t>
        </is>
      </c>
      <c r="C9" s="6" t="inlineStr">
        <is>
          <t>Definir día de corte e inicio de semana</t>
        </is>
      </c>
      <c r="D9" s="9" t="inlineStr">
        <is>
          <t>E1</t>
        </is>
      </c>
      <c r="E9" s="14" t="inlineStr">
        <is>
          <t>Media</t>
        </is>
      </c>
      <c r="F9" s="9" t="n">
        <v>2</v>
      </c>
      <c r="G9" s="9" t="n">
        <v>2</v>
      </c>
      <c r="H9" s="9" t="n">
        <v>2</v>
      </c>
      <c r="I9" s="9" t="n">
        <v>3</v>
      </c>
      <c r="J9" s="5" t="n">
        <v>2</v>
      </c>
      <c r="K9" s="9">
        <f>MAX(F9:I9)</f>
        <v/>
      </c>
      <c r="L9" s="9">
        <f>MIN(F9:I9)</f>
        <v/>
      </c>
      <c r="M9" s="11" t="n">
        <v>2</v>
      </c>
      <c r="N9" s="12" t="inlineStr">
        <is>
          <t>Sprint 2</t>
        </is>
      </c>
    </row>
    <row r="10">
      <c r="B10" s="5" t="inlineStr">
        <is>
          <t>HU-05</t>
        </is>
      </c>
      <c r="C10" s="6" t="inlineStr">
        <is>
          <t>Registrar almacenes de obra</t>
        </is>
      </c>
      <c r="D10" s="9" t="inlineStr">
        <is>
          <t>E1</t>
        </is>
      </c>
      <c r="E10" s="13" t="inlineStr">
        <is>
          <t>Alta</t>
        </is>
      </c>
      <c r="F10" s="9" t="n">
        <v>3</v>
      </c>
      <c r="G10" s="9" t="n">
        <v>2</v>
      </c>
      <c r="H10" s="9" t="n">
        <v>3</v>
      </c>
      <c r="I10" s="9" t="n">
        <v>3</v>
      </c>
      <c r="J10" s="5" t="n">
        <v>3</v>
      </c>
      <c r="K10" s="9">
        <f>MAX(F10:I10)</f>
        <v/>
      </c>
      <c r="L10" s="9">
        <f>MIN(F10:I10)</f>
        <v/>
      </c>
      <c r="M10" s="11" t="n">
        <v>3</v>
      </c>
      <c r="N10" s="12" t="inlineStr">
        <is>
          <t>Sprint 2</t>
        </is>
      </c>
    </row>
    <row r="11">
      <c r="B11" s="5" t="inlineStr">
        <is>
          <t>HU-06</t>
        </is>
      </c>
      <c r="C11" s="6" t="inlineStr">
        <is>
          <t>Consultar estado de proyectos</t>
        </is>
      </c>
      <c r="D11" s="9" t="inlineStr">
        <is>
          <t>E1</t>
        </is>
      </c>
      <c r="E11" s="14" t="inlineStr">
        <is>
          <t>Media</t>
        </is>
      </c>
      <c r="F11" s="9" t="n">
        <v>3</v>
      </c>
      <c r="G11" s="9" t="n">
        <v>2</v>
      </c>
      <c r="H11" s="9" t="n">
        <v>2</v>
      </c>
      <c r="I11" s="9" t="n">
        <v>2</v>
      </c>
      <c r="J11" s="5" t="n">
        <v>2</v>
      </c>
      <c r="K11" s="9">
        <f>MAX(F11:I11)</f>
        <v/>
      </c>
      <c r="L11" s="9">
        <f>MIN(F11:I11)</f>
        <v/>
      </c>
      <c r="M11" s="11" t="n">
        <v>2</v>
      </c>
      <c r="N11" s="12" t="inlineStr">
        <is>
          <t>Sprint 2</t>
        </is>
      </c>
    </row>
    <row r="12">
      <c r="B12" s="5" t="inlineStr">
        <is>
          <t>HU-07</t>
        </is>
      </c>
      <c r="C12" s="6" t="inlineStr">
        <is>
          <t>Importar catálogo de insumos del S10</t>
        </is>
      </c>
      <c r="D12" s="9" t="inlineStr">
        <is>
          <t>E1</t>
        </is>
      </c>
      <c r="E12" s="10" t="inlineStr">
        <is>
          <t>Crítica</t>
        </is>
      </c>
      <c r="F12" s="9" t="n">
        <v>8</v>
      </c>
      <c r="G12" s="9" t="n">
        <v>5</v>
      </c>
      <c r="H12" s="9" t="n">
        <v>8</v>
      </c>
      <c r="I12" s="9" t="n">
        <v>8</v>
      </c>
      <c r="J12" s="5" t="n">
        <v>8</v>
      </c>
      <c r="K12" s="9">
        <f>MAX(F12:I12)</f>
        <v/>
      </c>
      <c r="L12" s="9">
        <f>MIN(F12:I12)</f>
        <v/>
      </c>
      <c r="M12" s="11" t="n">
        <v>8</v>
      </c>
      <c r="N12" s="12" t="inlineStr">
        <is>
          <t>Sprint 1</t>
        </is>
      </c>
    </row>
    <row r="13">
      <c r="B13" s="5" t="inlineStr">
        <is>
          <t>HU-08</t>
        </is>
      </c>
      <c r="C13" s="6" t="inlineStr">
        <is>
          <t>Registrar insumos</t>
        </is>
      </c>
      <c r="D13" s="9" t="inlineStr">
        <is>
          <t>E1</t>
        </is>
      </c>
      <c r="E13" s="10" t="inlineStr">
        <is>
          <t>Crítica</t>
        </is>
      </c>
      <c r="F13" s="9" t="n">
        <v>5</v>
      </c>
      <c r="G13" s="9" t="n">
        <v>5</v>
      </c>
      <c r="H13" s="9" t="n">
        <v>5</v>
      </c>
      <c r="I13" s="9" t="n">
        <v>5</v>
      </c>
      <c r="J13" s="5" t="n">
        <v>5</v>
      </c>
      <c r="K13" s="9">
        <f>MAX(F13:I13)</f>
        <v/>
      </c>
      <c r="L13" s="9">
        <f>MIN(F13:I13)</f>
        <v/>
      </c>
      <c r="M13" s="11" t="n">
        <v>5</v>
      </c>
      <c r="N13" s="12" t="inlineStr">
        <is>
          <t>Sprint 1</t>
        </is>
      </c>
    </row>
    <row r="14">
      <c r="B14" s="5" t="inlineStr">
        <is>
          <t>HU-09</t>
        </is>
      </c>
      <c r="C14" s="6" t="inlineStr">
        <is>
          <t>Registrar nombres comerciales</t>
        </is>
      </c>
      <c r="D14" s="9" t="inlineStr">
        <is>
          <t>E1</t>
        </is>
      </c>
      <c r="E14" s="14" t="inlineStr">
        <is>
          <t>Media</t>
        </is>
      </c>
      <c r="F14" s="9" t="n">
        <v>3</v>
      </c>
      <c r="G14" s="9" t="n">
        <v>5</v>
      </c>
      <c r="H14" s="9" t="n">
        <v>3</v>
      </c>
      <c r="I14" s="9" t="n">
        <v>3</v>
      </c>
      <c r="J14" s="5" t="n">
        <v>3</v>
      </c>
      <c r="K14" s="9">
        <f>MAX(F14:I14)</f>
        <v/>
      </c>
      <c r="L14" s="9">
        <f>MIN(F14:I14)</f>
        <v/>
      </c>
      <c r="M14" s="11" t="n">
        <v>3</v>
      </c>
      <c r="N14" s="12" t="inlineStr">
        <is>
          <t>Sprint 2</t>
        </is>
      </c>
    </row>
    <row r="15">
      <c r="B15" s="5" t="inlineStr">
        <is>
          <t>HU-10</t>
        </is>
      </c>
      <c r="C15" s="6" t="inlineStr">
        <is>
          <t>Buscar insumos</t>
        </is>
      </c>
      <c r="D15" s="9" t="inlineStr">
        <is>
          <t>E1</t>
        </is>
      </c>
      <c r="E15" s="14" t="inlineStr">
        <is>
          <t>Media</t>
        </is>
      </c>
      <c r="F15" s="9" t="n">
        <v>3</v>
      </c>
      <c r="G15" s="9" t="n">
        <v>3</v>
      </c>
      <c r="H15" s="9" t="n">
        <v>3</v>
      </c>
      <c r="I15" s="9" t="n">
        <v>3</v>
      </c>
      <c r="J15" s="5" t="n">
        <v>3</v>
      </c>
      <c r="K15" s="9">
        <f>MAX(F15:I15)</f>
        <v/>
      </c>
      <c r="L15" s="9">
        <f>MIN(F15:I15)</f>
        <v/>
      </c>
      <c r="M15" s="11" t="n">
        <v>3</v>
      </c>
      <c r="N15" s="12" t="inlineStr">
        <is>
          <t>Sprint 2</t>
        </is>
      </c>
    </row>
    <row r="16">
      <c r="B16" s="5" t="inlineStr">
        <is>
          <t>HU-11</t>
        </is>
      </c>
      <c r="C16" s="6" t="inlineStr">
        <is>
          <t>Adjuntar foto del insumo</t>
        </is>
      </c>
      <c r="D16" s="9" t="inlineStr">
        <is>
          <t>E1</t>
        </is>
      </c>
      <c r="E16" s="9" t="inlineStr">
        <is>
          <t>Baja</t>
        </is>
      </c>
      <c r="F16" s="9" t="n">
        <v>3</v>
      </c>
      <c r="G16" s="9" t="n">
        <v>2</v>
      </c>
      <c r="H16" s="9" t="n">
        <v>2</v>
      </c>
      <c r="I16" s="9" t="n">
        <v>3</v>
      </c>
      <c r="J16" s="5" t="inlineStr">
        <is>
          <t>3*</t>
        </is>
      </c>
      <c r="K16" s="9">
        <f>MAX(F16:I16)</f>
        <v/>
      </c>
      <c r="L16" s="9">
        <f>MIN(F16:I16)</f>
        <v/>
      </c>
      <c r="M16" s="11" t="n">
        <v>3</v>
      </c>
      <c r="N16" s="12" t="inlineStr">
        <is>
          <t>Sprint 2</t>
        </is>
      </c>
    </row>
    <row r="17">
      <c r="B17" s="5" t="inlineStr">
        <is>
          <t>HU-12</t>
        </is>
      </c>
      <c r="C17" s="6" t="inlineStr">
        <is>
          <t>Loguear usuario</t>
        </is>
      </c>
      <c r="D17" s="9" t="inlineStr">
        <is>
          <t>E1</t>
        </is>
      </c>
      <c r="E17" s="10" t="inlineStr">
        <is>
          <t>Crítica</t>
        </is>
      </c>
      <c r="F17" s="9" t="n">
        <v>8</v>
      </c>
      <c r="G17" s="9" t="n">
        <v>5</v>
      </c>
      <c r="H17" s="9" t="n">
        <v>5</v>
      </c>
      <c r="I17" s="9" t="n">
        <v>5</v>
      </c>
      <c r="J17" s="5" t="n">
        <v>5</v>
      </c>
      <c r="K17" s="9">
        <f>MAX(F17:I17)</f>
        <v/>
      </c>
      <c r="L17" s="9">
        <f>MIN(F17:I17)</f>
        <v/>
      </c>
      <c r="M17" s="11" t="n">
        <v>5</v>
      </c>
      <c r="N17" s="12" t="inlineStr">
        <is>
          <t>Sprint 1</t>
        </is>
      </c>
    </row>
    <row r="18">
      <c r="B18" s="5" t="inlineStr">
        <is>
          <t>HU-13</t>
        </is>
      </c>
      <c r="C18" s="6" t="inlineStr">
        <is>
          <t>Asignar roles</t>
        </is>
      </c>
      <c r="D18" s="9" t="inlineStr">
        <is>
          <t>E1</t>
        </is>
      </c>
      <c r="E18" s="10" t="inlineStr">
        <is>
          <t>Crítica</t>
        </is>
      </c>
      <c r="F18" s="9" t="n">
        <v>5</v>
      </c>
      <c r="G18" s="9" t="n">
        <v>3</v>
      </c>
      <c r="H18" s="9" t="n">
        <v>5</v>
      </c>
      <c r="I18" s="9" t="n">
        <v>5</v>
      </c>
      <c r="J18" s="5" t="n">
        <v>5</v>
      </c>
      <c r="K18" s="9">
        <f>MAX(F18:I18)</f>
        <v/>
      </c>
      <c r="L18" s="9">
        <f>MIN(F18:I18)</f>
        <v/>
      </c>
      <c r="M18" s="11" t="n">
        <v>5</v>
      </c>
      <c r="N18" s="12" t="inlineStr">
        <is>
          <t>Sprint 1</t>
        </is>
      </c>
    </row>
    <row r="19">
      <c r="B19" s="5" t="inlineStr">
        <is>
          <t>HU-14</t>
        </is>
      </c>
      <c r="C19" s="6" t="inlineStr">
        <is>
          <t>Asignar usuarios a obras</t>
        </is>
      </c>
      <c r="D19" s="9" t="inlineStr">
        <is>
          <t>E1</t>
        </is>
      </c>
      <c r="E19" s="10" t="inlineStr">
        <is>
          <t>Crítica</t>
        </is>
      </c>
      <c r="F19" s="9" t="n">
        <v>5</v>
      </c>
      <c r="G19" s="9" t="n">
        <v>3</v>
      </c>
      <c r="H19" s="9" t="n">
        <v>3</v>
      </c>
      <c r="I19" s="9" t="n">
        <v>2</v>
      </c>
      <c r="J19" s="5" t="n">
        <v>3</v>
      </c>
      <c r="K19" s="9">
        <f>MAX(F19:I19)</f>
        <v/>
      </c>
      <c r="L19" s="9">
        <f>MIN(F19:I19)</f>
        <v/>
      </c>
      <c r="M19" s="11" t="n">
        <v>3</v>
      </c>
      <c r="N19" s="12" t="inlineStr">
        <is>
          <t>Sprint 1</t>
        </is>
      </c>
    </row>
    <row r="20">
      <c r="B20" s="5" t="inlineStr">
        <is>
          <t>HU-15</t>
        </is>
      </c>
      <c r="C20" s="6" t="inlineStr">
        <is>
          <t>Autorizar celular de la obra</t>
        </is>
      </c>
      <c r="D20" s="9" t="inlineStr">
        <is>
          <t>E1</t>
        </is>
      </c>
      <c r="E20" s="13" t="inlineStr">
        <is>
          <t>Alta</t>
        </is>
      </c>
      <c r="F20" s="9" t="n">
        <v>8</v>
      </c>
      <c r="G20" s="9" t="n">
        <v>5</v>
      </c>
      <c r="H20" s="9" t="n">
        <v>5</v>
      </c>
      <c r="I20" s="9" t="n">
        <v>5</v>
      </c>
      <c r="J20" s="5" t="n">
        <v>5</v>
      </c>
      <c r="K20" s="9">
        <f>MAX(F20:I20)</f>
        <v/>
      </c>
      <c r="L20" s="9">
        <f>MIN(F20:I20)</f>
        <v/>
      </c>
      <c r="M20" s="11" t="n">
        <v>5</v>
      </c>
      <c r="N20" s="12" t="inlineStr">
        <is>
          <t>Sprint 1</t>
        </is>
      </c>
    </row>
    <row r="21">
      <c r="B21" s="5" t="inlineStr">
        <is>
          <t>HU-16</t>
        </is>
      </c>
      <c r="C21" s="6" t="inlineStr">
        <is>
          <t>Importar precios unitarios</t>
        </is>
      </c>
      <c r="D21" s="9" t="inlineStr">
        <is>
          <t>E2</t>
        </is>
      </c>
      <c r="E21" s="10" t="inlineStr">
        <is>
          <t>Crítica</t>
        </is>
      </c>
      <c r="F21" s="9" t="n">
        <v>8</v>
      </c>
      <c r="G21" s="9" t="n">
        <v>8</v>
      </c>
      <c r="H21" s="9" t="n">
        <v>8</v>
      </c>
      <c r="I21" s="9" t="n">
        <v>8</v>
      </c>
      <c r="J21" s="5" t="n">
        <v>8</v>
      </c>
      <c r="K21" s="9">
        <f>MAX(F21:I21)</f>
        <v/>
      </c>
      <c r="L21" s="9">
        <f>MIN(F21:I21)</f>
        <v/>
      </c>
      <c r="M21" s="11" t="n">
        <v>8</v>
      </c>
      <c r="N21" s="12" t="inlineStr">
        <is>
          <t>Sprint 1</t>
        </is>
      </c>
    </row>
    <row r="22">
      <c r="B22" s="5" t="inlineStr">
        <is>
          <t>HU-17</t>
        </is>
      </c>
      <c r="C22" s="6" t="inlineStr">
        <is>
          <t>Convertir unidades (kg a varillas)</t>
        </is>
      </c>
      <c r="D22" s="9" t="inlineStr">
        <is>
          <t>E2</t>
        </is>
      </c>
      <c r="E22" s="10" t="inlineStr">
        <is>
          <t>Crítica</t>
        </is>
      </c>
      <c r="F22" s="9" t="n">
        <v>5</v>
      </c>
      <c r="G22" s="9" t="n">
        <v>3</v>
      </c>
      <c r="H22" s="9" t="n">
        <v>3</v>
      </c>
      <c r="I22" s="9" t="n">
        <v>3</v>
      </c>
      <c r="J22" s="5" t="n">
        <v>3</v>
      </c>
      <c r="K22" s="9">
        <f>MAX(F22:I22)</f>
        <v/>
      </c>
      <c r="L22" s="9">
        <f>MIN(F22:I22)</f>
        <v/>
      </c>
      <c r="M22" s="11" t="n">
        <v>3</v>
      </c>
      <c r="N22" s="12" t="inlineStr">
        <is>
          <t>Sprint 1</t>
        </is>
      </c>
    </row>
    <row r="23">
      <c r="B23" s="5" t="inlineStr">
        <is>
          <t>HU-18</t>
        </is>
      </c>
      <c r="C23" s="6" t="inlineStr">
        <is>
          <t>Repartir acero por diámetro</t>
        </is>
      </c>
      <c r="D23" s="9" t="inlineStr">
        <is>
          <t>E2</t>
        </is>
      </c>
      <c r="E23" s="13" t="inlineStr">
        <is>
          <t>Alta</t>
        </is>
      </c>
      <c r="F23" s="9" t="n">
        <v>8</v>
      </c>
      <c r="G23" s="9" t="n">
        <v>5</v>
      </c>
      <c r="H23" s="9" t="n">
        <v>5</v>
      </c>
      <c r="I23" s="9" t="n">
        <v>5</v>
      </c>
      <c r="J23" s="5" t="n">
        <v>5</v>
      </c>
      <c r="K23" s="9">
        <f>MAX(F23:I23)</f>
        <v/>
      </c>
      <c r="L23" s="9">
        <f>MIN(F23:I23)</f>
        <v/>
      </c>
      <c r="M23" s="11" t="n">
        <v>5</v>
      </c>
      <c r="N23" s="12" t="inlineStr">
        <is>
          <t>Sprint 2</t>
        </is>
      </c>
    </row>
    <row r="24">
      <c r="B24" s="5" t="inlineStr">
        <is>
          <t>HU-19</t>
        </is>
      </c>
      <c r="C24" s="6" t="inlineStr">
        <is>
          <t>Importar requerimiento de la obra</t>
        </is>
      </c>
      <c r="D24" s="9" t="inlineStr">
        <is>
          <t>E2</t>
        </is>
      </c>
      <c r="E24" s="10" t="inlineStr">
        <is>
          <t>Crítica</t>
        </is>
      </c>
      <c r="F24" s="9" t="n">
        <v>8</v>
      </c>
      <c r="G24" s="9" t="n">
        <v>5</v>
      </c>
      <c r="H24" s="9" t="n">
        <v>5</v>
      </c>
      <c r="I24" s="9" t="n">
        <v>5</v>
      </c>
      <c r="J24" s="5" t="n">
        <v>5</v>
      </c>
      <c r="K24" s="9">
        <f>MAX(F24:I24)</f>
        <v/>
      </c>
      <c r="L24" s="9">
        <f>MIN(F24:I24)</f>
        <v/>
      </c>
      <c r="M24" s="11" t="n">
        <v>5</v>
      </c>
      <c r="N24" s="12" t="inlineStr">
        <is>
          <t>Sprint 1</t>
        </is>
      </c>
    </row>
    <row r="25">
      <c r="B25" s="5" t="inlineStr">
        <is>
          <t>HU-20</t>
        </is>
      </c>
      <c r="C25" s="6" t="inlineStr">
        <is>
          <t>Registrar requerimiento por fase</t>
        </is>
      </c>
      <c r="D25" s="9" t="inlineStr">
        <is>
          <t>E2</t>
        </is>
      </c>
      <c r="E25" s="13" t="inlineStr">
        <is>
          <t>Alta</t>
        </is>
      </c>
      <c r="F25" s="9" t="n">
        <v>5</v>
      </c>
      <c r="G25" s="9" t="n">
        <v>3</v>
      </c>
      <c r="H25" s="9" t="n">
        <v>3</v>
      </c>
      <c r="I25" s="9" t="n">
        <v>3</v>
      </c>
      <c r="J25" s="5" t="n">
        <v>3</v>
      </c>
      <c r="K25" s="9">
        <f>MAX(F25:I25)</f>
        <v/>
      </c>
      <c r="L25" s="9">
        <f>MIN(F25:I25)</f>
        <v/>
      </c>
      <c r="M25" s="11" t="n">
        <v>3</v>
      </c>
      <c r="N25" s="12" t="inlineStr">
        <is>
          <t>Sprint 2</t>
        </is>
      </c>
    </row>
    <row r="26">
      <c r="B26" s="5" t="inlineStr">
        <is>
          <t>HU-21</t>
        </is>
      </c>
      <c r="C26" s="6" t="inlineStr">
        <is>
          <t>Avisar exceso del requerimiento</t>
        </is>
      </c>
      <c r="D26" s="9" t="inlineStr">
        <is>
          <t>E2</t>
        </is>
      </c>
      <c r="E26" s="13" t="inlineStr">
        <is>
          <t>Alta</t>
        </is>
      </c>
      <c r="F26" s="9" t="n">
        <v>3</v>
      </c>
      <c r="G26" s="9" t="n">
        <v>2</v>
      </c>
      <c r="H26" s="9" t="n">
        <v>3</v>
      </c>
      <c r="I26" s="9" t="n">
        <v>3</v>
      </c>
      <c r="J26" s="5" t="n">
        <v>3</v>
      </c>
      <c r="K26" s="9">
        <f>MAX(F26:I26)</f>
        <v/>
      </c>
      <c r="L26" s="9">
        <f>MIN(F26:I26)</f>
        <v/>
      </c>
      <c r="M26" s="11" t="n">
        <v>3</v>
      </c>
      <c r="N26" s="12" t="inlineStr">
        <is>
          <t>Sprint 2</t>
        </is>
      </c>
    </row>
    <row r="27">
      <c r="B27" s="5" t="inlineStr">
        <is>
          <t>HU-22</t>
        </is>
      </c>
      <c r="C27" s="6" t="inlineStr">
        <is>
          <t>Agregar insumo no presupuestado</t>
        </is>
      </c>
      <c r="D27" s="9" t="inlineStr">
        <is>
          <t>E2</t>
        </is>
      </c>
      <c r="E27" s="14" t="inlineStr">
        <is>
          <t>Media</t>
        </is>
      </c>
      <c r="F27" s="9" t="n">
        <v>3</v>
      </c>
      <c r="G27" s="9" t="n">
        <v>3</v>
      </c>
      <c r="H27" s="9" t="n">
        <v>3</v>
      </c>
      <c r="I27" s="9" t="n">
        <v>5</v>
      </c>
      <c r="J27" s="5" t="n">
        <v>3</v>
      </c>
      <c r="K27" s="9">
        <f>MAX(F27:I27)</f>
        <v/>
      </c>
      <c r="L27" s="9">
        <f>MIN(F27:I27)</f>
        <v/>
      </c>
      <c r="M27" s="11" t="n">
        <v>3</v>
      </c>
      <c r="N27" s="12" t="inlineStr">
        <is>
          <t>Sprint 2</t>
        </is>
      </c>
    </row>
    <row r="28">
      <c r="B28" s="5" t="inlineStr">
        <is>
          <t>HU-23</t>
        </is>
      </c>
      <c r="C28" s="6" t="inlineStr">
        <is>
          <t>Consultar cuánto se compró y consumió</t>
        </is>
      </c>
      <c r="D28" s="9" t="inlineStr">
        <is>
          <t>E2</t>
        </is>
      </c>
      <c r="E28" s="13" t="inlineStr">
        <is>
          <t>Alta</t>
        </is>
      </c>
      <c r="F28" s="9" t="n">
        <v>5</v>
      </c>
      <c r="G28" s="9" t="n">
        <v>8</v>
      </c>
      <c r="H28" s="9" t="n">
        <v>5</v>
      </c>
      <c r="I28" s="9" t="n">
        <v>5</v>
      </c>
      <c r="J28" s="5" t="n">
        <v>5</v>
      </c>
      <c r="K28" s="9">
        <f>MAX(F28:I28)</f>
        <v/>
      </c>
      <c r="L28" s="9">
        <f>MIN(F28:I28)</f>
        <v/>
      </c>
      <c r="M28" s="11" t="n">
        <v>5</v>
      </c>
      <c r="N28" s="12" t="inlineStr">
        <is>
          <t>Sprint 1</t>
        </is>
      </c>
    </row>
    <row r="29">
      <c r="B29" s="5" t="inlineStr">
        <is>
          <t>HU-24</t>
        </is>
      </c>
      <c r="C29" s="6" t="inlineStr">
        <is>
          <t>Consultar cuánto falta comprar</t>
        </is>
      </c>
      <c r="D29" s="9" t="inlineStr">
        <is>
          <t>E2</t>
        </is>
      </c>
      <c r="E29" s="13" t="inlineStr">
        <is>
          <t>Alta</t>
        </is>
      </c>
      <c r="F29" s="9" t="n">
        <v>5</v>
      </c>
      <c r="G29" s="9" t="n">
        <v>3</v>
      </c>
      <c r="H29" s="9" t="n">
        <v>3</v>
      </c>
      <c r="I29" s="9" t="n">
        <v>3</v>
      </c>
      <c r="J29" s="5" t="n">
        <v>3</v>
      </c>
      <c r="K29" s="9">
        <f>MAX(F29:I29)</f>
        <v/>
      </c>
      <c r="L29" s="9">
        <f>MIN(F29:I29)</f>
        <v/>
      </c>
      <c r="M29" s="11" t="n">
        <v>3</v>
      </c>
      <c r="N29" s="12" t="inlineStr">
        <is>
          <t>Sprint 1</t>
        </is>
      </c>
    </row>
    <row r="30">
      <c r="B30" s="5" t="inlineStr">
        <is>
          <t>HU-25</t>
        </is>
      </c>
      <c r="C30" s="6" t="inlineStr">
        <is>
          <t>Definir punto de reposición</t>
        </is>
      </c>
      <c r="D30" s="9" t="inlineStr">
        <is>
          <t>E2</t>
        </is>
      </c>
      <c r="E30" s="10" t="inlineStr">
        <is>
          <t>Crítica</t>
        </is>
      </c>
      <c r="F30" s="9" t="n">
        <v>5</v>
      </c>
      <c r="G30" s="9" t="n">
        <v>5</v>
      </c>
      <c r="H30" s="9" t="n">
        <v>5</v>
      </c>
      <c r="I30" s="9" t="n">
        <v>5</v>
      </c>
      <c r="J30" s="5" t="n">
        <v>5</v>
      </c>
      <c r="K30" s="9">
        <f>MAX(F30:I30)</f>
        <v/>
      </c>
      <c r="L30" s="9">
        <f>MIN(F30:I30)</f>
        <v/>
      </c>
      <c r="M30" s="11" t="n">
        <v>5</v>
      </c>
      <c r="N30" s="12" t="inlineStr">
        <is>
          <t>Sprint 1</t>
        </is>
      </c>
    </row>
    <row r="31">
      <c r="B31" s="5" t="inlineStr">
        <is>
          <t>HU-26</t>
        </is>
      </c>
      <c r="C31" s="6" t="inlineStr">
        <is>
          <t>Avisar cuándo reponer</t>
        </is>
      </c>
      <c r="D31" s="9" t="inlineStr">
        <is>
          <t>E2</t>
        </is>
      </c>
      <c r="E31" s="10" t="inlineStr">
        <is>
          <t>Crítica</t>
        </is>
      </c>
      <c r="F31" s="9" t="n">
        <v>5</v>
      </c>
      <c r="G31" s="9" t="n">
        <v>3</v>
      </c>
      <c r="H31" s="9" t="n">
        <v>5</v>
      </c>
      <c r="I31" s="9" t="n">
        <v>5</v>
      </c>
      <c r="J31" s="5" t="n">
        <v>5</v>
      </c>
      <c r="K31" s="9">
        <f>MAX(F31:I31)</f>
        <v/>
      </c>
      <c r="L31" s="9">
        <f>MIN(F31:I31)</f>
        <v/>
      </c>
      <c r="M31" s="11" t="n">
        <v>5</v>
      </c>
      <c r="N31" s="12" t="inlineStr">
        <is>
          <t>Sprint 1</t>
        </is>
      </c>
    </row>
    <row r="32">
      <c r="B32" s="5" t="inlineStr">
        <is>
          <t>HU-27</t>
        </is>
      </c>
      <c r="C32" s="6" t="inlineStr">
        <is>
          <t>Sugerir cuánto comprar</t>
        </is>
      </c>
      <c r="D32" s="9" t="inlineStr">
        <is>
          <t>E2</t>
        </is>
      </c>
      <c r="E32" s="10" t="inlineStr">
        <is>
          <t>Crítica</t>
        </is>
      </c>
      <c r="F32" s="9" t="n">
        <v>5</v>
      </c>
      <c r="G32" s="9" t="n">
        <v>5</v>
      </c>
      <c r="H32" s="9" t="n">
        <v>5</v>
      </c>
      <c r="I32" s="9" t="n">
        <v>5</v>
      </c>
      <c r="J32" s="5" t="n">
        <v>5</v>
      </c>
      <c r="K32" s="9">
        <f>MAX(F32:I32)</f>
        <v/>
      </c>
      <c r="L32" s="9">
        <f>MIN(F32:I32)</f>
        <v/>
      </c>
      <c r="M32" s="11" t="n">
        <v>5</v>
      </c>
      <c r="N32" s="12" t="inlineStr">
        <is>
          <t>Sprint 1</t>
        </is>
      </c>
    </row>
    <row r="33">
      <c r="B33" s="5" t="inlineStr">
        <is>
          <t>HU-28</t>
        </is>
      </c>
      <c r="C33" s="6" t="inlineStr">
        <is>
          <t>Marcar insumos críticos</t>
        </is>
      </c>
      <c r="D33" s="9" t="inlineStr">
        <is>
          <t>E2</t>
        </is>
      </c>
      <c r="E33" s="14" t="inlineStr">
        <is>
          <t>Media</t>
        </is>
      </c>
      <c r="F33" s="9" t="n">
        <v>3</v>
      </c>
      <c r="G33" s="9" t="n">
        <v>5</v>
      </c>
      <c r="H33" s="9" t="n">
        <v>3</v>
      </c>
      <c r="I33" s="9" t="n">
        <v>3</v>
      </c>
      <c r="J33" s="5" t="n">
        <v>3</v>
      </c>
      <c r="K33" s="9">
        <f>MAX(F33:I33)</f>
        <v/>
      </c>
      <c r="L33" s="9">
        <f>MIN(F33:I33)</f>
        <v/>
      </c>
      <c r="M33" s="11" t="n">
        <v>3</v>
      </c>
      <c r="N33" s="12" t="inlineStr">
        <is>
          <t>Sprint 2</t>
        </is>
      </c>
    </row>
    <row r="34">
      <c r="B34" s="5" t="inlineStr">
        <is>
          <t>HU-29</t>
        </is>
      </c>
      <c r="C34" s="6" t="inlineStr">
        <is>
          <t>Consultar proveedores</t>
        </is>
      </c>
      <c r="D34" s="9" t="inlineStr">
        <is>
          <t>E3</t>
        </is>
      </c>
      <c r="E34" s="13" t="inlineStr">
        <is>
          <t>Alta</t>
        </is>
      </c>
      <c r="F34" s="9" t="n">
        <v>3</v>
      </c>
      <c r="G34" s="9" t="n">
        <v>2</v>
      </c>
      <c r="H34" s="9" t="n">
        <v>3</v>
      </c>
      <c r="I34" s="9" t="n">
        <v>3</v>
      </c>
      <c r="J34" s="5" t="n">
        <v>3</v>
      </c>
      <c r="K34" s="9">
        <f>MAX(F34:I34)</f>
        <v/>
      </c>
      <c r="L34" s="9">
        <f>MIN(F34:I34)</f>
        <v/>
      </c>
      <c r="M34" s="11" t="n">
        <v>3</v>
      </c>
      <c r="N34" s="12" t="inlineStr">
        <is>
          <t>Sprint 1</t>
        </is>
      </c>
    </row>
    <row r="35">
      <c r="B35" s="5" t="inlineStr">
        <is>
          <t>HU-30</t>
        </is>
      </c>
      <c r="C35" s="6" t="inlineStr">
        <is>
          <t>Registrar proveedores</t>
        </is>
      </c>
      <c r="D35" s="9" t="inlineStr">
        <is>
          <t>E3</t>
        </is>
      </c>
      <c r="E35" s="14" t="inlineStr">
        <is>
          <t>Media</t>
        </is>
      </c>
      <c r="F35" s="9" t="n">
        <v>3</v>
      </c>
      <c r="G35" s="9" t="n">
        <v>3</v>
      </c>
      <c r="H35" s="9" t="n">
        <v>2</v>
      </c>
      <c r="I35" s="9" t="n">
        <v>3</v>
      </c>
      <c r="J35" s="5" t="n">
        <v>3</v>
      </c>
      <c r="K35" s="9">
        <f>MAX(F35:I35)</f>
        <v/>
      </c>
      <c r="L35" s="9">
        <f>MIN(F35:I35)</f>
        <v/>
      </c>
      <c r="M35" s="11" t="n">
        <v>3</v>
      </c>
      <c r="N35" s="12" t="inlineStr">
        <is>
          <t>Sprint 1</t>
        </is>
      </c>
    </row>
    <row r="36">
      <c r="B36" s="5" t="inlineStr">
        <is>
          <t>HU-31</t>
        </is>
      </c>
      <c r="C36" s="6" t="inlineStr">
        <is>
          <t>Validar RUC en SUNAT</t>
        </is>
      </c>
      <c r="D36" s="9" t="inlineStr">
        <is>
          <t>E3</t>
        </is>
      </c>
      <c r="E36" s="13" t="inlineStr">
        <is>
          <t>Alta</t>
        </is>
      </c>
      <c r="F36" s="9" t="n">
        <v>8</v>
      </c>
      <c r="G36" s="9" t="n">
        <v>5</v>
      </c>
      <c r="H36" s="9" t="n">
        <v>5</v>
      </c>
      <c r="I36" s="9" t="n">
        <v>5</v>
      </c>
      <c r="J36" s="5" t="n">
        <v>5</v>
      </c>
      <c r="K36" s="9">
        <f>MAX(F36:I36)</f>
        <v/>
      </c>
      <c r="L36" s="9">
        <f>MIN(F36:I36)</f>
        <v/>
      </c>
      <c r="M36" s="11" t="n">
        <v>5</v>
      </c>
      <c r="N36" s="12" t="inlineStr">
        <is>
          <t>Sprint 2</t>
        </is>
      </c>
    </row>
    <row r="37">
      <c r="B37" s="5" t="inlineStr">
        <is>
          <t>HU-32</t>
        </is>
      </c>
      <c r="C37" s="6" t="inlineStr">
        <is>
          <t>Registrar compras</t>
        </is>
      </c>
      <c r="D37" s="9" t="inlineStr">
        <is>
          <t>E3</t>
        </is>
      </c>
      <c r="E37" s="10" t="inlineStr">
        <is>
          <t>Crítica</t>
        </is>
      </c>
      <c r="F37" s="9" t="n">
        <v>8</v>
      </c>
      <c r="G37" s="9" t="n">
        <v>8</v>
      </c>
      <c r="H37" s="9" t="n">
        <v>8</v>
      </c>
      <c r="I37" s="9" t="n">
        <v>8</v>
      </c>
      <c r="J37" s="5" t="n">
        <v>8</v>
      </c>
      <c r="K37" s="9">
        <f>MAX(F37:I37)</f>
        <v/>
      </c>
      <c r="L37" s="9">
        <f>MIN(F37:I37)</f>
        <v/>
      </c>
      <c r="M37" s="11" t="n">
        <v>8</v>
      </c>
      <c r="N37" s="12" t="inlineStr">
        <is>
          <t>Sprint 1</t>
        </is>
      </c>
    </row>
    <row r="38">
      <c r="B38" s="5" t="inlineStr">
        <is>
          <t>HU-33</t>
        </is>
      </c>
      <c r="C38" s="6" t="inlineStr">
        <is>
          <t>Registrar precio pagado</t>
        </is>
      </c>
      <c r="D38" s="9" t="inlineStr">
        <is>
          <t>E3</t>
        </is>
      </c>
      <c r="E38" s="14" t="inlineStr">
        <is>
          <t>Media</t>
        </is>
      </c>
      <c r="F38" s="9" t="n">
        <v>3</v>
      </c>
      <c r="G38" s="9" t="n">
        <v>2</v>
      </c>
      <c r="H38" s="9" t="n">
        <v>3</v>
      </c>
      <c r="I38" s="9" t="n">
        <v>3</v>
      </c>
      <c r="J38" s="5" t="n">
        <v>3</v>
      </c>
      <c r="K38" s="9">
        <f>MAX(F38:I38)</f>
        <v/>
      </c>
      <c r="L38" s="9">
        <f>MIN(F38:I38)</f>
        <v/>
      </c>
      <c r="M38" s="11" t="n">
        <v>3</v>
      </c>
      <c r="N38" s="12" t="inlineStr">
        <is>
          <t>Sprint 2</t>
        </is>
      </c>
    </row>
    <row r="39">
      <c r="B39" s="5" t="inlineStr">
        <is>
          <t>HU-34</t>
        </is>
      </c>
      <c r="C39" s="6" t="inlineStr">
        <is>
          <t>Adjuntar comprobante</t>
        </is>
      </c>
      <c r="D39" s="9" t="inlineStr">
        <is>
          <t>E3</t>
        </is>
      </c>
      <c r="E39" s="13" t="inlineStr">
        <is>
          <t>Alta</t>
        </is>
      </c>
      <c r="F39" s="9" t="n">
        <v>5</v>
      </c>
      <c r="G39" s="9" t="n">
        <v>3</v>
      </c>
      <c r="H39" s="9" t="n">
        <v>3</v>
      </c>
      <c r="I39" s="9" t="n">
        <v>3</v>
      </c>
      <c r="J39" s="5" t="n">
        <v>3</v>
      </c>
      <c r="K39" s="9">
        <f>MAX(F39:I39)</f>
        <v/>
      </c>
      <c r="L39" s="9">
        <f>MIN(F39:I39)</f>
        <v/>
      </c>
      <c r="M39" s="11" t="n">
        <v>3</v>
      </c>
      <c r="N39" s="12" t="inlineStr">
        <is>
          <t>Sprint 2</t>
        </is>
      </c>
    </row>
    <row r="40">
      <c r="B40" s="5" t="inlineStr">
        <is>
          <t>HU-35</t>
        </is>
      </c>
      <c r="C40" s="6" t="inlineStr">
        <is>
          <t>Recibir compras</t>
        </is>
      </c>
      <c r="D40" s="9" t="inlineStr">
        <is>
          <t>E3</t>
        </is>
      </c>
      <c r="E40" s="10" t="inlineStr">
        <is>
          <t>Crítica</t>
        </is>
      </c>
      <c r="F40" s="9" t="n">
        <v>8</v>
      </c>
      <c r="G40" s="9" t="n">
        <v>13</v>
      </c>
      <c r="H40" s="9" t="n">
        <v>8</v>
      </c>
      <c r="I40" s="9" t="n">
        <v>8</v>
      </c>
      <c r="J40" s="5" t="n">
        <v>8</v>
      </c>
      <c r="K40" s="9">
        <f>MAX(F40:I40)</f>
        <v/>
      </c>
      <c r="L40" s="9">
        <f>MIN(F40:I40)</f>
        <v/>
      </c>
      <c r="M40" s="11" t="n">
        <v>8</v>
      </c>
      <c r="N40" s="12" t="inlineStr">
        <is>
          <t>Sprint 1</t>
        </is>
      </c>
    </row>
    <row r="41">
      <c r="B41" s="5" t="inlineStr">
        <is>
          <t>HU-36</t>
        </is>
      </c>
      <c r="C41" s="6" t="inlineStr">
        <is>
          <t>Avisar recepción excedida</t>
        </is>
      </c>
      <c r="D41" s="9" t="inlineStr">
        <is>
          <t>E3</t>
        </is>
      </c>
      <c r="E41" s="14" t="inlineStr">
        <is>
          <t>Media</t>
        </is>
      </c>
      <c r="F41" s="9" t="n">
        <v>3</v>
      </c>
      <c r="G41" s="9" t="n">
        <v>2</v>
      </c>
      <c r="H41" s="9" t="n">
        <v>3</v>
      </c>
      <c r="I41" s="9" t="n">
        <v>3</v>
      </c>
      <c r="J41" s="5" t="n">
        <v>3</v>
      </c>
      <c r="K41" s="9">
        <f>MAX(F41:I41)</f>
        <v/>
      </c>
      <c r="L41" s="9">
        <f>MIN(F41:I41)</f>
        <v/>
      </c>
      <c r="M41" s="11" t="n">
        <v>3</v>
      </c>
      <c r="N41" s="12" t="inlineStr">
        <is>
          <t>Sprint 2</t>
        </is>
      </c>
    </row>
    <row r="42">
      <c r="B42" s="5" t="inlineStr">
        <is>
          <t>HU-37</t>
        </is>
      </c>
      <c r="C42" s="6" t="inlineStr">
        <is>
          <t>Registrar sin señal</t>
        </is>
      </c>
      <c r="D42" s="9" t="inlineStr">
        <is>
          <t>E4</t>
        </is>
      </c>
      <c r="E42" s="10" t="inlineStr">
        <is>
          <t>Crítica</t>
        </is>
      </c>
      <c r="F42" s="9" t="n">
        <v>13</v>
      </c>
      <c r="G42" s="9" t="n">
        <v>8</v>
      </c>
      <c r="H42" s="9" t="n">
        <v>8</v>
      </c>
      <c r="I42" s="9" t="n">
        <v>8</v>
      </c>
      <c r="J42" s="5" t="n">
        <v>8</v>
      </c>
      <c r="K42" s="9">
        <f>MAX(F42:I42)</f>
        <v/>
      </c>
      <c r="L42" s="9">
        <f>MIN(F42:I42)</f>
        <v/>
      </c>
      <c r="M42" s="11" t="n">
        <v>8</v>
      </c>
      <c r="N42" s="12" t="inlineStr">
        <is>
          <t>Sprint 1</t>
        </is>
      </c>
    </row>
    <row r="43">
      <c r="B43" s="5" t="inlineStr">
        <is>
          <t>HU-38</t>
        </is>
      </c>
      <c r="C43" s="6" t="inlineStr">
        <is>
          <t>Sincronizar pendientes</t>
        </is>
      </c>
      <c r="D43" s="9" t="inlineStr">
        <is>
          <t>E4</t>
        </is>
      </c>
      <c r="E43" s="10" t="inlineStr">
        <is>
          <t>Crítica</t>
        </is>
      </c>
      <c r="F43" s="9" t="n">
        <v>8</v>
      </c>
      <c r="G43" s="9" t="n">
        <v>5</v>
      </c>
      <c r="H43" s="9" t="n">
        <v>5</v>
      </c>
      <c r="I43" s="9" t="n">
        <v>5</v>
      </c>
      <c r="J43" s="5" t="n">
        <v>5</v>
      </c>
      <c r="K43" s="9">
        <f>MAX(F43:I43)</f>
        <v/>
      </c>
      <c r="L43" s="9">
        <f>MIN(F43:I43)</f>
        <v/>
      </c>
      <c r="M43" s="11" t="n">
        <v>5</v>
      </c>
      <c r="N43" s="12" t="inlineStr">
        <is>
          <t>Sprint 1</t>
        </is>
      </c>
    </row>
    <row r="44">
      <c r="B44" s="5" t="inlineStr">
        <is>
          <t>HU-39</t>
        </is>
      </c>
      <c r="C44" s="6" t="inlineStr">
        <is>
          <t>Consultar estado de sincronización</t>
        </is>
      </c>
      <c r="D44" s="9" t="inlineStr">
        <is>
          <t>E4</t>
        </is>
      </c>
      <c r="E44" s="13" t="inlineStr">
        <is>
          <t>Alta</t>
        </is>
      </c>
      <c r="F44" s="9" t="n">
        <v>5</v>
      </c>
      <c r="G44" s="9" t="n">
        <v>8</v>
      </c>
      <c r="H44" s="9" t="n">
        <v>5</v>
      </c>
      <c r="I44" s="9" t="n">
        <v>5</v>
      </c>
      <c r="J44" s="5" t="n">
        <v>5</v>
      </c>
      <c r="K44" s="9">
        <f>MAX(F44:I44)</f>
        <v/>
      </c>
      <c r="L44" s="9">
        <f>MIN(F44:I44)</f>
        <v/>
      </c>
      <c r="M44" s="11" t="n">
        <v>5</v>
      </c>
      <c r="N44" s="12" t="inlineStr">
        <is>
          <t>Sprint 2</t>
        </is>
      </c>
    </row>
    <row r="45">
      <c r="B45" s="5" t="inlineStr">
        <is>
          <t>HU-40</t>
        </is>
      </c>
      <c r="C45" s="6" t="inlineStr">
        <is>
          <t>Registrar salidas de material</t>
        </is>
      </c>
      <c r="D45" s="9" t="inlineStr">
        <is>
          <t>E4</t>
        </is>
      </c>
      <c r="E45" s="10" t="inlineStr">
        <is>
          <t>Crítica</t>
        </is>
      </c>
      <c r="F45" s="9" t="n">
        <v>8</v>
      </c>
      <c r="G45" s="9" t="n">
        <v>8</v>
      </c>
      <c r="H45" s="9" t="n">
        <v>8</v>
      </c>
      <c r="I45" s="9" t="n">
        <v>8</v>
      </c>
      <c r="J45" s="5" t="n">
        <v>8</v>
      </c>
      <c r="K45" s="9">
        <f>MAX(F45:I45)</f>
        <v/>
      </c>
      <c r="L45" s="9">
        <f>MIN(F45:I45)</f>
        <v/>
      </c>
      <c r="M45" s="11" t="n">
        <v>8</v>
      </c>
      <c r="N45" s="12" t="inlineStr">
        <is>
          <t>Sprint 1</t>
        </is>
      </c>
    </row>
    <row r="46">
      <c r="B46" s="5" t="inlineStr">
        <is>
          <t>HU-41</t>
        </is>
      </c>
      <c r="C46" s="6" t="inlineStr">
        <is>
          <t>Registrar ingreso sin compra</t>
        </is>
      </c>
      <c r="D46" s="9" t="inlineStr">
        <is>
          <t>E4</t>
        </is>
      </c>
      <c r="E46" s="14" t="inlineStr">
        <is>
          <t>Media</t>
        </is>
      </c>
      <c r="F46" s="9" t="n">
        <v>3</v>
      </c>
      <c r="G46" s="9" t="n">
        <v>5</v>
      </c>
      <c r="H46" s="9" t="n">
        <v>3</v>
      </c>
      <c r="I46" s="9" t="n">
        <v>3</v>
      </c>
      <c r="J46" s="5" t="n">
        <v>3</v>
      </c>
      <c r="K46" s="9">
        <f>MAX(F46:I46)</f>
        <v/>
      </c>
      <c r="L46" s="9">
        <f>MIN(F46:I46)</f>
        <v/>
      </c>
      <c r="M46" s="11" t="n">
        <v>3</v>
      </c>
      <c r="N46" s="12" t="inlineStr">
        <is>
          <t>Sprint 2</t>
        </is>
      </c>
    </row>
    <row r="47">
      <c r="B47" s="5" t="inlineStr">
        <is>
          <t>HU-42</t>
        </is>
      </c>
      <c r="C47" s="6" t="inlineStr">
        <is>
          <t>Trasladar material entre obras</t>
        </is>
      </c>
      <c r="D47" s="9" t="inlineStr">
        <is>
          <t>E4</t>
        </is>
      </c>
      <c r="E47" s="13" t="inlineStr">
        <is>
          <t>Alta</t>
        </is>
      </c>
      <c r="F47" s="9" t="n">
        <v>8</v>
      </c>
      <c r="G47" s="9" t="n">
        <v>5</v>
      </c>
      <c r="H47" s="9" t="n">
        <v>5</v>
      </c>
      <c r="I47" s="9" t="n">
        <v>5</v>
      </c>
      <c r="J47" s="5" t="n">
        <v>5</v>
      </c>
      <c r="K47" s="9">
        <f>MAX(F47:I47)</f>
        <v/>
      </c>
      <c r="L47" s="9">
        <f>MIN(F47:I47)</f>
        <v/>
      </c>
      <c r="M47" s="11" t="n">
        <v>5</v>
      </c>
      <c r="N47" s="12" t="inlineStr">
        <is>
          <t>Sprint 2</t>
        </is>
      </c>
    </row>
    <row r="48">
      <c r="B48" s="5" t="inlineStr">
        <is>
          <t>HU-43</t>
        </is>
      </c>
      <c r="C48" s="6" t="inlineStr">
        <is>
          <t>Consultar stock</t>
        </is>
      </c>
      <c r="D48" s="9" t="inlineStr">
        <is>
          <t>E4</t>
        </is>
      </c>
      <c r="E48" s="10" t="inlineStr">
        <is>
          <t>Crítica</t>
        </is>
      </c>
      <c r="F48" s="9" t="n">
        <v>5</v>
      </c>
      <c r="G48" s="9" t="n">
        <v>5</v>
      </c>
      <c r="H48" s="9" t="n">
        <v>5</v>
      </c>
      <c r="I48" s="9" t="n">
        <v>5</v>
      </c>
      <c r="J48" s="5" t="n">
        <v>5</v>
      </c>
      <c r="K48" s="9">
        <f>MAX(F48:I48)</f>
        <v/>
      </c>
      <c r="L48" s="9">
        <f>MIN(F48:I48)</f>
        <v/>
      </c>
      <c r="M48" s="11" t="n">
        <v>5</v>
      </c>
      <c r="N48" s="12" t="inlineStr">
        <is>
          <t>Sprint 1</t>
        </is>
      </c>
    </row>
    <row r="49">
      <c r="B49" s="5" t="inlineStr">
        <is>
          <t>HU-44</t>
        </is>
      </c>
      <c r="C49" s="6" t="inlineStr">
        <is>
          <t>Reportar entradas y salidas semanales</t>
        </is>
      </c>
      <c r="D49" s="9" t="inlineStr">
        <is>
          <t>E4</t>
        </is>
      </c>
      <c r="E49" s="14" t="inlineStr">
        <is>
          <t>Media</t>
        </is>
      </c>
      <c r="F49" s="9" t="n">
        <v>3</v>
      </c>
      <c r="G49" s="9" t="n">
        <v>2</v>
      </c>
      <c r="H49" s="9" t="n">
        <v>3</v>
      </c>
      <c r="I49" s="9" t="n">
        <v>3</v>
      </c>
      <c r="J49" s="5" t="n">
        <v>3</v>
      </c>
      <c r="K49" s="9">
        <f>MAX(F49:I49)</f>
        <v/>
      </c>
      <c r="L49" s="9">
        <f>MIN(F49:I49)</f>
        <v/>
      </c>
      <c r="M49" s="11" t="n">
        <v>3</v>
      </c>
      <c r="N49" s="12" t="inlineStr">
        <is>
          <t>Sprint 2</t>
        </is>
      </c>
    </row>
    <row r="50">
      <c r="B50" s="5" t="inlineStr">
        <is>
          <t>HU-45</t>
        </is>
      </c>
      <c r="C50" s="6" t="inlineStr">
        <is>
          <t>Corregir movimientos</t>
        </is>
      </c>
      <c r="D50" s="9" t="inlineStr">
        <is>
          <t>E4</t>
        </is>
      </c>
      <c r="E50" s="10" t="inlineStr">
        <is>
          <t>Crítica</t>
        </is>
      </c>
      <c r="F50" s="9" t="n">
        <v>5</v>
      </c>
      <c r="G50" s="9" t="n">
        <v>5</v>
      </c>
      <c r="H50" s="9" t="n">
        <v>5</v>
      </c>
      <c r="I50" s="9" t="n">
        <v>5</v>
      </c>
      <c r="J50" s="5" t="n">
        <v>5</v>
      </c>
      <c r="K50" s="9">
        <f>MAX(F50:I50)</f>
        <v/>
      </c>
      <c r="L50" s="9">
        <f>MIN(F50:I50)</f>
        <v/>
      </c>
      <c r="M50" s="11" t="n">
        <v>5</v>
      </c>
      <c r="N50" s="12" t="inlineStr">
        <is>
          <t>Sprint 1</t>
        </is>
      </c>
    </row>
    <row r="51">
      <c r="B51" s="5" t="inlineStr">
        <is>
          <t>HU-46</t>
        </is>
      </c>
      <c r="C51" s="6" t="inlineStr">
        <is>
          <t>Hacer conteo físico</t>
        </is>
      </c>
      <c r="D51" s="9" t="inlineStr">
        <is>
          <t>E4</t>
        </is>
      </c>
      <c r="E51" s="13" t="inlineStr">
        <is>
          <t>Alta</t>
        </is>
      </c>
      <c r="F51" s="9" t="n">
        <v>5</v>
      </c>
      <c r="G51" s="9" t="n">
        <v>3</v>
      </c>
      <c r="H51" s="9" t="n">
        <v>5</v>
      </c>
      <c r="I51" s="9" t="n">
        <v>5</v>
      </c>
      <c r="J51" s="5" t="n">
        <v>5</v>
      </c>
      <c r="K51" s="9">
        <f>MAX(F51:I51)</f>
        <v/>
      </c>
      <c r="L51" s="9">
        <f>MIN(F51:I51)</f>
        <v/>
      </c>
      <c r="M51" s="11" t="n">
        <v>5</v>
      </c>
      <c r="N51" s="12" t="inlineStr">
        <is>
          <t>Sprint 2</t>
        </is>
      </c>
    </row>
    <row r="52">
      <c r="B52" s="5" t="inlineStr">
        <is>
          <t>HU-47</t>
        </is>
      </c>
      <c r="C52" s="6" t="inlineStr">
        <is>
          <t>Cerrar obra</t>
        </is>
      </c>
      <c r="D52" s="9" t="inlineStr">
        <is>
          <t>E4</t>
        </is>
      </c>
      <c r="E52" s="13" t="inlineStr">
        <is>
          <t>Alta</t>
        </is>
      </c>
      <c r="F52" s="9" t="n">
        <v>8</v>
      </c>
      <c r="G52" s="9" t="n">
        <v>5</v>
      </c>
      <c r="H52" s="9" t="n">
        <v>5</v>
      </c>
      <c r="I52" s="9" t="n">
        <v>5</v>
      </c>
      <c r="J52" s="5" t="n">
        <v>5</v>
      </c>
      <c r="K52" s="9">
        <f>MAX(F52:I52)</f>
        <v/>
      </c>
      <c r="L52" s="9">
        <f>MIN(F52:I52)</f>
        <v/>
      </c>
      <c r="M52" s="11" t="n">
        <v>5</v>
      </c>
      <c r="N52" s="12" t="inlineStr">
        <is>
          <t>Sprint 2</t>
        </is>
      </c>
    </row>
    <row r="53">
      <c r="B53" s="5" t="inlineStr">
        <is>
          <t>HU-48</t>
        </is>
      </c>
      <c r="C53" s="6" t="inlineStr">
        <is>
          <t>Ingresar herramientas</t>
        </is>
      </c>
      <c r="D53" s="9" t="inlineStr">
        <is>
          <t>E5</t>
        </is>
      </c>
      <c r="E53" s="13" t="inlineStr">
        <is>
          <t>Alta</t>
        </is>
      </c>
      <c r="F53" s="9" t="n">
        <v>5</v>
      </c>
      <c r="G53" s="9" t="n">
        <v>5</v>
      </c>
      <c r="H53" s="9" t="n">
        <v>5</v>
      </c>
      <c r="I53" s="9" t="n">
        <v>3</v>
      </c>
      <c r="J53" s="5" t="n">
        <v>5</v>
      </c>
      <c r="K53" s="9">
        <f>MAX(F53:I53)</f>
        <v/>
      </c>
      <c r="L53" s="9">
        <f>MIN(F53:I53)</f>
        <v/>
      </c>
      <c r="M53" s="11" t="n">
        <v>5</v>
      </c>
      <c r="N53" s="12" t="inlineStr">
        <is>
          <t>Sprint 2</t>
        </is>
      </c>
    </row>
    <row r="54">
      <c r="B54" s="5" t="inlineStr">
        <is>
          <t>HU-49</t>
        </is>
      </c>
      <c r="C54" s="6" t="inlineStr">
        <is>
          <t>Prestar herramientas</t>
        </is>
      </c>
      <c r="D54" s="9" t="inlineStr">
        <is>
          <t>E5</t>
        </is>
      </c>
      <c r="E54" s="13" t="inlineStr">
        <is>
          <t>Alta</t>
        </is>
      </c>
      <c r="F54" s="9" t="n">
        <v>5</v>
      </c>
      <c r="G54" s="9" t="n">
        <v>3</v>
      </c>
      <c r="H54" s="9" t="n">
        <v>3</v>
      </c>
      <c r="I54" s="9" t="n">
        <v>3</v>
      </c>
      <c r="J54" s="5" t="n">
        <v>3</v>
      </c>
      <c r="K54" s="9">
        <f>MAX(F54:I54)</f>
        <v/>
      </c>
      <c r="L54" s="9">
        <f>MIN(F54:I54)</f>
        <v/>
      </c>
      <c r="M54" s="11" t="n">
        <v>3</v>
      </c>
      <c r="N54" s="12" t="inlineStr">
        <is>
          <t>Sprint 2</t>
        </is>
      </c>
    </row>
    <row r="55">
      <c r="B55" s="5" t="inlineStr">
        <is>
          <t>HU-50</t>
        </is>
      </c>
      <c r="C55" s="6" t="inlineStr">
        <is>
          <t>Devolver herramientas</t>
        </is>
      </c>
      <c r="D55" s="9" t="inlineStr">
        <is>
          <t>E5</t>
        </is>
      </c>
      <c r="E55" s="13" t="inlineStr">
        <is>
          <t>Alta</t>
        </is>
      </c>
      <c r="F55" s="9" t="n">
        <v>3</v>
      </c>
      <c r="G55" s="9" t="n">
        <v>2</v>
      </c>
      <c r="H55" s="9" t="n">
        <v>3</v>
      </c>
      <c r="I55" s="9" t="n">
        <v>3</v>
      </c>
      <c r="J55" s="5" t="n">
        <v>3</v>
      </c>
      <c r="K55" s="9">
        <f>MAX(F55:I55)</f>
        <v/>
      </c>
      <c r="L55" s="9">
        <f>MIN(F55:I55)</f>
        <v/>
      </c>
      <c r="M55" s="11" t="n">
        <v>3</v>
      </c>
      <c r="N55" s="12" t="inlineStr">
        <is>
          <t>Sprint 2</t>
        </is>
      </c>
    </row>
    <row r="56">
      <c r="B56" s="5" t="inlineStr">
        <is>
          <t>HU-51</t>
        </is>
      </c>
      <c r="C56" s="6" t="inlineStr">
        <is>
          <t>Consultar quién tiene cada herramienta</t>
        </is>
      </c>
      <c r="D56" s="9" t="inlineStr">
        <is>
          <t>E5</t>
        </is>
      </c>
      <c r="E56" s="13" t="inlineStr">
        <is>
          <t>Alta</t>
        </is>
      </c>
      <c r="F56" s="9" t="n">
        <v>3</v>
      </c>
      <c r="G56" s="9" t="n">
        <v>3</v>
      </c>
      <c r="H56" s="9" t="n">
        <v>3</v>
      </c>
      <c r="I56" s="9" t="n">
        <v>3</v>
      </c>
      <c r="J56" s="5" t="n">
        <v>3</v>
      </c>
      <c r="K56" s="9">
        <f>MAX(F56:I56)</f>
        <v/>
      </c>
      <c r="L56" s="9">
        <f>MIN(F56:I56)</f>
        <v/>
      </c>
      <c r="M56" s="11" t="n">
        <v>3</v>
      </c>
      <c r="N56" s="12" t="inlineStr">
        <is>
          <t>Sprint 2</t>
        </is>
      </c>
    </row>
    <row r="57">
      <c r="B57" s="5" t="inlineStr">
        <is>
          <t>HU-52</t>
        </is>
      </c>
      <c r="C57" s="6" t="inlineStr">
        <is>
          <t>Registrar mantenimiento de herramienta</t>
        </is>
      </c>
      <c r="D57" s="9" t="inlineStr">
        <is>
          <t>E5</t>
        </is>
      </c>
      <c r="E57" s="14" t="inlineStr">
        <is>
          <t>Media</t>
        </is>
      </c>
      <c r="F57" s="9" t="n">
        <v>5</v>
      </c>
      <c r="G57" s="9" t="n">
        <v>3</v>
      </c>
      <c r="H57" s="9" t="n">
        <v>3</v>
      </c>
      <c r="I57" s="9" t="n">
        <v>3</v>
      </c>
      <c r="J57" s="5" t="n">
        <v>3</v>
      </c>
      <c r="K57" s="9">
        <f>MAX(F57:I57)</f>
        <v/>
      </c>
      <c r="L57" s="9">
        <f>MIN(F57:I57)</f>
        <v/>
      </c>
      <c r="M57" s="11" t="n">
        <v>3</v>
      </c>
      <c r="N57" s="12" t="inlineStr">
        <is>
          <t>Sprint 2</t>
        </is>
      </c>
    </row>
    <row r="58">
      <c r="B58" s="5" t="inlineStr">
        <is>
          <t>HU-53</t>
        </is>
      </c>
      <c r="C58" s="6" t="inlineStr">
        <is>
          <t>Dar de baja herramienta</t>
        </is>
      </c>
      <c r="D58" s="9" t="inlineStr">
        <is>
          <t>E5</t>
        </is>
      </c>
      <c r="E58" s="14" t="inlineStr">
        <is>
          <t>Media</t>
        </is>
      </c>
      <c r="F58" s="9" t="n">
        <v>3</v>
      </c>
      <c r="G58" s="9" t="n">
        <v>2</v>
      </c>
      <c r="H58" s="9" t="n">
        <v>2</v>
      </c>
      <c r="I58" s="9" t="n">
        <v>2</v>
      </c>
      <c r="J58" s="5" t="n">
        <v>2</v>
      </c>
      <c r="K58" s="9">
        <f>MAX(F58:I58)</f>
        <v/>
      </c>
      <c r="L58" s="9">
        <f>MIN(F58:I58)</f>
        <v/>
      </c>
      <c r="M58" s="11" t="n">
        <v>2</v>
      </c>
      <c r="N58" s="12" t="inlineStr">
        <is>
          <t>Sprint 2</t>
        </is>
      </c>
    </row>
    <row r="59">
      <c r="B59" s="5" t="inlineStr">
        <is>
          <t>HU-54</t>
        </is>
      </c>
      <c r="C59" s="6" t="inlineStr">
        <is>
          <t>Revisar herramientas al cierre</t>
        </is>
      </c>
      <c r="D59" s="9" t="inlineStr">
        <is>
          <t>E5</t>
        </is>
      </c>
      <c r="E59" s="13" t="inlineStr">
        <is>
          <t>Alta</t>
        </is>
      </c>
      <c r="F59" s="9" t="n">
        <v>5</v>
      </c>
      <c r="G59" s="9" t="n">
        <v>3</v>
      </c>
      <c r="H59" s="9" t="n">
        <v>3</v>
      </c>
      <c r="I59" s="9" t="n">
        <v>3</v>
      </c>
      <c r="J59" s="5" t="n">
        <v>3</v>
      </c>
      <c r="K59" s="9">
        <f>MAX(F59:I59)</f>
        <v/>
      </c>
      <c r="L59" s="9">
        <f>MIN(F59:I59)</f>
        <v/>
      </c>
      <c r="M59" s="11" t="n">
        <v>3</v>
      </c>
      <c r="N59" s="12" t="inlineStr">
        <is>
          <t>Sprint 2</t>
        </is>
      </c>
    </row>
    <row r="60">
      <c r="B60" s="5" t="inlineStr">
        <is>
          <t>HU-55</t>
        </is>
      </c>
      <c r="C60" s="6" t="inlineStr">
        <is>
          <t>Valorizar salidas</t>
        </is>
      </c>
      <c r="D60" s="9" t="inlineStr">
        <is>
          <t>E6</t>
        </is>
      </c>
      <c r="E60" s="10" t="inlineStr">
        <is>
          <t>Crítica</t>
        </is>
      </c>
      <c r="F60" s="9" t="n">
        <v>13</v>
      </c>
      <c r="G60" s="9" t="n">
        <v>8</v>
      </c>
      <c r="H60" s="9" t="n">
        <v>8</v>
      </c>
      <c r="I60" s="9" t="n">
        <v>8</v>
      </c>
      <c r="J60" s="5" t="n">
        <v>8</v>
      </c>
      <c r="K60" s="9">
        <f>MAX(F60:I60)</f>
        <v/>
      </c>
      <c r="L60" s="9">
        <f>MIN(F60:I60)</f>
        <v/>
      </c>
      <c r="M60" s="11" t="n">
        <v>8</v>
      </c>
      <c r="N60" s="12" t="inlineStr">
        <is>
          <t>Sprint 1</t>
        </is>
      </c>
    </row>
    <row r="61">
      <c r="B61" s="5" t="inlineStr">
        <is>
          <t>HU-56</t>
        </is>
      </c>
      <c r="C61" s="6" t="inlineStr">
        <is>
          <t>Consultar inventario valorizado</t>
        </is>
      </c>
      <c r="D61" s="9" t="inlineStr">
        <is>
          <t>E6</t>
        </is>
      </c>
      <c r="E61" s="13" t="inlineStr">
        <is>
          <t>Alta</t>
        </is>
      </c>
      <c r="F61" s="9" t="n">
        <v>5</v>
      </c>
      <c r="G61" s="9" t="n">
        <v>3</v>
      </c>
      <c r="H61" s="9" t="n">
        <v>3</v>
      </c>
      <c r="I61" s="9" t="n">
        <v>3</v>
      </c>
      <c r="J61" s="5" t="n">
        <v>3</v>
      </c>
      <c r="K61" s="9">
        <f>MAX(F61:I61)</f>
        <v/>
      </c>
      <c r="L61" s="9">
        <f>MIN(F61:I61)</f>
        <v/>
      </c>
      <c r="M61" s="11" t="n">
        <v>3</v>
      </c>
      <c r="N61" s="12" t="inlineStr">
        <is>
          <t>Sprint 2</t>
        </is>
      </c>
    </row>
    <row r="62">
      <c r="B62" s="5" t="inlineStr">
        <is>
          <t>HU-57</t>
        </is>
      </c>
      <c r="C62" s="6" t="inlineStr">
        <is>
          <t>Comparar consumo vs. lo planificado</t>
        </is>
      </c>
      <c r="D62" s="9" t="inlineStr">
        <is>
          <t>E6</t>
        </is>
      </c>
      <c r="E62" s="10" t="inlineStr">
        <is>
          <t>Crítica</t>
        </is>
      </c>
      <c r="F62" s="9" t="n">
        <v>13</v>
      </c>
      <c r="G62" s="9" t="n">
        <v>8</v>
      </c>
      <c r="H62" s="9" t="n">
        <v>8</v>
      </c>
      <c r="I62" s="9" t="n">
        <v>8</v>
      </c>
      <c r="J62" s="5" t="n">
        <v>8</v>
      </c>
      <c r="K62" s="9">
        <f>MAX(F62:I62)</f>
        <v/>
      </c>
      <c r="L62" s="9">
        <f>MIN(F62:I62)</f>
        <v/>
      </c>
      <c r="M62" s="11" t="n">
        <v>8</v>
      </c>
      <c r="N62" s="12" t="inlineStr">
        <is>
          <t>Sprint 1</t>
        </is>
      </c>
    </row>
    <row r="63">
      <c r="B63" s="5" t="inlineStr">
        <is>
          <t>HU-58</t>
        </is>
      </c>
      <c r="C63" s="6" t="inlineStr">
        <is>
          <t>Consultar gasto en recursos</t>
        </is>
      </c>
      <c r="D63" s="9" t="inlineStr">
        <is>
          <t>E6</t>
        </is>
      </c>
      <c r="E63" s="13" t="inlineStr">
        <is>
          <t>Alta</t>
        </is>
      </c>
      <c r="F63" s="9" t="n">
        <v>8</v>
      </c>
      <c r="G63" s="9" t="n">
        <v>5</v>
      </c>
      <c r="H63" s="9" t="n">
        <v>5</v>
      </c>
      <c r="I63" s="9" t="n">
        <v>5</v>
      </c>
      <c r="J63" s="5" t="n">
        <v>5</v>
      </c>
      <c r="K63" s="9">
        <f>MAX(F63:I63)</f>
        <v/>
      </c>
      <c r="L63" s="9">
        <f>MIN(F63:I63)</f>
        <v/>
      </c>
      <c r="M63" s="11" t="n">
        <v>5</v>
      </c>
      <c r="N63" s="12" t="inlineStr">
        <is>
          <t>Sprint 2</t>
        </is>
      </c>
    </row>
    <row r="64">
      <c r="B64" s="5" t="inlineStr">
        <is>
          <t>HU-59</t>
        </is>
      </c>
      <c r="C64" s="6" t="inlineStr">
        <is>
          <t>Separar IGV del costo</t>
        </is>
      </c>
      <c r="D64" s="9" t="inlineStr">
        <is>
          <t>E6</t>
        </is>
      </c>
      <c r="E64" s="9" t="inlineStr">
        <is>
          <t>Baja</t>
        </is>
      </c>
      <c r="F64" s="9" t="n">
        <v>5</v>
      </c>
      <c r="G64" s="9" t="n">
        <v>3</v>
      </c>
      <c r="H64" s="9" t="n">
        <v>3</v>
      </c>
      <c r="I64" s="9" t="n">
        <v>3</v>
      </c>
      <c r="J64" s="5" t="n">
        <v>3</v>
      </c>
      <c r="K64" s="9">
        <f>MAX(F64:I64)</f>
        <v/>
      </c>
      <c r="L64" s="9">
        <f>MIN(F64:I64)</f>
        <v/>
      </c>
      <c r="M64" s="11" t="n">
        <v>3</v>
      </c>
      <c r="N64" s="12" t="inlineStr">
        <is>
          <t>Sprint 2</t>
        </is>
      </c>
    </row>
    <row r="65">
      <c r="B65" s="5" t="inlineStr">
        <is>
          <t>HU-60</t>
        </is>
      </c>
      <c r="C65" s="6" t="inlineStr">
        <is>
          <t>Listar facturas</t>
        </is>
      </c>
      <c r="D65" s="9" t="inlineStr">
        <is>
          <t>E6</t>
        </is>
      </c>
      <c r="E65" s="14" t="inlineStr">
        <is>
          <t>Media</t>
        </is>
      </c>
      <c r="F65" s="9" t="n">
        <v>3</v>
      </c>
      <c r="G65" s="9" t="n">
        <v>5</v>
      </c>
      <c r="H65" s="9" t="n">
        <v>3</v>
      </c>
      <c r="I65" s="9" t="n">
        <v>3</v>
      </c>
      <c r="J65" s="5" t="n">
        <v>3</v>
      </c>
      <c r="K65" s="9">
        <f>MAX(F65:I65)</f>
        <v/>
      </c>
      <c r="L65" s="9">
        <f>MIN(F65:I65)</f>
        <v/>
      </c>
      <c r="M65" s="11" t="n">
        <v>3</v>
      </c>
      <c r="N65" s="12" t="inlineStr">
        <is>
          <t>Sprint 2</t>
        </is>
      </c>
    </row>
    <row r="66">
      <c r="B66" s="5" t="inlineStr">
        <is>
          <t>HU-61</t>
        </is>
      </c>
      <c r="C66" s="6" t="inlineStr">
        <is>
          <t>Descargar comprobante</t>
        </is>
      </c>
      <c r="D66" s="9" t="inlineStr">
        <is>
          <t>E6</t>
        </is>
      </c>
      <c r="E66" s="14" t="inlineStr">
        <is>
          <t>Media</t>
        </is>
      </c>
      <c r="F66" s="9" t="n">
        <v>3</v>
      </c>
      <c r="G66" s="9" t="n">
        <v>2</v>
      </c>
      <c r="H66" s="9" t="n">
        <v>3</v>
      </c>
      <c r="I66" s="9" t="n">
        <v>2</v>
      </c>
      <c r="J66" s="5" t="inlineStr">
        <is>
          <t>3*</t>
        </is>
      </c>
      <c r="K66" s="9">
        <f>MAX(F66:I66)</f>
        <v/>
      </c>
      <c r="L66" s="9">
        <f>MIN(F66:I66)</f>
        <v/>
      </c>
      <c r="M66" s="11" t="n">
        <v>3</v>
      </c>
      <c r="N66" s="12" t="inlineStr">
        <is>
          <t>Sprint 2</t>
        </is>
      </c>
    </row>
    <row r="67">
      <c r="B67" s="5" t="inlineStr">
        <is>
          <t>HU-62</t>
        </is>
      </c>
      <c r="C67" s="6" t="inlineStr">
        <is>
          <t>Registrar trabajadores</t>
        </is>
      </c>
      <c r="D67" s="9" t="inlineStr">
        <is>
          <t>E7</t>
        </is>
      </c>
      <c r="E67" s="13" t="inlineStr">
        <is>
          <t>Alta</t>
        </is>
      </c>
      <c r="F67" s="9" t="n">
        <v>3</v>
      </c>
      <c r="G67" s="9" t="n">
        <v>3</v>
      </c>
      <c r="H67" s="9" t="n">
        <v>2</v>
      </c>
      <c r="I67" s="9" t="n">
        <v>3</v>
      </c>
      <c r="J67" s="5" t="n">
        <v>3</v>
      </c>
      <c r="K67" s="9">
        <f>MAX(F67:I67)</f>
        <v/>
      </c>
      <c r="L67" s="9">
        <f>MIN(F67:I67)</f>
        <v/>
      </c>
      <c r="M67" s="11" t="n">
        <v>3</v>
      </c>
      <c r="N67" s="12" t="inlineStr">
        <is>
          <t>Sprint 1</t>
        </is>
      </c>
    </row>
    <row r="68">
      <c r="B68" s="5" t="inlineStr">
        <is>
          <t>HU-63</t>
        </is>
      </c>
      <c r="C68" s="6" t="inlineStr">
        <is>
          <t>Tomar asistencia</t>
        </is>
      </c>
      <c r="D68" s="9" t="inlineStr">
        <is>
          <t>E7</t>
        </is>
      </c>
      <c r="E68" s="10" t="inlineStr">
        <is>
          <t>Crítica</t>
        </is>
      </c>
      <c r="F68" s="9" t="n">
        <v>8</v>
      </c>
      <c r="G68" s="9" t="n">
        <v>5</v>
      </c>
      <c r="H68" s="9" t="n">
        <v>3</v>
      </c>
      <c r="I68" s="9" t="n">
        <v>5</v>
      </c>
      <c r="J68" s="5" t="n">
        <v>5</v>
      </c>
      <c r="K68" s="9">
        <f>MAX(F68:I68)</f>
        <v/>
      </c>
      <c r="L68" s="9">
        <f>MIN(F68:I68)</f>
        <v/>
      </c>
      <c r="M68" s="11" t="n">
        <v>5</v>
      </c>
      <c r="N68" s="12" t="inlineStr">
        <is>
          <t>Sprint 1</t>
        </is>
      </c>
    </row>
    <row r="69">
      <c r="B69" s="5" t="inlineStr">
        <is>
          <t>HU-64</t>
        </is>
      </c>
      <c r="C69" s="6" t="inlineStr">
        <is>
          <t>Consultar horas acumuladas</t>
        </is>
      </c>
      <c r="D69" s="9" t="inlineStr">
        <is>
          <t>E7</t>
        </is>
      </c>
      <c r="E69" s="13" t="inlineStr">
        <is>
          <t>Alta</t>
        </is>
      </c>
      <c r="F69" s="9" t="n">
        <v>3</v>
      </c>
      <c r="G69" s="9" t="n">
        <v>3</v>
      </c>
      <c r="H69" s="9" t="n">
        <v>5</v>
      </c>
      <c r="I69" s="9" t="n">
        <v>3</v>
      </c>
      <c r="J69" s="5" t="n">
        <v>3</v>
      </c>
      <c r="K69" s="9">
        <f>MAX(F69:I69)</f>
        <v/>
      </c>
      <c r="L69" s="9">
        <f>MIN(F69:I69)</f>
        <v/>
      </c>
      <c r="M69" s="11" t="n">
        <v>3</v>
      </c>
      <c r="N69" s="12" t="inlineStr">
        <is>
          <t>Sprint 2</t>
        </is>
      </c>
    </row>
    <row r="70">
      <c r="B70" s="5" t="inlineStr">
        <is>
          <t>HU-65</t>
        </is>
      </c>
      <c r="C70" s="6" t="inlineStr">
        <is>
          <t>Consultar costo de mano de obra</t>
        </is>
      </c>
      <c r="D70" s="9" t="inlineStr">
        <is>
          <t>E7</t>
        </is>
      </c>
      <c r="E70" s="13" t="inlineStr">
        <is>
          <t>Alta</t>
        </is>
      </c>
      <c r="F70" s="9" t="n">
        <v>5</v>
      </c>
      <c r="G70" s="9" t="n">
        <v>5</v>
      </c>
      <c r="H70" s="9" t="n">
        <v>3</v>
      </c>
      <c r="I70" s="9" t="n">
        <v>5</v>
      </c>
      <c r="J70" s="5" t="n">
        <v>5</v>
      </c>
      <c r="K70" s="9">
        <f>MAX(F70:I70)</f>
        <v/>
      </c>
      <c r="L70" s="9">
        <f>MIN(F70:I70)</f>
        <v/>
      </c>
      <c r="M70" s="11" t="n">
        <v>5</v>
      </c>
      <c r="N70" s="12" t="inlineStr">
        <is>
          <t>Sprint 2</t>
        </is>
      </c>
    </row>
    <row r="71">
      <c r="B71" s="5" t="inlineStr">
        <is>
          <t>HU-66</t>
        </is>
      </c>
      <c r="C71" s="6" t="inlineStr">
        <is>
          <t>Hacer solicitud de materiales</t>
        </is>
      </c>
      <c r="D71" s="9" t="inlineStr">
        <is>
          <t>E2</t>
        </is>
      </c>
      <c r="E71" s="13" t="inlineStr">
        <is>
          <t>Alta</t>
        </is>
      </c>
      <c r="F71" s="9" t="n">
        <v>3</v>
      </c>
      <c r="G71" s="9" t="n">
        <v>5</v>
      </c>
      <c r="H71" s="9" t="n">
        <v>5</v>
      </c>
      <c r="I71" s="9" t="n">
        <v>3</v>
      </c>
      <c r="J71" s="5" t="inlineStr">
        <is>
          <t>5*</t>
        </is>
      </c>
      <c r="K71" s="9">
        <f>MAX(F71:I71)</f>
        <v/>
      </c>
      <c r="L71" s="9">
        <f>MIN(F71:I71)</f>
        <v/>
      </c>
      <c r="M71" s="11" t="n">
        <v>5</v>
      </c>
      <c r="N71" s="12" t="inlineStr">
        <is>
          <t>Sprint 2</t>
        </is>
      </c>
    </row>
    <row r="72">
      <c r="B72" s="5" t="inlineStr">
        <is>
          <t>HU-67</t>
        </is>
      </c>
      <c r="C72" s="6" t="inlineStr">
        <is>
          <t>Seguir estado de la solicitud</t>
        </is>
      </c>
      <c r="D72" s="9" t="inlineStr">
        <is>
          <t>E2</t>
        </is>
      </c>
      <c r="E72" s="13" t="inlineStr">
        <is>
          <t>Alta</t>
        </is>
      </c>
      <c r="F72" s="9" t="n">
        <v>8</v>
      </c>
      <c r="G72" s="9" t="n">
        <v>5</v>
      </c>
      <c r="H72" s="9" t="n">
        <v>3</v>
      </c>
      <c r="I72" s="9" t="n">
        <v>3</v>
      </c>
      <c r="J72" s="5" t="n">
        <v>3</v>
      </c>
      <c r="K72" s="9">
        <f>MAX(F72:I72)</f>
        <v/>
      </c>
      <c r="L72" s="9">
        <f>MIN(F72:I72)</f>
        <v/>
      </c>
      <c r="M72" s="11" t="n">
        <v>3</v>
      </c>
      <c r="N72" s="12" t="inlineStr">
        <is>
          <t>Sprint 2</t>
        </is>
      </c>
    </row>
    <row r="73">
      <c r="B73" s="4" t="inlineStr">
        <is>
          <t>Total</t>
        </is>
      </c>
      <c r="C73" s="4">
        <f>COUNTA(B6:B72)&amp;" historias"</f>
        <v/>
      </c>
      <c r="D73" s="15" t="inlineStr"/>
      <c r="E73" s="15" t="inlineStr"/>
      <c r="F73" s="15" t="inlineStr"/>
      <c r="G73" s="15" t="inlineStr"/>
      <c r="H73" s="15" t="inlineStr"/>
      <c r="I73" s="15" t="inlineStr"/>
      <c r="J73" s="15" t="inlineStr"/>
      <c r="K73" s="15" t="inlineStr"/>
      <c r="L73" s="15" t="inlineStr"/>
      <c r="M73" s="11">
        <f>SUM(M6:M72)</f>
        <v/>
      </c>
      <c r="N73" s="15" t="inlineStr"/>
    </row>
    <row r="74">
      <c r="B74" s="16" t="inlineStr">
        <is>
          <t>* Empate 2 a 2 entre dos valores: se toma el mayor, para no subestimar.</t>
        </is>
      </c>
    </row>
    <row r="76">
      <c r="B76" s="17" t="inlineStr">
        <is>
          <t>Puntos por sprint</t>
        </is>
      </c>
    </row>
    <row r="77" ht="20" customHeight="1">
      <c r="B77" s="3" t="inlineStr">
        <is>
          <t>Sprint</t>
        </is>
      </c>
      <c r="C77" s="3" t="inlineStr">
        <is>
          <t>Historias</t>
        </is>
      </c>
      <c r="D77" s="3" t="inlineStr">
        <is>
          <t>Puntos</t>
        </is>
      </c>
    </row>
    <row r="78">
      <c r="B78" s="6" t="inlineStr">
        <is>
          <t>Sprint 1</t>
        </is>
      </c>
      <c r="C78" s="9">
        <f>COUNTIF(N6:N72,"Sprint 1")</f>
        <v/>
      </c>
      <c r="D78" s="9">
        <f>SUMIF(N6:N72,"Sprint 1",M6:M72)</f>
        <v/>
      </c>
    </row>
    <row r="79">
      <c r="B79" s="6" t="inlineStr">
        <is>
          <t>Sprint 2</t>
        </is>
      </c>
      <c r="C79" s="9">
        <f>COUNTIF(N6:N72,"Sprint 2")</f>
        <v/>
      </c>
      <c r="D79" s="9">
        <f>SUMIF(N6:N72,"Sprint 2",M6:M72)</f>
        <v/>
      </c>
    </row>
  </sheetData>
  <mergeCells count="3">
    <mergeCell ref="B74:N74"/>
    <mergeCell ref="B3:N3"/>
    <mergeCell ref="B2:N2"/>
  </mergeCells>
  <pageMargins left="0.4" right="0.4"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B2:O1952"/>
  <sheetViews>
    <sheetView showGridLines="0" workbookViewId="0">
      <selection activeCell="A1" sqref="A1"/>
    </sheetView>
  </sheetViews>
  <sheetFormatPr baseColWidth="8" defaultRowHeight="15"/>
  <cols>
    <col width="2" customWidth="1" min="1" max="1"/>
    <col width="6.5" customWidth="1" min="2" max="2"/>
    <col width="26" customWidth="1" min="3" max="3"/>
    <col width="10" customWidth="1" min="4" max="4"/>
    <col width="10" customWidth="1" min="5" max="5"/>
    <col width="2" customWidth="1" min="6" max="6"/>
    <col width="6.5" customWidth="1" min="7" max="7"/>
    <col width="36" customWidth="1" min="8" max="8"/>
    <col width="10" customWidth="1" min="9" max="9"/>
    <col width="10" customWidth="1" min="10" max="10"/>
    <col width="2" customWidth="1" min="11" max="11"/>
    <col width="6.5" customWidth="1" min="12" max="12"/>
    <col width="36" customWidth="1" min="13" max="13"/>
    <col width="10" customWidth="1" min="14" max="14"/>
    <col width="10" customWidth="1" min="15" max="15"/>
    <col width="2" customWidth="1" min="16" max="16"/>
  </cols>
  <sheetData>
    <row r="2" ht="26" customHeight="1">
      <c r="B2" s="1" t="inlineStr">
        <is>
          <t>PRODUCT BACKLOG · Tarjetas de las historias (Historia · Definición de Listo · Definición de Terminado)</t>
        </is>
      </c>
    </row>
    <row r="3">
      <c r="B3" s="2" t="inlineStr">
        <is>
          <t>67 historias de usuario + 8 técnicas · 225 tarjetas · una historia por página al imprimir · criterios completos en la hoja «3. Criterios DoR y DoD»</t>
        </is>
      </c>
    </row>
    <row r="5">
      <c r="B5" s="18" t="inlineStr">
        <is>
          <t>HU-01 · Crear proyecto</t>
        </is>
      </c>
    </row>
    <row r="6" ht="18" customHeight="1">
      <c r="B6" s="19" t="inlineStr">
        <is>
          <t>TARJETA 1 · Historia de usuario</t>
        </is>
      </c>
      <c r="C6" s="20" t="n"/>
      <c r="D6" s="20" t="n"/>
      <c r="E6" s="21" t="n"/>
      <c r="G6" s="19" t="inlineStr">
        <is>
          <t>TARJETA 2 · Definición de Listo</t>
        </is>
      </c>
      <c r="H6" s="20" t="n"/>
      <c r="I6" s="20" t="n"/>
      <c r="J6" s="21" t="n"/>
      <c r="L6" s="19" t="inlineStr">
        <is>
          <t>TARJETA 3 · Definición de Terminado</t>
        </is>
      </c>
      <c r="M6" s="20" t="n"/>
      <c r="N6" s="20" t="n"/>
      <c r="O6" s="21" t="n"/>
    </row>
    <row r="7" ht="28" customHeight="1">
      <c r="B7" s="22" t="inlineStr">
        <is>
          <t>La unidad con la que se planifica, se estima y se acepta el trabajo</t>
        </is>
      </c>
      <c r="C7" s="8" t="n"/>
      <c r="D7" s="8" t="n"/>
      <c r="E7" s="23" t="n"/>
      <c r="G7" s="22" t="inlineStr">
        <is>
          <t>El enfoque está en la consideración del equipo de desarrollo sobre si la historia está lista para un Sprint</t>
        </is>
      </c>
      <c r="H7" s="8" t="n"/>
      <c r="I7" s="8" t="n"/>
      <c r="J7" s="23" t="n"/>
      <c r="L7" s="22" t="inlineStr">
        <is>
          <t>El enfoque está en la aceptación del cliente cuando se le entregue el producto</t>
        </is>
      </c>
      <c r="M7" s="8" t="n"/>
      <c r="N7" s="8" t="n"/>
      <c r="O7" s="23" t="n"/>
    </row>
    <row r="8">
      <c r="B8" s="24" t="inlineStr">
        <is>
          <t>Historia de usuario</t>
        </is>
      </c>
      <c r="C8" s="8" t="n"/>
      <c r="D8" s="25" t="inlineStr">
        <is>
          <t>Prioridad</t>
        </is>
      </c>
      <c r="E8" s="26" t="inlineStr">
        <is>
          <t>Estimación</t>
        </is>
      </c>
      <c r="G8" s="24" t="inlineStr">
        <is>
          <t>Historia de usuario</t>
        </is>
      </c>
      <c r="H8" s="8" t="n"/>
      <c r="I8" s="25" t="inlineStr">
        <is>
          <t>Prioridad</t>
        </is>
      </c>
      <c r="J8" s="26" t="inlineStr">
        <is>
          <t>Estimación</t>
        </is>
      </c>
      <c r="L8" s="24" t="inlineStr">
        <is>
          <t>Historia de usuario</t>
        </is>
      </c>
      <c r="M8" s="8" t="n"/>
      <c r="N8" s="25" t="inlineStr">
        <is>
          <t>Prioridad</t>
        </is>
      </c>
      <c r="O8" s="26" t="inlineStr">
        <is>
          <t>Estimación</t>
        </is>
      </c>
    </row>
    <row r="9" ht="30" customHeight="1">
      <c r="B9" s="27" t="inlineStr">
        <is>
          <t>HU-01 · Crear proyecto</t>
        </is>
      </c>
      <c r="C9" s="8" t="n"/>
      <c r="D9" s="9" t="inlineStr">
        <is>
          <t>Crítica</t>
        </is>
      </c>
      <c r="E9" s="28" t="inlineStr">
        <is>
          <t>3 pts</t>
        </is>
      </c>
      <c r="G9" s="27" t="inlineStr">
        <is>
          <t>HU-01 · Crear proyecto</t>
        </is>
      </c>
      <c r="H9" s="8" t="n"/>
      <c r="I9" s="9" t="inlineStr">
        <is>
          <t>Crítica</t>
        </is>
      </c>
      <c r="J9" s="28" t="inlineStr">
        <is>
          <t>3 pts</t>
        </is>
      </c>
      <c r="L9" s="27" t="inlineStr">
        <is>
          <t>HU-01 · Crear proyecto</t>
        </is>
      </c>
      <c r="M9" s="8" t="n"/>
      <c r="N9" s="9" t="inlineStr">
        <is>
          <t>Crítica</t>
        </is>
      </c>
      <c r="O9" s="28" t="inlineStr">
        <is>
          <t>3 pts</t>
        </is>
      </c>
    </row>
    <row r="10">
      <c r="B10" s="29" t="inlineStr">
        <is>
          <t>Descripción:</t>
        </is>
      </c>
      <c r="C10" s="8" t="n"/>
      <c r="D10" s="8" t="n"/>
      <c r="E10" s="23" t="n"/>
      <c r="G10" s="29" t="inlineStr">
        <is>
          <t>Descripción:</t>
        </is>
      </c>
      <c r="H10" s="8" t="n"/>
      <c r="I10" s="8" t="n"/>
      <c r="J10" s="23" t="n"/>
      <c r="L10" s="29" t="inlineStr">
        <is>
          <t>Descripción:</t>
        </is>
      </c>
      <c r="M10" s="8" t="n"/>
      <c r="N10" s="8" t="n"/>
      <c r="O10" s="23" t="n"/>
    </row>
    <row r="11" ht="28" customHeight="1">
      <c r="B11" s="30" t="inlineStr">
        <is>
          <t>Como residente de obra, quiero crear el proyecto con su nombre y su plazo, para acotar todo el movimiento a ese periodo.</t>
        </is>
      </c>
      <c r="C11" s="8" t="n"/>
      <c r="D11" s="8" t="n"/>
      <c r="E11" s="23" t="n"/>
      <c r="G11" s="30" t="inlineStr">
        <is>
          <t>Como residente de obra, quiero crear el proyecto con su nombre y su plazo, para acotar todo el movimiento a ese periodo.</t>
        </is>
      </c>
      <c r="H11" s="8" t="n"/>
      <c r="I11" s="8" t="n"/>
      <c r="J11" s="23" t="n"/>
      <c r="L11" s="30" t="inlineStr">
        <is>
          <t>Como residente de obra, quiero crear el proyecto con su nombre y su plazo, para acotar todo el movimiento a ese periodo.</t>
        </is>
      </c>
      <c r="M11" s="8" t="n"/>
      <c r="N11" s="8" t="n"/>
      <c r="O11" s="23" t="n"/>
    </row>
    <row r="12" ht="28" customHeight="1">
      <c r="B12" s="31" t="n"/>
      <c r="C12" s="8" t="n"/>
      <c r="D12" s="8" t="n"/>
      <c r="E12" s="23" t="n"/>
      <c r="G12" s="31" t="n"/>
      <c r="H12" s="8" t="n"/>
      <c r="I12" s="8" t="n"/>
      <c r="J12" s="23" t="n"/>
      <c r="L12" s="31" t="n"/>
      <c r="M12" s="8" t="n"/>
      <c r="N12" s="8" t="n"/>
      <c r="O12" s="23" t="n"/>
    </row>
    <row r="13">
      <c r="B13" s="29" t="inlineStr">
        <is>
          <t>Ficha de la historia</t>
        </is>
      </c>
      <c r="C13" s="8" t="n"/>
      <c r="D13" s="8" t="n"/>
      <c r="E13" s="23" t="n"/>
      <c r="G13" s="29" t="inlineStr">
        <is>
          <t>Criterios de listo:</t>
        </is>
      </c>
      <c r="H13" s="8" t="n"/>
      <c r="I13" s="8" t="n"/>
      <c r="J13" s="23" t="n"/>
      <c r="L13" s="29" t="inlineStr">
        <is>
          <t>Condiciones finales (se marcan cuando el PO acepta la HU en la Review):</t>
        </is>
      </c>
      <c r="M13" s="8" t="n"/>
      <c r="N13" s="8" t="n"/>
      <c r="O13" s="23" t="n"/>
    </row>
    <row r="14" ht="30" customHeight="1">
      <c r="B14" s="32" t="inlineStr">
        <is>
          <t>Épica: E1. Preparar la obra y su control</t>
        </is>
      </c>
      <c r="C14" s="8" t="n"/>
      <c r="D14" s="8" t="n"/>
      <c r="E14" s="23" t="n"/>
      <c r="G14" s="33" t="inlineStr">
        <is>
          <t>( x )</t>
        </is>
      </c>
      <c r="H14" s="34" t="inlineStr">
        <is>
          <t>L1 · Redactada en el formato acordado — Cumple</t>
        </is>
      </c>
      <c r="I14" s="8" t="n"/>
      <c r="J14" s="23" t="n"/>
      <c r="L14" s="35" t="inlineStr">
        <is>
          <t>(    )</t>
        </is>
      </c>
      <c r="M14" s="34" t="inlineStr">
        <is>
          <t>El proyecto se ha registrado con su nombre, fecha de inicio y fecha de fin</t>
        </is>
      </c>
      <c r="N14" s="8" t="n"/>
      <c r="O14" s="23" t="n"/>
    </row>
    <row r="15" ht="30" customHeight="1">
      <c r="B15" s="32" t="inlineStr">
        <is>
          <t>Módulo: Proyectos / Configuración</t>
        </is>
      </c>
      <c r="C15" s="8" t="n"/>
      <c r="D15" s="8" t="n"/>
      <c r="E15" s="23" t="n"/>
      <c r="G15" s="33" t="inlineStr">
        <is>
          <t>( x )</t>
        </is>
      </c>
      <c r="H15" s="34" t="inlineStr">
        <is>
          <t>L2 · Nombre corto en forma de acción — Cumple</t>
        </is>
      </c>
      <c r="I15" s="8" t="n"/>
      <c r="J15" s="23" t="n"/>
      <c r="L15" s="35" t="inlineStr">
        <is>
          <t>(    )</t>
        </is>
      </c>
      <c r="M15" s="34" t="inlineStr">
        <is>
          <t>Se ha validado que la fecha de fin no es anterior a la de inicio; si lo es, se ha rechazado</t>
        </is>
      </c>
      <c r="N15" s="8" t="n"/>
      <c r="O15" s="23" t="n"/>
    </row>
    <row r="16" ht="30" customHeight="1">
      <c r="B16" s="32" t="inlineStr">
        <is>
          <t>Responsable técnico: Backend · Henry Ticona</t>
        </is>
      </c>
      <c r="C16" s="8" t="n"/>
      <c r="D16" s="8" t="n"/>
      <c r="E16" s="23" t="n"/>
      <c r="G16" s="33" t="inlineStr">
        <is>
          <t>( x )</t>
        </is>
      </c>
      <c r="H16" s="34" t="inlineStr">
        <is>
          <t>L3 · Criterios de aceptación escritos — Cumple</t>
        </is>
      </c>
      <c r="I16" s="8" t="n"/>
      <c r="J16" s="23" t="n"/>
      <c r="L16" s="35" t="inlineStr">
        <is>
          <t>(    )</t>
        </is>
      </c>
      <c r="M16" s="34" t="inlineStr">
        <is>
          <t>El proyecto ha quedado en estado «en ejecución»</t>
        </is>
      </c>
      <c r="N16" s="8" t="n"/>
      <c r="O16" s="23" t="n"/>
    </row>
    <row r="17" ht="30" customHeight="1">
      <c r="B17" s="36" t="inlineStr">
        <is>
          <t>Depende de: Ninguna</t>
        </is>
      </c>
      <c r="C17" s="37" t="n"/>
      <c r="D17" s="37" t="n"/>
      <c r="E17" s="38" t="n"/>
      <c r="G17" s="33" t="inlineStr">
        <is>
          <t>( x )</t>
        </is>
      </c>
      <c r="H17" s="34" t="inlineStr">
        <is>
          <t>L4 · Dependencias resueltas — Cumple</t>
        </is>
      </c>
      <c r="I17" s="8" t="n"/>
      <c r="J17" s="23" t="n"/>
      <c r="L17" s="35" t="inlineStr">
        <is>
          <t>(    )</t>
        </is>
      </c>
      <c r="M17" s="34" t="inlineStr">
        <is>
          <t>Un movimiento con fecha fuera del plazo se ha rechazado</t>
        </is>
      </c>
      <c r="N17" s="8" t="n"/>
      <c r="O17" s="23" t="n"/>
    </row>
    <row r="18" ht="36" customHeight="1">
      <c r="G18" s="33" t="inlineStr">
        <is>
          <t>( x )</t>
        </is>
      </c>
      <c r="H18" s="34" t="inlineStr">
        <is>
          <t>L5 · Estimada por los Developers — Cumple</t>
        </is>
      </c>
      <c r="I18" s="8" t="n"/>
      <c r="J18" s="23" t="n"/>
      <c r="L18" s="36" t="inlineStr">
        <is>
          <t>Mitad técnica: Además, los diez criterios T1 a T10 de la hoja «3. Criterios DoR y DoD», sin excepción</t>
        </is>
      </c>
      <c r="M18" s="37" t="n"/>
      <c r="N18" s="37" t="n"/>
      <c r="O18" s="38" t="n"/>
    </row>
    <row r="19" ht="30" customHeight="1">
      <c r="G19" s="33" t="inlineStr">
        <is>
          <t>( x )</t>
        </is>
      </c>
      <c r="H19" s="34" t="inlineStr">
        <is>
          <t>L6 · Cabe en un sprint (8 puntos o menos) — Cumple</t>
        </is>
      </c>
      <c r="I19" s="8" t="n"/>
      <c r="J19" s="23" t="n"/>
    </row>
    <row r="20" ht="30" customHeight="1">
      <c r="G20" s="33" t="inlineStr">
        <is>
          <t>( x )</t>
        </is>
      </c>
      <c r="H20" s="34" t="inlineStr">
        <is>
          <t>L7 · Reglas de dominio identificadas — Cumple</t>
        </is>
      </c>
      <c r="I20" s="8" t="n"/>
      <c r="J20" s="23" t="n"/>
    </row>
    <row r="21" ht="30" customHeight="1">
      <c r="G21" s="33" t="inlineStr">
        <is>
          <t>( x )</t>
        </is>
      </c>
      <c r="H21" s="34" t="inlineStr">
        <is>
          <t>L8 · Datos de prueba disponibles — Cumple</t>
        </is>
      </c>
      <c r="I21" s="8" t="n"/>
      <c r="J21" s="23" t="n"/>
    </row>
    <row r="22" ht="30" customHeight="1">
      <c r="G22" s="33" t="inlineStr">
        <is>
          <t>( x )</t>
        </is>
      </c>
      <c r="H22" s="34" t="inlineStr">
        <is>
          <t>L9 · Responsable técnico asignado — Cumple</t>
        </is>
      </c>
      <c r="I22" s="8" t="n"/>
      <c r="J22" s="23" t="n"/>
    </row>
    <row r="23" ht="30" customHeight="1">
      <c r="G23" s="33" t="inlineStr">
        <is>
          <t>( x )</t>
        </is>
      </c>
      <c r="H23" s="34" t="inlineStr">
        <is>
          <t>L10 · Recursos identificados — Cumple: Henry Ticona + equipo de desarrollo y datos de prueba</t>
        </is>
      </c>
      <c r="I23" s="8" t="n"/>
      <c r="J23" s="23" t="n"/>
    </row>
    <row r="24" ht="30" customHeight="1">
      <c r="G24" s="33" t="inlineStr">
        <is>
          <t>( x )</t>
        </is>
      </c>
      <c r="H24" s="34" t="inlineStr">
        <is>
          <t>L11 · Requisitos técnicos de programación definidos — Cumple: FastAPI, SQLAlchemy 2, Alembic y PostgreSQL 16</t>
        </is>
      </c>
      <c r="I24" s="8" t="n"/>
      <c r="J24" s="23" t="n"/>
    </row>
    <row r="25" ht="30" customHeight="1">
      <c r="G25" s="33" t="inlineStr">
        <is>
          <t>( x )</t>
        </is>
      </c>
      <c r="H25" s="34" t="inlineStr">
        <is>
          <t>L12 · Accesos de red disponibles — Cumple: GitHub (repositorio privado), API y PostgreSQL en docker compose</t>
        </is>
      </c>
      <c r="I25" s="8" t="n"/>
      <c r="J25" s="23" t="n"/>
    </row>
    <row r="26" ht="36" customHeight="1">
      <c r="G26" s="39" t="inlineStr">
        <is>
          <t>Riesgos: Plazo mal ingresado deja movimientos fuera de periodo · se valida fin ≥ inicio</t>
        </is>
      </c>
      <c r="H26" s="8" t="n"/>
      <c r="I26" s="8" t="n"/>
      <c r="J26" s="23" t="n"/>
    </row>
    <row r="27" ht="36" customHeight="1">
      <c r="G27" s="32" t="inlineStr">
        <is>
          <t>Proveedores de servicio: PostgreSQL gestionado en la nube (capa gratuita) · GitHub</t>
        </is>
      </c>
      <c r="H27" s="8" t="n"/>
      <c r="I27" s="8" t="n"/>
      <c r="J27" s="23" t="n"/>
    </row>
    <row r="28" ht="36" customHeight="1">
      <c r="G28" s="36" t="inlineStr">
        <is>
          <t>Costos: 3 pts ≈ 6 horas-persona (1 punto ≈ 2 h) · servicios externos: S/ 0 (planes gratuitos)</t>
        </is>
      </c>
      <c r="H28" s="37" t="n"/>
      <c r="I28" s="37" t="n"/>
      <c r="J28" s="38" t="n"/>
    </row>
    <row r="31">
      <c r="B31" s="18" t="inlineStr">
        <is>
          <t>HU-02 · Ampliar plazo</t>
        </is>
      </c>
    </row>
    <row r="32" ht="18" customHeight="1">
      <c r="B32" s="19" t="inlineStr">
        <is>
          <t>TARJETA 1 · Historia de usuario</t>
        </is>
      </c>
      <c r="C32" s="20" t="n"/>
      <c r="D32" s="20" t="n"/>
      <c r="E32" s="21" t="n"/>
      <c r="G32" s="19" t="inlineStr">
        <is>
          <t>TARJETA 2 · Definición de Listo</t>
        </is>
      </c>
      <c r="H32" s="20" t="n"/>
      <c r="I32" s="20" t="n"/>
      <c r="J32" s="21" t="n"/>
      <c r="L32" s="19" t="inlineStr">
        <is>
          <t>TARJETA 3 · Definición de Terminado</t>
        </is>
      </c>
      <c r="M32" s="20" t="n"/>
      <c r="N32" s="20" t="n"/>
      <c r="O32" s="21" t="n"/>
    </row>
    <row r="33" ht="28" customHeight="1">
      <c r="B33" s="22" t="inlineStr">
        <is>
          <t>La unidad con la que se planifica, se estima y se acepta el trabajo</t>
        </is>
      </c>
      <c r="C33" s="8" t="n"/>
      <c r="D33" s="8" t="n"/>
      <c r="E33" s="23" t="n"/>
      <c r="G33" s="22" t="inlineStr">
        <is>
          <t>El enfoque está en la consideración del equipo de desarrollo sobre si la historia está lista para un Sprint</t>
        </is>
      </c>
      <c r="H33" s="8" t="n"/>
      <c r="I33" s="8" t="n"/>
      <c r="J33" s="23" t="n"/>
      <c r="L33" s="22" t="inlineStr">
        <is>
          <t>El enfoque está en la aceptación del cliente cuando se le entregue el producto</t>
        </is>
      </c>
      <c r="M33" s="8" t="n"/>
      <c r="N33" s="8" t="n"/>
      <c r="O33" s="23" t="n"/>
    </row>
    <row r="34">
      <c r="B34" s="24" t="inlineStr">
        <is>
          <t>Historia de usuario</t>
        </is>
      </c>
      <c r="C34" s="8" t="n"/>
      <c r="D34" s="25" t="inlineStr">
        <is>
          <t>Prioridad</t>
        </is>
      </c>
      <c r="E34" s="26" t="inlineStr">
        <is>
          <t>Estimación</t>
        </is>
      </c>
      <c r="G34" s="24" t="inlineStr">
        <is>
          <t>Historia de usuario</t>
        </is>
      </c>
      <c r="H34" s="8" t="n"/>
      <c r="I34" s="25" t="inlineStr">
        <is>
          <t>Prioridad</t>
        </is>
      </c>
      <c r="J34" s="26" t="inlineStr">
        <is>
          <t>Estimación</t>
        </is>
      </c>
      <c r="L34" s="24" t="inlineStr">
        <is>
          <t>Historia de usuario</t>
        </is>
      </c>
      <c r="M34" s="8" t="n"/>
      <c r="N34" s="25" t="inlineStr">
        <is>
          <t>Prioridad</t>
        </is>
      </c>
      <c r="O34" s="26" t="inlineStr">
        <is>
          <t>Estimación</t>
        </is>
      </c>
    </row>
    <row r="35" ht="30" customHeight="1">
      <c r="B35" s="27" t="inlineStr">
        <is>
          <t>HU-02 · Ampliar plazo</t>
        </is>
      </c>
      <c r="C35" s="8" t="n"/>
      <c r="D35" s="9" t="inlineStr">
        <is>
          <t>Alta</t>
        </is>
      </c>
      <c r="E35" s="28" t="inlineStr">
        <is>
          <t>2 pts</t>
        </is>
      </c>
      <c r="G35" s="27" t="inlineStr">
        <is>
          <t>HU-02 · Ampliar plazo</t>
        </is>
      </c>
      <c r="H35" s="8" t="n"/>
      <c r="I35" s="9" t="inlineStr">
        <is>
          <t>Alta</t>
        </is>
      </c>
      <c r="J35" s="28" t="inlineStr">
        <is>
          <t>2 pts</t>
        </is>
      </c>
      <c r="L35" s="27" t="inlineStr">
        <is>
          <t>HU-02 · Ampliar plazo</t>
        </is>
      </c>
      <c r="M35" s="8" t="n"/>
      <c r="N35" s="9" t="inlineStr">
        <is>
          <t>Alta</t>
        </is>
      </c>
      <c r="O35" s="28" t="inlineStr">
        <is>
          <t>2 pts</t>
        </is>
      </c>
    </row>
    <row r="36">
      <c r="B36" s="29" t="inlineStr">
        <is>
          <t>Descripción:</t>
        </is>
      </c>
      <c r="C36" s="8" t="n"/>
      <c r="D36" s="8" t="n"/>
      <c r="E36" s="23" t="n"/>
      <c r="G36" s="29" t="inlineStr">
        <is>
          <t>Descripción:</t>
        </is>
      </c>
      <c r="H36" s="8" t="n"/>
      <c r="I36" s="8" t="n"/>
      <c r="J36" s="23" t="n"/>
      <c r="L36" s="29" t="inlineStr">
        <is>
          <t>Descripción:</t>
        </is>
      </c>
      <c r="M36" s="8" t="n"/>
      <c r="N36" s="8" t="n"/>
      <c r="O36" s="23" t="n"/>
    </row>
    <row r="37" ht="28" customHeight="1">
      <c r="B37" s="30" t="inlineStr">
        <is>
          <t>Como residente de obra, quiero ampliar el plazo del proyecto dejando registro de quién y cuándo, para que la obra pueda seguir registrando movimientos después de la fecha original.</t>
        </is>
      </c>
      <c r="C37" s="8" t="n"/>
      <c r="D37" s="8" t="n"/>
      <c r="E37" s="23" t="n"/>
      <c r="G37" s="30" t="inlineStr">
        <is>
          <t>Como residente de obra, quiero ampliar el plazo del proyecto dejando registro de quién y cuándo, para que la obra pueda seguir registrando movimientos después de la fecha original.</t>
        </is>
      </c>
      <c r="H37" s="8" t="n"/>
      <c r="I37" s="8" t="n"/>
      <c r="J37" s="23" t="n"/>
      <c r="L37" s="30" t="inlineStr">
        <is>
          <t>Como residente de obra, quiero ampliar el plazo del proyecto dejando registro de quién y cuándo, para que la obra pueda seguir registrando movimientos después de la fecha original.</t>
        </is>
      </c>
      <c r="M37" s="8" t="n"/>
      <c r="N37" s="8" t="n"/>
      <c r="O37" s="23" t="n"/>
    </row>
    <row r="38" ht="28" customHeight="1">
      <c r="B38" s="31" t="n"/>
      <c r="C38" s="8" t="n"/>
      <c r="D38" s="8" t="n"/>
      <c r="E38" s="23" t="n"/>
      <c r="G38" s="31" t="n"/>
      <c r="H38" s="8" t="n"/>
      <c r="I38" s="8" t="n"/>
      <c r="J38" s="23" t="n"/>
      <c r="L38" s="31" t="n"/>
      <c r="M38" s="8" t="n"/>
      <c r="N38" s="8" t="n"/>
      <c r="O38" s="23" t="n"/>
    </row>
    <row r="39">
      <c r="B39" s="29" t="inlineStr">
        <is>
          <t>Ficha de la historia</t>
        </is>
      </c>
      <c r="C39" s="8" t="n"/>
      <c r="D39" s="8" t="n"/>
      <c r="E39" s="23" t="n"/>
      <c r="G39" s="29" t="inlineStr">
        <is>
          <t>Criterios de listo:</t>
        </is>
      </c>
      <c r="H39" s="8" t="n"/>
      <c r="I39" s="8" t="n"/>
      <c r="J39" s="23" t="n"/>
      <c r="L39" s="29" t="inlineStr">
        <is>
          <t>Condiciones finales (se marcan cuando el PO acepta la HU en la Review):</t>
        </is>
      </c>
      <c r="M39" s="8" t="n"/>
      <c r="N39" s="8" t="n"/>
      <c r="O39" s="23" t="n"/>
    </row>
    <row r="40" ht="30" customHeight="1">
      <c r="B40" s="32" t="inlineStr">
        <is>
          <t>Épica: E1. Preparar la obra y su control</t>
        </is>
      </c>
      <c r="C40" s="8" t="n"/>
      <c r="D40" s="8" t="n"/>
      <c r="E40" s="23" t="n"/>
      <c r="G40" s="33" t="inlineStr">
        <is>
          <t>( x )</t>
        </is>
      </c>
      <c r="H40" s="34" t="inlineStr">
        <is>
          <t>L1 · Redactada en el formato acordado — Cumple</t>
        </is>
      </c>
      <c r="I40" s="8" t="n"/>
      <c r="J40" s="23" t="n"/>
      <c r="L40" s="35" t="inlineStr">
        <is>
          <t>(    )</t>
        </is>
      </c>
      <c r="M40" s="34" t="inlineStr">
        <is>
          <t>El plazo se ha ampliado a una fecha posterior a la vigente; una fecha anterior se ha rechazado</t>
        </is>
      </c>
      <c r="N40" s="8" t="n"/>
      <c r="O40" s="23" t="n"/>
    </row>
    <row r="41" ht="30" customHeight="1">
      <c r="B41" s="32" t="inlineStr">
        <is>
          <t>Módulo: Proyectos / Configuración</t>
        </is>
      </c>
      <c r="C41" s="8" t="n"/>
      <c r="D41" s="8" t="n"/>
      <c r="E41" s="23" t="n"/>
      <c r="G41" s="33" t="inlineStr">
        <is>
          <t>( x )</t>
        </is>
      </c>
      <c r="H41" s="34" t="inlineStr">
        <is>
          <t>L2 · Nombre corto en forma de acción — Cumple</t>
        </is>
      </c>
      <c r="I41" s="8" t="n"/>
      <c r="J41" s="23" t="n"/>
      <c r="L41" s="35" t="inlineStr">
        <is>
          <t>(    )</t>
        </is>
      </c>
      <c r="M41" s="34" t="inlineStr">
        <is>
          <t>La ampliación ha quedado en el histórico con su usuario y su fecha</t>
        </is>
      </c>
      <c r="N41" s="8" t="n"/>
      <c r="O41" s="23" t="n"/>
    </row>
    <row r="42" ht="30" customHeight="1">
      <c r="B42" s="32" t="inlineStr">
        <is>
          <t>Responsable técnico: Backend · Henry Ticona</t>
        </is>
      </c>
      <c r="C42" s="8" t="n"/>
      <c r="D42" s="8" t="n"/>
      <c r="E42" s="23" t="n"/>
      <c r="G42" s="33" t="inlineStr">
        <is>
          <t>( x )</t>
        </is>
      </c>
      <c r="H42" s="34" t="inlineStr">
        <is>
          <t>L3 · Criterios de aceptación escritos — Cumple</t>
        </is>
      </c>
      <c r="I42" s="8" t="n"/>
      <c r="J42" s="23" t="n"/>
      <c r="L42" s="35" t="inlineStr">
        <is>
          <t>(    )</t>
        </is>
      </c>
      <c r="M42" s="34" t="inlineStr">
        <is>
          <t>Si el plazo se amplió, las semanas de control se han extendido hasta la nueva fecha</t>
        </is>
      </c>
      <c r="N42" s="8" t="n"/>
      <c r="O42" s="23" t="n"/>
    </row>
    <row r="43" ht="36" customHeight="1">
      <c r="B43" s="36" t="inlineStr">
        <is>
          <t>Depende de: HU-01</t>
        </is>
      </c>
      <c r="C43" s="37" t="n"/>
      <c r="D43" s="37" t="n"/>
      <c r="E43" s="38" t="n"/>
      <c r="G43" s="33" t="inlineStr">
        <is>
          <t>( x )</t>
        </is>
      </c>
      <c r="H43" s="34" t="inlineStr">
        <is>
          <t>L4 · Dependencias resueltas — Cumple</t>
        </is>
      </c>
      <c r="I43" s="8" t="n"/>
      <c r="J43" s="23" t="n"/>
      <c r="L43" s="36" t="inlineStr">
        <is>
          <t>Mitad técnica: Además, los diez criterios T1 a T10 de la hoja «3. Criterios DoR y DoD», sin excepción</t>
        </is>
      </c>
      <c r="M43" s="37" t="n"/>
      <c r="N43" s="37" t="n"/>
      <c r="O43" s="38" t="n"/>
    </row>
    <row r="44" ht="30" customHeight="1">
      <c r="G44" s="33" t="inlineStr">
        <is>
          <t>( x )</t>
        </is>
      </c>
      <c r="H44" s="34" t="inlineStr">
        <is>
          <t>L5 · Estimada por los Developers — Cumple</t>
        </is>
      </c>
      <c r="I44" s="8" t="n"/>
      <c r="J44" s="23" t="n"/>
    </row>
    <row r="45" ht="30" customHeight="1">
      <c r="G45" s="33" t="inlineStr">
        <is>
          <t>( x )</t>
        </is>
      </c>
      <c r="H45" s="34" t="inlineStr">
        <is>
          <t>L6 · Cabe en un sprint (8 puntos o menos) — Cumple</t>
        </is>
      </c>
      <c r="I45" s="8" t="n"/>
      <c r="J45" s="23" t="n"/>
    </row>
    <row r="46" ht="30" customHeight="1">
      <c r="G46" s="33" t="inlineStr">
        <is>
          <t>( x )</t>
        </is>
      </c>
      <c r="H46" s="34" t="inlineStr">
        <is>
          <t>L7 · Reglas de dominio identificadas — Cumple</t>
        </is>
      </c>
      <c r="I46" s="8" t="n"/>
      <c r="J46" s="23" t="n"/>
    </row>
    <row r="47" ht="30" customHeight="1">
      <c r="G47" s="33" t="inlineStr">
        <is>
          <t>( x )</t>
        </is>
      </c>
      <c r="H47" s="34" t="inlineStr">
        <is>
          <t>L8 · Datos de prueba disponibles — Cumple</t>
        </is>
      </c>
      <c r="I47" s="8" t="n"/>
      <c r="J47" s="23" t="n"/>
    </row>
    <row r="48" ht="30" customHeight="1">
      <c r="G48" s="33" t="inlineStr">
        <is>
          <t>( x )</t>
        </is>
      </c>
      <c r="H48" s="34" t="inlineStr">
        <is>
          <t>L9 · Responsable técnico asignado — Cumple</t>
        </is>
      </c>
      <c r="I48" s="8" t="n"/>
      <c r="J48" s="23" t="n"/>
    </row>
    <row r="49" ht="30" customHeight="1">
      <c r="G49" s="33" t="inlineStr">
        <is>
          <t>( x )</t>
        </is>
      </c>
      <c r="H49" s="34" t="inlineStr">
        <is>
          <t>L10 · Recursos identificados — Cumple: Henry Ticona + equipo de desarrollo y datos de prueba</t>
        </is>
      </c>
      <c r="I49" s="8" t="n"/>
      <c r="J49" s="23" t="n"/>
    </row>
    <row r="50" ht="30" customHeight="1">
      <c r="G50" s="33" t="inlineStr">
        <is>
          <t>( x )</t>
        </is>
      </c>
      <c r="H50" s="34" t="inlineStr">
        <is>
          <t>L11 · Requisitos técnicos de programación definidos — Cumple: FastAPI, SQLAlchemy 2, Alembic y PostgreSQL 16</t>
        </is>
      </c>
      <c r="I50" s="8" t="n"/>
      <c r="J50" s="23" t="n"/>
    </row>
    <row r="51" ht="30" customHeight="1">
      <c r="G51" s="33" t="inlineStr">
        <is>
          <t>( x )</t>
        </is>
      </c>
      <c r="H51" s="34" t="inlineStr">
        <is>
          <t>L12 · Accesos de red disponibles — Cumple: GitHub (repositorio privado), API y PostgreSQL en docker compose</t>
        </is>
      </c>
      <c r="I51" s="8" t="n"/>
      <c r="J51" s="23" t="n"/>
    </row>
    <row r="52" ht="36" customHeight="1">
      <c r="G52" s="39" t="inlineStr">
        <is>
          <t>Riesgos: Ampliar sin rastro de quién lo decidió · histórico con usuario y fecha; la fecha nueva debe ser posterior</t>
        </is>
      </c>
      <c r="H52" s="8" t="n"/>
      <c r="I52" s="8" t="n"/>
      <c r="J52" s="23" t="n"/>
    </row>
    <row r="53" ht="36" customHeight="1">
      <c r="G53" s="32" t="inlineStr">
        <is>
          <t>Proveedores de servicio: PostgreSQL gestionado en la nube (capa gratuita) · GitHub</t>
        </is>
      </c>
      <c r="H53" s="8" t="n"/>
      <c r="I53" s="8" t="n"/>
      <c r="J53" s="23" t="n"/>
    </row>
    <row r="54" ht="36" customHeight="1">
      <c r="G54" s="36" t="inlineStr">
        <is>
          <t>Costos: 2 pts ≈ 4 horas-persona (1 punto ≈ 2 h) · servicios externos: S/ 0 (planes gratuitos)</t>
        </is>
      </c>
      <c r="H54" s="37" t="n"/>
      <c r="I54" s="37" t="n"/>
      <c r="J54" s="38" t="n"/>
    </row>
    <row r="57">
      <c r="B57" s="18" t="inlineStr">
        <is>
          <t>HU-03 · Reportar la obra en semanas</t>
        </is>
      </c>
    </row>
    <row r="58" ht="18" customHeight="1">
      <c r="B58" s="19" t="inlineStr">
        <is>
          <t>TARJETA 1 · Historia de usuario</t>
        </is>
      </c>
      <c r="C58" s="20" t="n"/>
      <c r="D58" s="20" t="n"/>
      <c r="E58" s="21" t="n"/>
      <c r="G58" s="19" t="inlineStr">
        <is>
          <t>TARJETA 2 · Definición de Listo</t>
        </is>
      </c>
      <c r="H58" s="20" t="n"/>
      <c r="I58" s="20" t="n"/>
      <c r="J58" s="21" t="n"/>
      <c r="L58" s="19" t="inlineStr">
        <is>
          <t>TARJETA 3 · Definición de Terminado</t>
        </is>
      </c>
      <c r="M58" s="20" t="n"/>
      <c r="N58" s="20" t="n"/>
      <c r="O58" s="21" t="n"/>
    </row>
    <row r="59" ht="28" customHeight="1">
      <c r="B59" s="22" t="inlineStr">
        <is>
          <t>La unidad con la que se planifica, se estima y se acepta el trabajo</t>
        </is>
      </c>
      <c r="C59" s="8" t="n"/>
      <c r="D59" s="8" t="n"/>
      <c r="E59" s="23" t="n"/>
      <c r="G59" s="22" t="inlineStr">
        <is>
          <t>El enfoque está en la consideración del equipo de desarrollo sobre si la historia está lista para un Sprint</t>
        </is>
      </c>
      <c r="H59" s="8" t="n"/>
      <c r="I59" s="8" t="n"/>
      <c r="J59" s="23" t="n"/>
      <c r="L59" s="22" t="inlineStr">
        <is>
          <t>El enfoque está en la aceptación del cliente cuando se le entregue el producto</t>
        </is>
      </c>
      <c r="M59" s="8" t="n"/>
      <c r="N59" s="8" t="n"/>
      <c r="O59" s="23" t="n"/>
    </row>
    <row r="60">
      <c r="B60" s="24" t="inlineStr">
        <is>
          <t>Historia de usuario</t>
        </is>
      </c>
      <c r="C60" s="8" t="n"/>
      <c r="D60" s="25" t="inlineStr">
        <is>
          <t>Prioridad</t>
        </is>
      </c>
      <c r="E60" s="26" t="inlineStr">
        <is>
          <t>Estimación</t>
        </is>
      </c>
      <c r="G60" s="24" t="inlineStr">
        <is>
          <t>Historia de usuario</t>
        </is>
      </c>
      <c r="H60" s="8" t="n"/>
      <c r="I60" s="25" t="inlineStr">
        <is>
          <t>Prioridad</t>
        </is>
      </c>
      <c r="J60" s="26" t="inlineStr">
        <is>
          <t>Estimación</t>
        </is>
      </c>
      <c r="L60" s="24" t="inlineStr">
        <is>
          <t>Historia de usuario</t>
        </is>
      </c>
      <c r="M60" s="8" t="n"/>
      <c r="N60" s="25" t="inlineStr">
        <is>
          <t>Prioridad</t>
        </is>
      </c>
      <c r="O60" s="26" t="inlineStr">
        <is>
          <t>Estimación</t>
        </is>
      </c>
    </row>
    <row r="61" ht="30" customHeight="1">
      <c r="B61" s="27" t="inlineStr">
        <is>
          <t>HU-03 · Reportar la obra en semanas</t>
        </is>
      </c>
      <c r="C61" s="8" t="n"/>
      <c r="D61" s="9" t="inlineStr">
        <is>
          <t>Crítica</t>
        </is>
      </c>
      <c r="E61" s="28" t="inlineStr">
        <is>
          <t>3 pts</t>
        </is>
      </c>
      <c r="G61" s="27" t="inlineStr">
        <is>
          <t>HU-03 · Reportar la obra en semanas</t>
        </is>
      </c>
      <c r="H61" s="8" t="n"/>
      <c r="I61" s="9" t="inlineStr">
        <is>
          <t>Crítica</t>
        </is>
      </c>
      <c r="J61" s="28" t="inlineStr">
        <is>
          <t>3 pts</t>
        </is>
      </c>
      <c r="L61" s="27" t="inlineStr">
        <is>
          <t>HU-03 · Reportar la obra en semanas</t>
        </is>
      </c>
      <c r="M61" s="8" t="n"/>
      <c r="N61" s="9" t="inlineStr">
        <is>
          <t>Crítica</t>
        </is>
      </c>
      <c r="O61" s="28" t="inlineStr">
        <is>
          <t>3 pts</t>
        </is>
      </c>
    </row>
    <row r="62">
      <c r="B62" s="29" t="inlineStr">
        <is>
          <t>Descripción:</t>
        </is>
      </c>
      <c r="C62" s="8" t="n"/>
      <c r="D62" s="8" t="n"/>
      <c r="E62" s="23" t="n"/>
      <c r="G62" s="29" t="inlineStr">
        <is>
          <t>Descripción:</t>
        </is>
      </c>
      <c r="H62" s="8" t="n"/>
      <c r="I62" s="8" t="n"/>
      <c r="J62" s="23" t="n"/>
      <c r="L62" s="29" t="inlineStr">
        <is>
          <t>Descripción:</t>
        </is>
      </c>
      <c r="M62" s="8" t="n"/>
      <c r="N62" s="8" t="n"/>
      <c r="O62" s="23" t="n"/>
    </row>
    <row r="63" ht="28" customHeight="1">
      <c r="B63" s="30" t="inlineStr">
        <is>
          <t>Como residente de obra, quiero dividir el plazo de la obra en periodos semanales de control, para comparar lo consumido de un periodo con otro sin armar el corte a mano.</t>
        </is>
      </c>
      <c r="C63" s="8" t="n"/>
      <c r="D63" s="8" t="n"/>
      <c r="E63" s="23" t="n"/>
      <c r="G63" s="30" t="inlineStr">
        <is>
          <t>Como residente de obra, quiero dividir el plazo de la obra en periodos semanales de control, para comparar lo consumido de un periodo con otro sin armar el corte a mano.</t>
        </is>
      </c>
      <c r="H63" s="8" t="n"/>
      <c r="I63" s="8" t="n"/>
      <c r="J63" s="23" t="n"/>
      <c r="L63" s="30" t="inlineStr">
        <is>
          <t>Como residente de obra, quiero dividir el plazo de la obra en periodos semanales de control, para comparar lo consumido de un periodo con otro sin armar el corte a mano.</t>
        </is>
      </c>
      <c r="M63" s="8" t="n"/>
      <c r="N63" s="8" t="n"/>
      <c r="O63" s="23" t="n"/>
    </row>
    <row r="64" ht="28" customHeight="1">
      <c r="B64" s="31" t="n"/>
      <c r="C64" s="8" t="n"/>
      <c r="D64" s="8" t="n"/>
      <c r="E64" s="23" t="n"/>
      <c r="G64" s="31" t="n"/>
      <c r="H64" s="8" t="n"/>
      <c r="I64" s="8" t="n"/>
      <c r="J64" s="23" t="n"/>
      <c r="L64" s="31" t="n"/>
      <c r="M64" s="8" t="n"/>
      <c r="N64" s="8" t="n"/>
      <c r="O64" s="23" t="n"/>
    </row>
    <row r="65">
      <c r="B65" s="29" t="inlineStr">
        <is>
          <t>Ficha de la historia</t>
        </is>
      </c>
      <c r="C65" s="8" t="n"/>
      <c r="D65" s="8" t="n"/>
      <c r="E65" s="23" t="n"/>
      <c r="G65" s="29" t="inlineStr">
        <is>
          <t>Criterios de listo:</t>
        </is>
      </c>
      <c r="H65" s="8" t="n"/>
      <c r="I65" s="8" t="n"/>
      <c r="J65" s="23" t="n"/>
      <c r="L65" s="29" t="inlineStr">
        <is>
          <t>Condiciones finales (se marcan cuando el PO acepta la HU en la Review):</t>
        </is>
      </c>
      <c r="M65" s="8" t="n"/>
      <c r="N65" s="8" t="n"/>
      <c r="O65" s="23" t="n"/>
    </row>
    <row r="66" ht="30" customHeight="1">
      <c r="B66" s="32" t="inlineStr">
        <is>
          <t>Épica: E1. Preparar la obra y su control</t>
        </is>
      </c>
      <c r="C66" s="8" t="n"/>
      <c r="D66" s="8" t="n"/>
      <c r="E66" s="23" t="n"/>
      <c r="G66" s="33" t="inlineStr">
        <is>
          <t>( x )</t>
        </is>
      </c>
      <c r="H66" s="34" t="inlineStr">
        <is>
          <t>L1 · Redactada en el formato acordado — Cumple</t>
        </is>
      </c>
      <c r="I66" s="8" t="n"/>
      <c r="J66" s="23" t="n"/>
      <c r="L66" s="35" t="inlineStr">
        <is>
          <t>(    )</t>
        </is>
      </c>
      <c r="M66" s="34" t="inlineStr">
        <is>
          <t>Al crear el proyecto, el plazo se ha dividido en semanas desde el inicio hasta el fin</t>
        </is>
      </c>
      <c r="N66" s="8" t="n"/>
      <c r="O66" s="23" t="n"/>
    </row>
    <row r="67" ht="30" customHeight="1">
      <c r="B67" s="32" t="inlineStr">
        <is>
          <t>Módulo: Proyectos / Configuración</t>
        </is>
      </c>
      <c r="C67" s="8" t="n"/>
      <c r="D67" s="8" t="n"/>
      <c r="E67" s="23" t="n"/>
      <c r="G67" s="33" t="inlineStr">
        <is>
          <t>( x )</t>
        </is>
      </c>
      <c r="H67" s="34" t="inlineStr">
        <is>
          <t>L2 · Nombre corto en forma de acción — Cumple</t>
        </is>
      </c>
      <c r="I67" s="8" t="n"/>
      <c r="J67" s="23" t="n"/>
      <c r="L67" s="35" t="inlineStr">
        <is>
          <t>(    )</t>
        </is>
      </c>
      <c r="M67" s="34" t="inlineStr">
        <is>
          <t>La última semana se ha generado aunque sea más corta que siete días</t>
        </is>
      </c>
      <c r="N67" s="8" t="n"/>
      <c r="O67" s="23" t="n"/>
    </row>
    <row r="68" ht="30" customHeight="1">
      <c r="B68" s="32" t="inlineStr">
        <is>
          <t>Responsable técnico: Backend · Henry Ticona</t>
        </is>
      </c>
      <c r="C68" s="8" t="n"/>
      <c r="D68" s="8" t="n"/>
      <c r="E68" s="23" t="n"/>
      <c r="G68" s="33" t="inlineStr">
        <is>
          <t>( x )</t>
        </is>
      </c>
      <c r="H68" s="34" t="inlineStr">
        <is>
          <t>L3 · Criterios de aceptación escritos — Cumple</t>
        </is>
      </c>
      <c r="I68" s="8" t="n"/>
      <c r="J68" s="23" t="n"/>
      <c r="L68" s="35" t="inlineStr">
        <is>
          <t>(    )</t>
        </is>
      </c>
      <c r="M68" s="34" t="inlineStr">
        <is>
          <t>Cada movimiento ha quedado asociado a la semana en que ocurrió</t>
        </is>
      </c>
      <c r="N68" s="8" t="n"/>
      <c r="O68" s="23" t="n"/>
    </row>
    <row r="69" ht="30" customHeight="1">
      <c r="B69" s="36" t="inlineStr">
        <is>
          <t>Depende de: HU-01</t>
        </is>
      </c>
      <c r="C69" s="37" t="n"/>
      <c r="D69" s="37" t="n"/>
      <c r="E69" s="38" t="n"/>
      <c r="G69" s="33" t="inlineStr">
        <is>
          <t>( x )</t>
        </is>
      </c>
      <c r="H69" s="34" t="inlineStr">
        <is>
          <t>L4 · Dependencias resueltas — Cumple</t>
        </is>
      </c>
      <c r="I69" s="8" t="n"/>
      <c r="J69" s="23" t="n"/>
      <c r="L69" s="35" t="inlineStr">
        <is>
          <t>(    )</t>
        </is>
      </c>
      <c r="M69" s="34" t="inlineStr">
        <is>
          <t>Si el proyecto se amplía, las semanas nuevas se han generado solas</t>
        </is>
      </c>
      <c r="N69" s="8" t="n"/>
      <c r="O69" s="23" t="n"/>
    </row>
    <row r="70" ht="30" customHeight="1">
      <c r="G70" s="33" t="inlineStr">
        <is>
          <t>( x )</t>
        </is>
      </c>
      <c r="H70" s="34" t="inlineStr">
        <is>
          <t>L5 · Estimada por los Developers — Cumple</t>
        </is>
      </c>
      <c r="I70" s="8" t="n"/>
      <c r="J70" s="23" t="n"/>
      <c r="L70" s="35" t="inlineStr">
        <is>
          <t>(    )</t>
        </is>
      </c>
      <c r="M70" s="34" t="inlineStr">
        <is>
          <t>Un movimiento nuevo con fecha de una semana cerrada se ha rechazado</t>
        </is>
      </c>
      <c r="N70" s="8" t="n"/>
      <c r="O70" s="23" t="n"/>
    </row>
    <row r="71" ht="36" customHeight="1">
      <c r="G71" s="33" t="inlineStr">
        <is>
          <t>( x )</t>
        </is>
      </c>
      <c r="H71" s="34" t="inlineStr">
        <is>
          <t>L6 · Cabe en un sprint (8 puntos o menos) — Cumple</t>
        </is>
      </c>
      <c r="I71" s="8" t="n"/>
      <c r="J71" s="23" t="n"/>
      <c r="L71" s="36" t="inlineStr">
        <is>
          <t>Mitad técnica: Además, los diez criterios T1 a T10 de la hoja «3. Criterios DoR y DoD», sin excepción</t>
        </is>
      </c>
      <c r="M71" s="37" t="n"/>
      <c r="N71" s="37" t="n"/>
      <c r="O71" s="38" t="n"/>
    </row>
    <row r="72" ht="30" customHeight="1">
      <c r="G72" s="33" t="inlineStr">
        <is>
          <t>( x )</t>
        </is>
      </c>
      <c r="H72" s="34" t="inlineStr">
        <is>
          <t>L7 · Reglas de dominio identificadas — Cumple</t>
        </is>
      </c>
      <c r="I72" s="8" t="n"/>
      <c r="J72" s="23" t="n"/>
    </row>
    <row r="73" ht="30" customHeight="1">
      <c r="G73" s="33" t="inlineStr">
        <is>
          <t>( x )</t>
        </is>
      </c>
      <c r="H73" s="34" t="inlineStr">
        <is>
          <t>L8 · Datos de prueba disponibles — Cumple</t>
        </is>
      </c>
      <c r="I73" s="8" t="n"/>
      <c r="J73" s="23" t="n"/>
    </row>
    <row r="74" ht="30" customHeight="1">
      <c r="G74" s="33" t="inlineStr">
        <is>
          <t>( x )</t>
        </is>
      </c>
      <c r="H74" s="34" t="inlineStr">
        <is>
          <t>L9 · Responsable técnico asignado — Cumple</t>
        </is>
      </c>
      <c r="I74" s="8" t="n"/>
      <c r="J74" s="23" t="n"/>
    </row>
    <row r="75" ht="30" customHeight="1">
      <c r="G75" s="33" t="inlineStr">
        <is>
          <t>( x )</t>
        </is>
      </c>
      <c r="H75" s="34" t="inlineStr">
        <is>
          <t>L10 · Recursos identificados — Cumple: Henry Ticona + equipo de desarrollo y datos de prueba</t>
        </is>
      </c>
      <c r="I75" s="8" t="n"/>
      <c r="J75" s="23" t="n"/>
    </row>
    <row r="76" ht="30" customHeight="1">
      <c r="G76" s="33" t="inlineStr">
        <is>
          <t>( x )</t>
        </is>
      </c>
      <c r="H76" s="34" t="inlineStr">
        <is>
          <t>L11 · Requisitos técnicos de programación definidos — Cumple: FastAPI, SQLAlchemy 2, Alembic y PostgreSQL 16</t>
        </is>
      </c>
      <c r="I76" s="8" t="n"/>
      <c r="J76" s="23" t="n"/>
    </row>
    <row r="77" ht="30" customHeight="1">
      <c r="G77" s="33" t="inlineStr">
        <is>
          <t>( x )</t>
        </is>
      </c>
      <c r="H77" s="34" t="inlineStr">
        <is>
          <t>L12 · Accesos de red disponibles — Cumple: GitHub (repositorio privado), API y PostgreSQL en docker compose</t>
        </is>
      </c>
      <c r="I77" s="8" t="n"/>
      <c r="J77" s="23" t="n"/>
    </row>
    <row r="78" ht="36" customHeight="1">
      <c r="G78" s="39" t="inlineStr">
        <is>
          <t>Riesgos: Semanas mal cortadas descuadran los reportes · se generan solas, la última corta se señala</t>
        </is>
      </c>
      <c r="H78" s="8" t="n"/>
      <c r="I78" s="8" t="n"/>
      <c r="J78" s="23" t="n"/>
    </row>
    <row r="79" ht="36" customHeight="1">
      <c r="G79" s="32" t="inlineStr">
        <is>
          <t>Proveedores de servicio: PostgreSQL gestionado en la nube (capa gratuita) · GitHub</t>
        </is>
      </c>
      <c r="H79" s="8" t="n"/>
      <c r="I79" s="8" t="n"/>
      <c r="J79" s="23" t="n"/>
    </row>
    <row r="80" ht="36" customHeight="1">
      <c r="G80" s="36" t="inlineStr">
        <is>
          <t>Costos: 3 pts ≈ 6 horas-persona (1 punto ≈ 2 h) · servicios externos: S/ 0 (planes gratuitos)</t>
        </is>
      </c>
      <c r="H80" s="37" t="n"/>
      <c r="I80" s="37" t="n"/>
      <c r="J80" s="38" t="n"/>
    </row>
    <row r="83">
      <c r="B83" s="18" t="inlineStr">
        <is>
          <t>HU-04 · Definir día de corte e inicio de semana</t>
        </is>
      </c>
    </row>
    <row r="84" ht="18" customHeight="1">
      <c r="B84" s="19" t="inlineStr">
        <is>
          <t>TARJETA 1 · Historia de usuario</t>
        </is>
      </c>
      <c r="C84" s="20" t="n"/>
      <c r="D84" s="20" t="n"/>
      <c r="E84" s="21" t="n"/>
      <c r="G84" s="19" t="inlineStr">
        <is>
          <t>TARJETA 2 · Definición de Listo</t>
        </is>
      </c>
      <c r="H84" s="20" t="n"/>
      <c r="I84" s="20" t="n"/>
      <c r="J84" s="21" t="n"/>
      <c r="L84" s="19" t="inlineStr">
        <is>
          <t>TARJETA 3 · Definición de Terminado</t>
        </is>
      </c>
      <c r="M84" s="20" t="n"/>
      <c r="N84" s="20" t="n"/>
      <c r="O84" s="21" t="n"/>
    </row>
    <row r="85" ht="28" customHeight="1">
      <c r="B85" s="22" t="inlineStr">
        <is>
          <t>La unidad con la que se planifica, se estima y se acepta el trabajo</t>
        </is>
      </c>
      <c r="C85" s="8" t="n"/>
      <c r="D85" s="8" t="n"/>
      <c r="E85" s="23" t="n"/>
      <c r="G85" s="22" t="inlineStr">
        <is>
          <t>El enfoque está en la consideración del equipo de desarrollo sobre si la historia está lista para un Sprint</t>
        </is>
      </c>
      <c r="H85" s="8" t="n"/>
      <c r="I85" s="8" t="n"/>
      <c r="J85" s="23" t="n"/>
      <c r="L85" s="22" t="inlineStr">
        <is>
          <t>El enfoque está en la aceptación del cliente cuando se le entregue el producto</t>
        </is>
      </c>
      <c r="M85" s="8" t="n"/>
      <c r="N85" s="8" t="n"/>
      <c r="O85" s="23" t="n"/>
    </row>
    <row r="86">
      <c r="B86" s="24" t="inlineStr">
        <is>
          <t>Historia de usuario</t>
        </is>
      </c>
      <c r="C86" s="8" t="n"/>
      <c r="D86" s="25" t="inlineStr">
        <is>
          <t>Prioridad</t>
        </is>
      </c>
      <c r="E86" s="26" t="inlineStr">
        <is>
          <t>Estimación</t>
        </is>
      </c>
      <c r="G86" s="24" t="inlineStr">
        <is>
          <t>Historia de usuario</t>
        </is>
      </c>
      <c r="H86" s="8" t="n"/>
      <c r="I86" s="25" t="inlineStr">
        <is>
          <t>Prioridad</t>
        </is>
      </c>
      <c r="J86" s="26" t="inlineStr">
        <is>
          <t>Estimación</t>
        </is>
      </c>
      <c r="L86" s="24" t="inlineStr">
        <is>
          <t>Historia de usuario</t>
        </is>
      </c>
      <c r="M86" s="8" t="n"/>
      <c r="N86" s="25" t="inlineStr">
        <is>
          <t>Prioridad</t>
        </is>
      </c>
      <c r="O86" s="26" t="inlineStr">
        <is>
          <t>Estimación</t>
        </is>
      </c>
    </row>
    <row r="87" ht="30" customHeight="1">
      <c r="B87" s="27" t="inlineStr">
        <is>
          <t>HU-04 · Definir día de corte e inicio de semana</t>
        </is>
      </c>
      <c r="C87" s="8" t="n"/>
      <c r="D87" s="9" t="inlineStr">
        <is>
          <t>Media</t>
        </is>
      </c>
      <c r="E87" s="28" t="inlineStr">
        <is>
          <t>2 pts</t>
        </is>
      </c>
      <c r="G87" s="27" t="inlineStr">
        <is>
          <t>HU-04 · Definir día de corte e inicio de semana</t>
        </is>
      </c>
      <c r="H87" s="8" t="n"/>
      <c r="I87" s="9" t="inlineStr">
        <is>
          <t>Media</t>
        </is>
      </c>
      <c r="J87" s="28" t="inlineStr">
        <is>
          <t>2 pts</t>
        </is>
      </c>
      <c r="L87" s="27" t="inlineStr">
        <is>
          <t>HU-04 · Definir día de corte e inicio de semana</t>
        </is>
      </c>
      <c r="M87" s="8" t="n"/>
      <c r="N87" s="9" t="inlineStr">
        <is>
          <t>Media</t>
        </is>
      </c>
      <c r="O87" s="28" t="inlineStr">
        <is>
          <t>2 pts</t>
        </is>
      </c>
    </row>
    <row r="88">
      <c r="B88" s="29" t="inlineStr">
        <is>
          <t>Descripción:</t>
        </is>
      </c>
      <c r="C88" s="8" t="n"/>
      <c r="D88" s="8" t="n"/>
      <c r="E88" s="23" t="n"/>
      <c r="G88" s="29" t="inlineStr">
        <is>
          <t>Descripción:</t>
        </is>
      </c>
      <c r="H88" s="8" t="n"/>
      <c r="I88" s="8" t="n"/>
      <c r="J88" s="23" t="n"/>
      <c r="L88" s="29" t="inlineStr">
        <is>
          <t>Descripción:</t>
        </is>
      </c>
      <c r="M88" s="8" t="n"/>
      <c r="N88" s="8" t="n"/>
      <c r="O88" s="23" t="n"/>
    </row>
    <row r="89" ht="28" customHeight="1">
      <c r="B89" s="30" t="inlineStr">
        <is>
          <t>Como residente de obra, quiero definir en qué día de la semana cierra cada periodo de control, para que el corte coincida con el que exige el contratante de la obra.</t>
        </is>
      </c>
      <c r="C89" s="8" t="n"/>
      <c r="D89" s="8" t="n"/>
      <c r="E89" s="23" t="n"/>
      <c r="G89" s="30" t="inlineStr">
        <is>
          <t>Como residente de obra, quiero definir en qué día de la semana cierra cada periodo de control, para que el corte coincida con el que exige el contratante de la obra.</t>
        </is>
      </c>
      <c r="H89" s="8" t="n"/>
      <c r="I89" s="8" t="n"/>
      <c r="J89" s="23" t="n"/>
      <c r="L89" s="30" t="inlineStr">
        <is>
          <t>Como residente de obra, quiero definir en qué día de la semana cierra cada periodo de control, para que el corte coincida con el que exige el contratante de la obra.</t>
        </is>
      </c>
      <c r="M89" s="8" t="n"/>
      <c r="N89" s="8" t="n"/>
      <c r="O89" s="23" t="n"/>
    </row>
    <row r="90" ht="28" customHeight="1">
      <c r="B90" s="31" t="n"/>
      <c r="C90" s="8" t="n"/>
      <c r="D90" s="8" t="n"/>
      <c r="E90" s="23" t="n"/>
      <c r="G90" s="31" t="n"/>
      <c r="H90" s="8" t="n"/>
      <c r="I90" s="8" t="n"/>
      <c r="J90" s="23" t="n"/>
      <c r="L90" s="31" t="n"/>
      <c r="M90" s="8" t="n"/>
      <c r="N90" s="8" t="n"/>
      <c r="O90" s="23" t="n"/>
    </row>
    <row r="91">
      <c r="B91" s="29" t="inlineStr">
        <is>
          <t>Ficha de la historia</t>
        </is>
      </c>
      <c r="C91" s="8" t="n"/>
      <c r="D91" s="8" t="n"/>
      <c r="E91" s="23" t="n"/>
      <c r="G91" s="29" t="inlineStr">
        <is>
          <t>Criterios de listo:</t>
        </is>
      </c>
      <c r="H91" s="8" t="n"/>
      <c r="I91" s="8" t="n"/>
      <c r="J91" s="23" t="n"/>
      <c r="L91" s="29" t="inlineStr">
        <is>
          <t>Condiciones finales (se marcan cuando el PO acepta la HU en la Review):</t>
        </is>
      </c>
      <c r="M91" s="8" t="n"/>
      <c r="N91" s="8" t="n"/>
      <c r="O91" s="23" t="n"/>
    </row>
    <row r="92" ht="30" customHeight="1">
      <c r="B92" s="32" t="inlineStr">
        <is>
          <t>Épica: E1. Preparar la obra y su control</t>
        </is>
      </c>
      <c r="C92" s="8" t="n"/>
      <c r="D92" s="8" t="n"/>
      <c r="E92" s="23" t="n"/>
      <c r="G92" s="33" t="inlineStr">
        <is>
          <t>( x )</t>
        </is>
      </c>
      <c r="H92" s="34" t="inlineStr">
        <is>
          <t>L1 · Redactada en el formato acordado — Cumple</t>
        </is>
      </c>
      <c r="I92" s="8" t="n"/>
      <c r="J92" s="23" t="n"/>
      <c r="L92" s="35" t="inlineStr">
        <is>
          <t>(    )</t>
        </is>
      </c>
      <c r="M92" s="34" t="inlineStr">
        <is>
          <t>El día de corte e inicio de semana se ha registrado (domingo si no se eligió otro)</t>
        </is>
      </c>
      <c r="N92" s="8" t="n"/>
      <c r="O92" s="23" t="n"/>
    </row>
    <row r="93" ht="30" customHeight="1">
      <c r="B93" s="32" t="inlineStr">
        <is>
          <t>Módulo: Proyectos / Configuración</t>
        </is>
      </c>
      <c r="C93" s="8" t="n"/>
      <c r="D93" s="8" t="n"/>
      <c r="E93" s="23" t="n"/>
      <c r="G93" s="33" t="inlineStr">
        <is>
          <t>( x )</t>
        </is>
      </c>
      <c r="H93" s="34" t="inlineStr">
        <is>
          <t>L2 · Nombre corto en forma de acción — Cumple</t>
        </is>
      </c>
      <c r="I93" s="8" t="n"/>
      <c r="J93" s="23" t="n"/>
      <c r="L93" s="35" t="inlineStr">
        <is>
          <t>(    )</t>
        </is>
      </c>
      <c r="M93" s="34" t="inlineStr">
        <is>
          <t>Al cambiarlo, las semanas se han vuelto a generar</t>
        </is>
      </c>
      <c r="N93" s="8" t="n"/>
      <c r="O93" s="23" t="n"/>
    </row>
    <row r="94" ht="30" customHeight="1">
      <c r="B94" s="32" t="inlineStr">
        <is>
          <t>Responsable técnico: Backend · Henry Ticona</t>
        </is>
      </c>
      <c r="C94" s="8" t="n"/>
      <c r="D94" s="8" t="n"/>
      <c r="E94" s="23" t="n"/>
      <c r="G94" s="33" t="inlineStr">
        <is>
          <t>( x )</t>
        </is>
      </c>
      <c r="H94" s="34" t="inlineStr">
        <is>
          <t>L3 · Criterios de aceptación escritos — Cumple</t>
        </is>
      </c>
      <c r="I94" s="8" t="n"/>
      <c r="J94" s="23" t="n"/>
      <c r="L94" s="35" t="inlineStr">
        <is>
          <t>(    )</t>
        </is>
      </c>
      <c r="M94" s="34" t="inlineStr">
        <is>
          <t>Los movimientos ya registrados se han conservado sin cambios y se han reubicado en su semana</t>
        </is>
      </c>
      <c r="N94" s="8" t="n"/>
      <c r="O94" s="23" t="n"/>
    </row>
    <row r="95" ht="36" customHeight="1">
      <c r="B95" s="36" t="inlineStr">
        <is>
          <t>Depende de: HU-03</t>
        </is>
      </c>
      <c r="C95" s="37" t="n"/>
      <c r="D95" s="37" t="n"/>
      <c r="E95" s="38" t="n"/>
      <c r="G95" s="33" t="inlineStr">
        <is>
          <t>( x )</t>
        </is>
      </c>
      <c r="H95" s="34" t="inlineStr">
        <is>
          <t>L4 · Dependencias resueltas — Cumple</t>
        </is>
      </c>
      <c r="I95" s="8" t="n"/>
      <c r="J95" s="23" t="n"/>
      <c r="L95" s="36" t="inlineStr">
        <is>
          <t>Mitad técnica: Además, los diez criterios T1 a T10 de la hoja «3. Criterios DoR y DoD», sin excepción</t>
        </is>
      </c>
      <c r="M95" s="37" t="n"/>
      <c r="N95" s="37" t="n"/>
      <c r="O95" s="38" t="n"/>
    </row>
    <row r="96" ht="30" customHeight="1">
      <c r="G96" s="33" t="inlineStr">
        <is>
          <t>( x )</t>
        </is>
      </c>
      <c r="H96" s="34" t="inlineStr">
        <is>
          <t>L5 · Estimada por los Developers — Cumple</t>
        </is>
      </c>
      <c r="I96" s="8" t="n"/>
      <c r="J96" s="23" t="n"/>
    </row>
    <row r="97" ht="30" customHeight="1">
      <c r="G97" s="33" t="inlineStr">
        <is>
          <t>( x )</t>
        </is>
      </c>
      <c r="H97" s="34" t="inlineStr">
        <is>
          <t>L6 · Cabe en un sprint (8 puntos o menos) — Cumple</t>
        </is>
      </c>
      <c r="I97" s="8" t="n"/>
      <c r="J97" s="23" t="n"/>
    </row>
    <row r="98" ht="30" customHeight="1">
      <c r="G98" s="33" t="inlineStr">
        <is>
          <t>( x )</t>
        </is>
      </c>
      <c r="H98" s="34" t="inlineStr">
        <is>
          <t>L7 · Reglas de dominio identificadas — Cumple</t>
        </is>
      </c>
      <c r="I98" s="8" t="n"/>
      <c r="J98" s="23" t="n"/>
    </row>
    <row r="99" ht="30" customHeight="1">
      <c r="G99" s="33" t="inlineStr">
        <is>
          <t>( x )</t>
        </is>
      </c>
      <c r="H99" s="34" t="inlineStr">
        <is>
          <t>L8 · Datos de prueba disponibles — Cumple</t>
        </is>
      </c>
      <c r="I99" s="8" t="n"/>
      <c r="J99" s="23" t="n"/>
    </row>
    <row r="100" ht="30" customHeight="1">
      <c r="G100" s="33" t="inlineStr">
        <is>
          <t>( x )</t>
        </is>
      </c>
      <c r="H100" s="34" t="inlineStr">
        <is>
          <t>L9 · Responsable técnico asignado — Cumple</t>
        </is>
      </c>
      <c r="I100" s="8" t="n"/>
      <c r="J100" s="23" t="n"/>
    </row>
    <row r="101" ht="30" customHeight="1">
      <c r="G101" s="33" t="inlineStr">
        <is>
          <t>( x )</t>
        </is>
      </c>
      <c r="H101" s="34" t="inlineStr">
        <is>
          <t>L10 · Recursos identificados — Cumple: Henry Ticona + equipo de desarrollo y datos de prueba</t>
        </is>
      </c>
      <c r="I101" s="8" t="n"/>
      <c r="J101" s="23" t="n"/>
    </row>
    <row r="102" ht="30" customHeight="1">
      <c r="G102" s="33" t="inlineStr">
        <is>
          <t>( x )</t>
        </is>
      </c>
      <c r="H102" s="34" t="inlineStr">
        <is>
          <t>L11 · Requisitos técnicos de programación definidos — Cumple: FastAPI, SQLAlchemy 2, Alembic y PostgreSQL 16</t>
        </is>
      </c>
      <c r="I102" s="8" t="n"/>
      <c r="J102" s="23" t="n"/>
    </row>
    <row r="103" ht="30" customHeight="1">
      <c r="G103" s="33" t="inlineStr">
        <is>
          <t>( x )</t>
        </is>
      </c>
      <c r="H103" s="34" t="inlineStr">
        <is>
          <t>L12 · Accesos de red disponibles — Cumple: GitHub (repositorio privado), API y PostgreSQL en docker compose</t>
        </is>
      </c>
      <c r="I103" s="8" t="n"/>
      <c r="J103" s="23" t="n"/>
    </row>
    <row r="104" ht="36" customHeight="1">
      <c r="G104" s="39" t="inlineStr">
        <is>
          <t>Riesgos: Cambiar el corte desordena lo ya registrado · se regeneran los periodos sin tocar los movimientos</t>
        </is>
      </c>
      <c r="H104" s="8" t="n"/>
      <c r="I104" s="8" t="n"/>
      <c r="J104" s="23" t="n"/>
    </row>
    <row r="105" ht="36" customHeight="1">
      <c r="G105" s="32" t="inlineStr">
        <is>
          <t>Proveedores de servicio: PostgreSQL gestionado en la nube (capa gratuita) · GitHub</t>
        </is>
      </c>
      <c r="H105" s="8" t="n"/>
      <c r="I105" s="8" t="n"/>
      <c r="J105" s="23" t="n"/>
    </row>
    <row r="106" ht="36" customHeight="1">
      <c r="G106" s="36" t="inlineStr">
        <is>
          <t>Costos: 2 pts ≈ 4 horas-persona (1 punto ≈ 2 h) · servicios externos: S/ 0 (planes gratuitos)</t>
        </is>
      </c>
      <c r="H106" s="37" t="n"/>
      <c r="I106" s="37" t="n"/>
      <c r="J106" s="38" t="n"/>
    </row>
    <row r="109">
      <c r="B109" s="18" t="inlineStr">
        <is>
          <t>HU-05 · Registrar almacenes de obra</t>
        </is>
      </c>
    </row>
    <row r="110" ht="18" customHeight="1">
      <c r="B110" s="19" t="inlineStr">
        <is>
          <t>TARJETA 1 · Historia de usuario</t>
        </is>
      </c>
      <c r="C110" s="20" t="n"/>
      <c r="D110" s="20" t="n"/>
      <c r="E110" s="21" t="n"/>
      <c r="G110" s="19" t="inlineStr">
        <is>
          <t>TARJETA 2 · Definición de Listo</t>
        </is>
      </c>
      <c r="H110" s="20" t="n"/>
      <c r="I110" s="20" t="n"/>
      <c r="J110" s="21" t="n"/>
      <c r="L110" s="19" t="inlineStr">
        <is>
          <t>TARJETA 3 · Definición de Terminado</t>
        </is>
      </c>
      <c r="M110" s="20" t="n"/>
      <c r="N110" s="20" t="n"/>
      <c r="O110" s="21" t="n"/>
    </row>
    <row r="111" ht="28" customHeight="1">
      <c r="B111" s="22" t="inlineStr">
        <is>
          <t>La unidad con la que se planifica, se estima y se acepta el trabajo</t>
        </is>
      </c>
      <c r="C111" s="8" t="n"/>
      <c r="D111" s="8" t="n"/>
      <c r="E111" s="23" t="n"/>
      <c r="G111" s="22" t="inlineStr">
        <is>
          <t>El enfoque está en la consideración del equipo de desarrollo sobre si la historia está lista para un Sprint</t>
        </is>
      </c>
      <c r="H111" s="8" t="n"/>
      <c r="I111" s="8" t="n"/>
      <c r="J111" s="23" t="n"/>
      <c r="L111" s="22" t="inlineStr">
        <is>
          <t>El enfoque está en la aceptación del cliente cuando se le entregue el producto</t>
        </is>
      </c>
      <c r="M111" s="8" t="n"/>
      <c r="N111" s="8" t="n"/>
      <c r="O111" s="23" t="n"/>
    </row>
    <row r="112">
      <c r="B112" s="24" t="inlineStr">
        <is>
          <t>Historia de usuario</t>
        </is>
      </c>
      <c r="C112" s="8" t="n"/>
      <c r="D112" s="25" t="inlineStr">
        <is>
          <t>Prioridad</t>
        </is>
      </c>
      <c r="E112" s="26" t="inlineStr">
        <is>
          <t>Estimación</t>
        </is>
      </c>
      <c r="G112" s="24" t="inlineStr">
        <is>
          <t>Historia de usuario</t>
        </is>
      </c>
      <c r="H112" s="8" t="n"/>
      <c r="I112" s="25" t="inlineStr">
        <is>
          <t>Prioridad</t>
        </is>
      </c>
      <c r="J112" s="26" t="inlineStr">
        <is>
          <t>Estimación</t>
        </is>
      </c>
      <c r="L112" s="24" t="inlineStr">
        <is>
          <t>Historia de usuario</t>
        </is>
      </c>
      <c r="M112" s="8" t="n"/>
      <c r="N112" s="25" t="inlineStr">
        <is>
          <t>Prioridad</t>
        </is>
      </c>
      <c r="O112" s="26" t="inlineStr">
        <is>
          <t>Estimación</t>
        </is>
      </c>
    </row>
    <row r="113" ht="30" customHeight="1">
      <c r="B113" s="27" t="inlineStr">
        <is>
          <t>HU-05 · Registrar almacenes de obra</t>
        </is>
      </c>
      <c r="C113" s="8" t="n"/>
      <c r="D113" s="9" t="inlineStr">
        <is>
          <t>Alta</t>
        </is>
      </c>
      <c r="E113" s="28" t="inlineStr">
        <is>
          <t>3 pts</t>
        </is>
      </c>
      <c r="G113" s="27" t="inlineStr">
        <is>
          <t>HU-05 · Registrar almacenes de obra</t>
        </is>
      </c>
      <c r="H113" s="8" t="n"/>
      <c r="I113" s="9" t="inlineStr">
        <is>
          <t>Alta</t>
        </is>
      </c>
      <c r="J113" s="28" t="inlineStr">
        <is>
          <t>3 pts</t>
        </is>
      </c>
      <c r="L113" s="27" t="inlineStr">
        <is>
          <t>HU-05 · Registrar almacenes de obra</t>
        </is>
      </c>
      <c r="M113" s="8" t="n"/>
      <c r="N113" s="9" t="inlineStr">
        <is>
          <t>Alta</t>
        </is>
      </c>
      <c r="O113" s="28" t="inlineStr">
        <is>
          <t>3 pts</t>
        </is>
      </c>
    </row>
    <row r="114">
      <c r="B114" s="29" t="inlineStr">
        <is>
          <t>Descripción:</t>
        </is>
      </c>
      <c r="C114" s="8" t="n"/>
      <c r="D114" s="8" t="n"/>
      <c r="E114" s="23" t="n"/>
      <c r="G114" s="29" t="inlineStr">
        <is>
          <t>Descripción:</t>
        </is>
      </c>
      <c r="H114" s="8" t="n"/>
      <c r="I114" s="8" t="n"/>
      <c r="J114" s="23" t="n"/>
      <c r="L114" s="29" t="inlineStr">
        <is>
          <t>Descripción:</t>
        </is>
      </c>
      <c r="M114" s="8" t="n"/>
      <c r="N114" s="8" t="n"/>
      <c r="O114" s="23" t="n"/>
    </row>
    <row r="115" ht="28" customHeight="1">
      <c r="B115" s="30" t="inlineStr">
        <is>
          <t>Como almacenero, quiero registrar más de un almacén en un mismo proyecto, para separar los frentes de obra distantes.</t>
        </is>
      </c>
      <c r="C115" s="8" t="n"/>
      <c r="D115" s="8" t="n"/>
      <c r="E115" s="23" t="n"/>
      <c r="G115" s="30" t="inlineStr">
        <is>
          <t>Como almacenero, quiero registrar más de un almacén en un mismo proyecto, para separar los frentes de obra distantes.</t>
        </is>
      </c>
      <c r="H115" s="8" t="n"/>
      <c r="I115" s="8" t="n"/>
      <c r="J115" s="23" t="n"/>
      <c r="L115" s="30" t="inlineStr">
        <is>
          <t>Como almacenero, quiero registrar más de un almacén en un mismo proyecto, para separar los frentes de obra distantes.</t>
        </is>
      </c>
      <c r="M115" s="8" t="n"/>
      <c r="N115" s="8" t="n"/>
      <c r="O115" s="23" t="n"/>
    </row>
    <row r="116" ht="28" customHeight="1">
      <c r="B116" s="31" t="n"/>
      <c r="C116" s="8" t="n"/>
      <c r="D116" s="8" t="n"/>
      <c r="E116" s="23" t="n"/>
      <c r="G116" s="31" t="n"/>
      <c r="H116" s="8" t="n"/>
      <c r="I116" s="8" t="n"/>
      <c r="J116" s="23" t="n"/>
      <c r="L116" s="31" t="n"/>
      <c r="M116" s="8" t="n"/>
      <c r="N116" s="8" t="n"/>
      <c r="O116" s="23" t="n"/>
    </row>
    <row r="117">
      <c r="B117" s="29" t="inlineStr">
        <is>
          <t>Ficha de la historia</t>
        </is>
      </c>
      <c r="C117" s="8" t="n"/>
      <c r="D117" s="8" t="n"/>
      <c r="E117" s="23" t="n"/>
      <c r="G117" s="29" t="inlineStr">
        <is>
          <t>Criterios de listo:</t>
        </is>
      </c>
      <c r="H117" s="8" t="n"/>
      <c r="I117" s="8" t="n"/>
      <c r="J117" s="23" t="n"/>
      <c r="L117" s="29" t="inlineStr">
        <is>
          <t>Condiciones finales (se marcan cuando el PO acepta la HU en la Review):</t>
        </is>
      </c>
      <c r="M117" s="8" t="n"/>
      <c r="N117" s="8" t="n"/>
      <c r="O117" s="23" t="n"/>
    </row>
    <row r="118" ht="30" customHeight="1">
      <c r="B118" s="32" t="inlineStr">
        <is>
          <t>Épica: E1. Preparar la obra y su control</t>
        </is>
      </c>
      <c r="C118" s="8" t="n"/>
      <c r="D118" s="8" t="n"/>
      <c r="E118" s="23" t="n"/>
      <c r="G118" s="33" t="inlineStr">
        <is>
          <t>( x )</t>
        </is>
      </c>
      <c r="H118" s="34" t="inlineStr">
        <is>
          <t>L1 · Redactada en el formato acordado — Cumple</t>
        </is>
      </c>
      <c r="I118" s="8" t="n"/>
      <c r="J118" s="23" t="n"/>
      <c r="L118" s="35" t="inlineStr">
        <is>
          <t>(    )</t>
        </is>
      </c>
      <c r="M118" s="34" t="inlineStr">
        <is>
          <t>Los almacenes de la obra se han registrado (uno o varios)</t>
        </is>
      </c>
      <c r="N118" s="8" t="n"/>
      <c r="O118" s="23" t="n"/>
    </row>
    <row r="119" ht="30" customHeight="1">
      <c r="B119" s="32" t="inlineStr">
        <is>
          <t>Módulo: Proyectos / Configuración</t>
        </is>
      </c>
      <c r="C119" s="8" t="n"/>
      <c r="D119" s="8" t="n"/>
      <c r="E119" s="23" t="n"/>
      <c r="G119" s="33" t="inlineStr">
        <is>
          <t>( x )</t>
        </is>
      </c>
      <c r="H119" s="34" t="inlineStr">
        <is>
          <t>L2 · Nombre corto en forma de acción — Cumple</t>
        </is>
      </c>
      <c r="I119" s="8" t="n"/>
      <c r="J119" s="23" t="n"/>
      <c r="L119" s="35" t="inlineStr">
        <is>
          <t>(    )</t>
        </is>
      </c>
      <c r="M119" s="34" t="inlineStr">
        <is>
          <t>Cada movimiento ha quedado asociado a su almacén</t>
        </is>
      </c>
      <c r="N119" s="8" t="n"/>
      <c r="O119" s="23" t="n"/>
    </row>
    <row r="120" ht="30" customHeight="1">
      <c r="B120" s="32" t="inlineStr">
        <is>
          <t>Responsable técnico: Backend · Henry Ticona</t>
        </is>
      </c>
      <c r="C120" s="8" t="n"/>
      <c r="D120" s="8" t="n"/>
      <c r="E120" s="23" t="n"/>
      <c r="G120" s="33" t="inlineStr">
        <is>
          <t>( x )</t>
        </is>
      </c>
      <c r="H120" s="34" t="inlineStr">
        <is>
          <t>L3 · Criterios de aceptación escritos — Cumple</t>
        </is>
      </c>
      <c r="I120" s="8" t="n"/>
      <c r="J120" s="23" t="n"/>
      <c r="L120" s="35" t="inlineStr">
        <is>
          <t>(    )</t>
        </is>
      </c>
      <c r="M120" s="34" t="inlineStr">
        <is>
          <t>Se ha consultado el saldo por almacén y consolidado por proyecto</t>
        </is>
      </c>
      <c r="N120" s="8" t="n"/>
      <c r="O120" s="23" t="n"/>
    </row>
    <row r="121" ht="36" customHeight="1">
      <c r="B121" s="36" t="inlineStr">
        <is>
          <t>Depende de: HU-01</t>
        </is>
      </c>
      <c r="C121" s="37" t="n"/>
      <c r="D121" s="37" t="n"/>
      <c r="E121" s="38" t="n"/>
      <c r="G121" s="33" t="inlineStr">
        <is>
          <t>( x )</t>
        </is>
      </c>
      <c r="H121" s="34" t="inlineStr">
        <is>
          <t>L4 · Dependencias resueltas — Cumple</t>
        </is>
      </c>
      <c r="I121" s="8" t="n"/>
      <c r="J121" s="23" t="n"/>
      <c r="L121" s="36" t="inlineStr">
        <is>
          <t>Mitad técnica: Además, los diez criterios T1 a T10 de la hoja «3. Criterios DoR y DoD», sin excepción</t>
        </is>
      </c>
      <c r="M121" s="37" t="n"/>
      <c r="N121" s="37" t="n"/>
      <c r="O121" s="38" t="n"/>
    </row>
    <row r="122" ht="30" customHeight="1">
      <c r="G122" s="33" t="inlineStr">
        <is>
          <t>( x )</t>
        </is>
      </c>
      <c r="H122" s="34" t="inlineStr">
        <is>
          <t>L5 · Estimada por los Developers — Cumple</t>
        </is>
      </c>
      <c r="I122" s="8" t="n"/>
      <c r="J122" s="23" t="n"/>
    </row>
    <row r="123" ht="30" customHeight="1">
      <c r="G123" s="33" t="inlineStr">
        <is>
          <t>( x )</t>
        </is>
      </c>
      <c r="H123" s="34" t="inlineStr">
        <is>
          <t>L6 · Cabe en un sprint (8 puntos o menos) — Cumple</t>
        </is>
      </c>
      <c r="I123" s="8" t="n"/>
      <c r="J123" s="23" t="n"/>
    </row>
    <row r="124" ht="30" customHeight="1">
      <c r="G124" s="33" t="inlineStr">
        <is>
          <t>( x )</t>
        </is>
      </c>
      <c r="H124" s="34" t="inlineStr">
        <is>
          <t>L7 · Reglas de dominio identificadas — Cumple</t>
        </is>
      </c>
      <c r="I124" s="8" t="n"/>
      <c r="J124" s="23" t="n"/>
    </row>
    <row r="125" ht="30" customHeight="1">
      <c r="G125" s="33" t="inlineStr">
        <is>
          <t>( x )</t>
        </is>
      </c>
      <c r="H125" s="34" t="inlineStr">
        <is>
          <t>L8 · Datos de prueba disponibles — Cumple</t>
        </is>
      </c>
      <c r="I125" s="8" t="n"/>
      <c r="J125" s="23" t="n"/>
    </row>
    <row r="126" ht="30" customHeight="1">
      <c r="G126" s="33" t="inlineStr">
        <is>
          <t>( x )</t>
        </is>
      </c>
      <c r="H126" s="34" t="inlineStr">
        <is>
          <t>L9 · Responsable técnico asignado — Cumple</t>
        </is>
      </c>
      <c r="I126" s="8" t="n"/>
      <c r="J126" s="23" t="n"/>
    </row>
    <row r="127" ht="30" customHeight="1">
      <c r="G127" s="33" t="inlineStr">
        <is>
          <t>( x )</t>
        </is>
      </c>
      <c r="H127" s="34" t="inlineStr">
        <is>
          <t>L10 · Recursos identificados — Cumple: Henry Ticona + equipo de desarrollo y datos de prueba</t>
        </is>
      </c>
      <c r="I127" s="8" t="n"/>
      <c r="J127" s="23" t="n"/>
    </row>
    <row r="128" ht="30" customHeight="1">
      <c r="G128" s="33" t="inlineStr">
        <is>
          <t>( x )</t>
        </is>
      </c>
      <c r="H128" s="34" t="inlineStr">
        <is>
          <t>L11 · Requisitos técnicos de programación definidos — Cumple: FastAPI, SQLAlchemy 2, Alembic y PostgreSQL 16</t>
        </is>
      </c>
      <c r="I128" s="8" t="n"/>
      <c r="J128" s="23" t="n"/>
    </row>
    <row r="129" ht="30" customHeight="1">
      <c r="G129" s="33" t="inlineStr">
        <is>
          <t>( x )</t>
        </is>
      </c>
      <c r="H129" s="34" t="inlineStr">
        <is>
          <t>L12 · Accesos de red disponibles — Cumple: GitHub (repositorio privado), API y PostgreSQL en docker compose</t>
        </is>
      </c>
      <c r="I129" s="8" t="n"/>
      <c r="J129" s="23" t="n"/>
    </row>
    <row r="130" ht="36" customHeight="1">
      <c r="G130" s="39" t="inlineStr">
        <is>
          <t>Riesgos: Saldo mezclado entre almacenes · todo movimiento declara su almacén</t>
        </is>
      </c>
      <c r="H130" s="8" t="n"/>
      <c r="I130" s="8" t="n"/>
      <c r="J130" s="23" t="n"/>
    </row>
    <row r="131" ht="36" customHeight="1">
      <c r="G131" s="32" t="inlineStr">
        <is>
          <t>Proveedores de servicio: PostgreSQL gestionado en la nube (capa gratuita) · GitHub</t>
        </is>
      </c>
      <c r="H131" s="8" t="n"/>
      <c r="I131" s="8" t="n"/>
      <c r="J131" s="23" t="n"/>
    </row>
    <row r="132" ht="36" customHeight="1">
      <c r="G132" s="36" t="inlineStr">
        <is>
          <t>Costos: 3 pts ≈ 6 horas-persona (1 punto ≈ 2 h) · servicios externos: S/ 0 (planes gratuitos)</t>
        </is>
      </c>
      <c r="H132" s="37" t="n"/>
      <c r="I132" s="37" t="n"/>
      <c r="J132" s="38" t="n"/>
    </row>
    <row r="135">
      <c r="B135" s="18" t="inlineStr">
        <is>
          <t>HU-06 · Consultar estado de proyectos</t>
        </is>
      </c>
    </row>
    <row r="136" ht="18" customHeight="1">
      <c r="B136" s="19" t="inlineStr">
        <is>
          <t>TARJETA 1 · Historia de usuario</t>
        </is>
      </c>
      <c r="C136" s="20" t="n"/>
      <c r="D136" s="20" t="n"/>
      <c r="E136" s="21" t="n"/>
      <c r="G136" s="19" t="inlineStr">
        <is>
          <t>TARJETA 2 · Definición de Listo</t>
        </is>
      </c>
      <c r="H136" s="20" t="n"/>
      <c r="I136" s="20" t="n"/>
      <c r="J136" s="21" t="n"/>
      <c r="L136" s="19" t="inlineStr">
        <is>
          <t>TARJETA 3 · Definición de Terminado</t>
        </is>
      </c>
      <c r="M136" s="20" t="n"/>
      <c r="N136" s="20" t="n"/>
      <c r="O136" s="21" t="n"/>
    </row>
    <row r="137" ht="28" customHeight="1">
      <c r="B137" s="22" t="inlineStr">
        <is>
          <t>La unidad con la que se planifica, se estima y se acepta el trabajo</t>
        </is>
      </c>
      <c r="C137" s="8" t="n"/>
      <c r="D137" s="8" t="n"/>
      <c r="E137" s="23" t="n"/>
      <c r="G137" s="22" t="inlineStr">
        <is>
          <t>El enfoque está en la consideración del equipo de desarrollo sobre si la historia está lista para un Sprint</t>
        </is>
      </c>
      <c r="H137" s="8" t="n"/>
      <c r="I137" s="8" t="n"/>
      <c r="J137" s="23" t="n"/>
      <c r="L137" s="22" t="inlineStr">
        <is>
          <t>El enfoque está en la aceptación del cliente cuando se le entregue el producto</t>
        </is>
      </c>
      <c r="M137" s="8" t="n"/>
      <c r="N137" s="8" t="n"/>
      <c r="O137" s="23" t="n"/>
    </row>
    <row r="138">
      <c r="B138" s="24" t="inlineStr">
        <is>
          <t>Historia de usuario</t>
        </is>
      </c>
      <c r="C138" s="8" t="n"/>
      <c r="D138" s="25" t="inlineStr">
        <is>
          <t>Prioridad</t>
        </is>
      </c>
      <c r="E138" s="26" t="inlineStr">
        <is>
          <t>Estimación</t>
        </is>
      </c>
      <c r="G138" s="24" t="inlineStr">
        <is>
          <t>Historia de usuario</t>
        </is>
      </c>
      <c r="H138" s="8" t="n"/>
      <c r="I138" s="25" t="inlineStr">
        <is>
          <t>Prioridad</t>
        </is>
      </c>
      <c r="J138" s="26" t="inlineStr">
        <is>
          <t>Estimación</t>
        </is>
      </c>
      <c r="L138" s="24" t="inlineStr">
        <is>
          <t>Historia de usuario</t>
        </is>
      </c>
      <c r="M138" s="8" t="n"/>
      <c r="N138" s="25" t="inlineStr">
        <is>
          <t>Prioridad</t>
        </is>
      </c>
      <c r="O138" s="26" t="inlineStr">
        <is>
          <t>Estimación</t>
        </is>
      </c>
    </row>
    <row r="139" ht="30" customHeight="1">
      <c r="B139" s="27" t="inlineStr">
        <is>
          <t>HU-06 · Consultar estado de proyectos</t>
        </is>
      </c>
      <c r="C139" s="8" t="n"/>
      <c r="D139" s="9" t="inlineStr">
        <is>
          <t>Media</t>
        </is>
      </c>
      <c r="E139" s="28" t="inlineStr">
        <is>
          <t>2 pts</t>
        </is>
      </c>
      <c r="G139" s="27" t="inlineStr">
        <is>
          <t>HU-06 · Consultar estado de proyectos</t>
        </is>
      </c>
      <c r="H139" s="8" t="n"/>
      <c r="I139" s="9" t="inlineStr">
        <is>
          <t>Media</t>
        </is>
      </c>
      <c r="J139" s="28" t="inlineStr">
        <is>
          <t>2 pts</t>
        </is>
      </c>
      <c r="L139" s="27" t="inlineStr">
        <is>
          <t>HU-06 · Consultar estado de proyectos</t>
        </is>
      </c>
      <c r="M139" s="8" t="n"/>
      <c r="N139" s="9" t="inlineStr">
        <is>
          <t>Media</t>
        </is>
      </c>
      <c r="O139" s="28" t="inlineStr">
        <is>
          <t>2 pts</t>
        </is>
      </c>
    </row>
    <row r="140">
      <c r="B140" s="29" t="inlineStr">
        <is>
          <t>Descripción:</t>
        </is>
      </c>
      <c r="C140" s="8" t="n"/>
      <c r="D140" s="8" t="n"/>
      <c r="E140" s="23" t="n"/>
      <c r="G140" s="29" t="inlineStr">
        <is>
          <t>Descripción:</t>
        </is>
      </c>
      <c r="H140" s="8" t="n"/>
      <c r="I140" s="8" t="n"/>
      <c r="J140" s="23" t="n"/>
      <c r="L140" s="29" t="inlineStr">
        <is>
          <t>Descripción:</t>
        </is>
      </c>
      <c r="M140" s="8" t="n"/>
      <c r="N140" s="8" t="n"/>
      <c r="O140" s="23" t="n"/>
    </row>
    <row r="141" ht="28" customHeight="1">
      <c r="B141" s="30" t="inlineStr">
        <is>
          <t>Como gerente, quiero consultar los proyectos con su estado y su plazo, para entrar directo al que necesito revisar.</t>
        </is>
      </c>
      <c r="C141" s="8" t="n"/>
      <c r="D141" s="8" t="n"/>
      <c r="E141" s="23" t="n"/>
      <c r="G141" s="30" t="inlineStr">
        <is>
          <t>Como gerente, quiero consultar los proyectos con su estado y su plazo, para entrar directo al que necesito revisar.</t>
        </is>
      </c>
      <c r="H141" s="8" t="n"/>
      <c r="I141" s="8" t="n"/>
      <c r="J141" s="23" t="n"/>
      <c r="L141" s="30" t="inlineStr">
        <is>
          <t>Como gerente, quiero consultar los proyectos con su estado y su plazo, para entrar directo al que necesito revisar.</t>
        </is>
      </c>
      <c r="M141" s="8" t="n"/>
      <c r="N141" s="8" t="n"/>
      <c r="O141" s="23" t="n"/>
    </row>
    <row r="142" ht="28" customHeight="1">
      <c r="B142" s="31" t="n"/>
      <c r="C142" s="8" t="n"/>
      <c r="D142" s="8" t="n"/>
      <c r="E142" s="23" t="n"/>
      <c r="G142" s="31" t="n"/>
      <c r="H142" s="8" t="n"/>
      <c r="I142" s="8" t="n"/>
      <c r="J142" s="23" t="n"/>
      <c r="L142" s="31" t="n"/>
      <c r="M142" s="8" t="n"/>
      <c r="N142" s="8" t="n"/>
      <c r="O142" s="23" t="n"/>
    </row>
    <row r="143">
      <c r="B143" s="29" t="inlineStr">
        <is>
          <t>Ficha de la historia</t>
        </is>
      </c>
      <c r="C143" s="8" t="n"/>
      <c r="D143" s="8" t="n"/>
      <c r="E143" s="23" t="n"/>
      <c r="G143" s="29" t="inlineStr">
        <is>
          <t>Criterios de listo:</t>
        </is>
      </c>
      <c r="H143" s="8" t="n"/>
      <c r="I143" s="8" t="n"/>
      <c r="J143" s="23" t="n"/>
      <c r="L143" s="29" t="inlineStr">
        <is>
          <t>Condiciones finales (se marcan cuando el PO acepta la HU en la Review):</t>
        </is>
      </c>
      <c r="M143" s="8" t="n"/>
      <c r="N143" s="8" t="n"/>
      <c r="O143" s="23" t="n"/>
    </row>
    <row r="144" ht="30" customHeight="1">
      <c r="B144" s="32" t="inlineStr">
        <is>
          <t>Épica: E1. Preparar la obra y su control</t>
        </is>
      </c>
      <c r="C144" s="8" t="n"/>
      <c r="D144" s="8" t="n"/>
      <c r="E144" s="23" t="n"/>
      <c r="G144" s="33" t="inlineStr">
        <is>
          <t>( x )</t>
        </is>
      </c>
      <c r="H144" s="34" t="inlineStr">
        <is>
          <t>L1 · Redactada en el formato acordado — Cumple</t>
        </is>
      </c>
      <c r="I144" s="8" t="n"/>
      <c r="J144" s="23" t="n"/>
      <c r="L144" s="35" t="inlineStr">
        <is>
          <t>(    )</t>
        </is>
      </c>
      <c r="M144" s="34" t="inlineStr">
        <is>
          <t>Se han listado solo los proyectos asignados al usuario</t>
        </is>
      </c>
      <c r="N144" s="8" t="n"/>
      <c r="O144" s="23" t="n"/>
    </row>
    <row r="145" ht="30" customHeight="1">
      <c r="B145" s="32" t="inlineStr">
        <is>
          <t>Módulo: Proyectos / Configuración</t>
        </is>
      </c>
      <c r="C145" s="8" t="n"/>
      <c r="D145" s="8" t="n"/>
      <c r="E145" s="23" t="n"/>
      <c r="G145" s="33" t="inlineStr">
        <is>
          <t>( x )</t>
        </is>
      </c>
      <c r="H145" s="34" t="inlineStr">
        <is>
          <t>L2 · Nombre corto en forma de acción — Cumple</t>
        </is>
      </c>
      <c r="I145" s="8" t="n"/>
      <c r="J145" s="23" t="n"/>
      <c r="L145" s="35" t="inlineStr">
        <is>
          <t>(    )</t>
        </is>
      </c>
      <c r="M145" s="34" t="inlineStr">
        <is>
          <t>Cada proyecto se ha mostrado con su nombre, estado, inicio y fin</t>
        </is>
      </c>
      <c r="N145" s="8" t="n"/>
      <c r="O145" s="23" t="n"/>
    </row>
    <row r="146" ht="36" customHeight="1">
      <c r="B146" s="32" t="inlineStr">
        <is>
          <t>Responsable técnico: Web · Víctor Luján</t>
        </is>
      </c>
      <c r="C146" s="8" t="n"/>
      <c r="D146" s="8" t="n"/>
      <c r="E146" s="23" t="n"/>
      <c r="G146" s="33" t="inlineStr">
        <is>
          <t>( x )</t>
        </is>
      </c>
      <c r="H146" s="34" t="inlineStr">
        <is>
          <t>L3 · Criterios de aceptación escritos — Cumple</t>
        </is>
      </c>
      <c r="I146" s="8" t="n"/>
      <c r="J146" s="23" t="n"/>
      <c r="L146" s="36" t="inlineStr">
        <is>
          <t>Mitad técnica: Además, los diez criterios T1 a T10 de la hoja «3. Criterios DoR y DoD», sin excepción</t>
        </is>
      </c>
      <c r="M146" s="37" t="n"/>
      <c r="N146" s="37" t="n"/>
      <c r="O146" s="38" t="n"/>
    </row>
    <row r="147" ht="30" customHeight="1">
      <c r="B147" s="36" t="inlineStr">
        <is>
          <t>Depende de: HU-01</t>
        </is>
      </c>
      <c r="C147" s="37" t="n"/>
      <c r="D147" s="37" t="n"/>
      <c r="E147" s="38" t="n"/>
      <c r="G147" s="33" t="inlineStr">
        <is>
          <t>( x )</t>
        </is>
      </c>
      <c r="H147" s="34" t="inlineStr">
        <is>
          <t>L4 · Dependencias resueltas — Cumple</t>
        </is>
      </c>
      <c r="I147" s="8" t="n"/>
      <c r="J147" s="23" t="n"/>
    </row>
    <row r="148" ht="30" customHeight="1">
      <c r="G148" s="33" t="inlineStr">
        <is>
          <t>( x )</t>
        </is>
      </c>
      <c r="H148" s="34" t="inlineStr">
        <is>
          <t>L5 · Estimada por los Developers — Cumple</t>
        </is>
      </c>
      <c r="I148" s="8" t="n"/>
      <c r="J148" s="23" t="n"/>
    </row>
    <row r="149" ht="30" customHeight="1">
      <c r="G149" s="33" t="inlineStr">
        <is>
          <t>( x )</t>
        </is>
      </c>
      <c r="H149" s="34" t="inlineStr">
        <is>
          <t>L6 · Cabe en un sprint (8 puntos o menos) — Cumple</t>
        </is>
      </c>
      <c r="I149" s="8" t="n"/>
      <c r="J149" s="23" t="n"/>
    </row>
    <row r="150" ht="30" customHeight="1">
      <c r="G150" s="33" t="inlineStr">
        <is>
          <t>( x )</t>
        </is>
      </c>
      <c r="H150" s="34" t="inlineStr">
        <is>
          <t>L7 · Reglas de dominio identificadas — Cumple</t>
        </is>
      </c>
      <c r="I150" s="8" t="n"/>
      <c r="J150" s="23" t="n"/>
    </row>
    <row r="151" ht="30" customHeight="1">
      <c r="G151" s="33" t="inlineStr">
        <is>
          <t>( x )</t>
        </is>
      </c>
      <c r="H151" s="34" t="inlineStr">
        <is>
          <t>L8 · Datos de prueba disponibles — Cumple</t>
        </is>
      </c>
      <c r="I151" s="8" t="n"/>
      <c r="J151" s="23" t="n"/>
    </row>
    <row r="152" ht="30" customHeight="1">
      <c r="G152" s="33" t="inlineStr">
        <is>
          <t>( x )</t>
        </is>
      </c>
      <c r="H152" s="34" t="inlineStr">
        <is>
          <t>L9 · Responsable técnico asignado — Cumple</t>
        </is>
      </c>
      <c r="I152" s="8" t="n"/>
      <c r="J152" s="23" t="n"/>
    </row>
    <row r="153" ht="30" customHeight="1">
      <c r="G153" s="33" t="inlineStr">
        <is>
          <t>( x )</t>
        </is>
      </c>
      <c r="H153" s="34" t="inlineStr">
        <is>
          <t>L10 · Recursos identificados — Cumple: Víctor Luján + equipo de desarrollo y datos de prueba</t>
        </is>
      </c>
      <c r="I153" s="8" t="n"/>
      <c r="J153" s="23" t="n"/>
    </row>
    <row r="154" ht="30" customHeight="1">
      <c r="G154" s="33" t="inlineStr">
        <is>
          <t>( x )</t>
        </is>
      </c>
      <c r="H154" s="34" t="inlineStr">
        <is>
          <t>L11 · Requisitos técnicos de programación definidos — Cumple: React 18, TypeScript y Vite</t>
        </is>
      </c>
      <c r="I154" s="8" t="n"/>
      <c r="J154" s="23" t="n"/>
    </row>
    <row r="155" ht="30" customHeight="1">
      <c r="G155" s="33" t="inlineStr">
        <is>
          <t>( x )</t>
        </is>
      </c>
      <c r="H155" s="34" t="inlineStr">
        <is>
          <t>L12 · Accesos de red disponibles — Cumple: GitHub (repositorio privado), API y PostgreSQL en docker compose</t>
        </is>
      </c>
      <c r="I155" s="8" t="n"/>
      <c r="J155" s="23" t="n"/>
    </row>
    <row r="156" ht="36" customHeight="1">
      <c r="G156" s="39" t="inlineStr">
        <is>
          <t>Riesgos: Mostrar obras ajenas · solo las obras asignadas al usuario</t>
        </is>
      </c>
      <c r="H156" s="8" t="n"/>
      <c r="I156" s="8" t="n"/>
      <c r="J156" s="23" t="n"/>
    </row>
    <row r="157" ht="36" customHeight="1">
      <c r="G157" s="32" t="inlineStr">
        <is>
          <t>Proveedores de servicio: Navegador · API en la nube (PostgreSQL gestionado, capa gratuita)</t>
        </is>
      </c>
      <c r="H157" s="8" t="n"/>
      <c r="I157" s="8" t="n"/>
      <c r="J157" s="23" t="n"/>
    </row>
    <row r="158" ht="36" customHeight="1">
      <c r="G158" s="36" t="inlineStr">
        <is>
          <t>Costos: 2 pts ≈ 4 horas-persona (1 punto ≈ 2 h) · servicios externos: S/ 0 (planes gratuitos)</t>
        </is>
      </c>
      <c r="H158" s="37" t="n"/>
      <c r="I158" s="37" t="n"/>
      <c r="J158" s="38" t="n"/>
    </row>
    <row r="161">
      <c r="B161" s="18" t="inlineStr">
        <is>
          <t>HU-07 · Importar catálogo de insumos del S10</t>
        </is>
      </c>
    </row>
    <row r="162" ht="18" customHeight="1">
      <c r="B162" s="19" t="inlineStr">
        <is>
          <t>TARJETA 1 · Historia de usuario</t>
        </is>
      </c>
      <c r="C162" s="20" t="n"/>
      <c r="D162" s="20" t="n"/>
      <c r="E162" s="21" t="n"/>
      <c r="G162" s="19" t="inlineStr">
        <is>
          <t>TARJETA 2 · Definición de Listo</t>
        </is>
      </c>
      <c r="H162" s="20" t="n"/>
      <c r="I162" s="20" t="n"/>
      <c r="J162" s="21" t="n"/>
      <c r="L162" s="19" t="inlineStr">
        <is>
          <t>TARJETA 3 · Definición de Terminado</t>
        </is>
      </c>
      <c r="M162" s="20" t="n"/>
      <c r="N162" s="20" t="n"/>
      <c r="O162" s="21" t="n"/>
    </row>
    <row r="163" ht="28" customHeight="1">
      <c r="B163" s="22" t="inlineStr">
        <is>
          <t>La unidad con la que se planifica, se estima y se acepta el trabajo</t>
        </is>
      </c>
      <c r="C163" s="8" t="n"/>
      <c r="D163" s="8" t="n"/>
      <c r="E163" s="23" t="n"/>
      <c r="G163" s="22" t="inlineStr">
        <is>
          <t>El enfoque está en la consideración del equipo de desarrollo sobre si la historia está lista para un Sprint</t>
        </is>
      </c>
      <c r="H163" s="8" t="n"/>
      <c r="I163" s="8" t="n"/>
      <c r="J163" s="23" t="n"/>
      <c r="L163" s="22" t="inlineStr">
        <is>
          <t>El enfoque está en la aceptación del cliente cuando se le entregue el producto</t>
        </is>
      </c>
      <c r="M163" s="8" t="n"/>
      <c r="N163" s="8" t="n"/>
      <c r="O163" s="23" t="n"/>
    </row>
    <row r="164">
      <c r="B164" s="24" t="inlineStr">
        <is>
          <t>Historia de usuario</t>
        </is>
      </c>
      <c r="C164" s="8" t="n"/>
      <c r="D164" s="25" t="inlineStr">
        <is>
          <t>Prioridad</t>
        </is>
      </c>
      <c r="E164" s="26" t="inlineStr">
        <is>
          <t>Estimación</t>
        </is>
      </c>
      <c r="G164" s="24" t="inlineStr">
        <is>
          <t>Historia de usuario</t>
        </is>
      </c>
      <c r="H164" s="8" t="n"/>
      <c r="I164" s="25" t="inlineStr">
        <is>
          <t>Prioridad</t>
        </is>
      </c>
      <c r="J164" s="26" t="inlineStr">
        <is>
          <t>Estimación</t>
        </is>
      </c>
      <c r="L164" s="24" t="inlineStr">
        <is>
          <t>Historia de usuario</t>
        </is>
      </c>
      <c r="M164" s="8" t="n"/>
      <c r="N164" s="25" t="inlineStr">
        <is>
          <t>Prioridad</t>
        </is>
      </c>
      <c r="O164" s="26" t="inlineStr">
        <is>
          <t>Estimación</t>
        </is>
      </c>
    </row>
    <row r="165" ht="30" customHeight="1">
      <c r="B165" s="27" t="inlineStr">
        <is>
          <t>HU-07 · Importar catálogo de insumos del S10</t>
        </is>
      </c>
      <c r="C165" s="8" t="n"/>
      <c r="D165" s="9" t="inlineStr">
        <is>
          <t>Crítica</t>
        </is>
      </c>
      <c r="E165" s="28" t="inlineStr">
        <is>
          <t>8 pts</t>
        </is>
      </c>
      <c r="G165" s="27" t="inlineStr">
        <is>
          <t>HU-07 · Importar catálogo de insumos del S10</t>
        </is>
      </c>
      <c r="H165" s="8" t="n"/>
      <c r="I165" s="9" t="inlineStr">
        <is>
          <t>Crítica</t>
        </is>
      </c>
      <c r="J165" s="28" t="inlineStr">
        <is>
          <t>8 pts</t>
        </is>
      </c>
      <c r="L165" s="27" t="inlineStr">
        <is>
          <t>HU-07 · Importar catálogo de insumos del S10</t>
        </is>
      </c>
      <c r="M165" s="8" t="n"/>
      <c r="N165" s="9" t="inlineStr">
        <is>
          <t>Crítica</t>
        </is>
      </c>
      <c r="O165" s="28" t="inlineStr">
        <is>
          <t>8 pts</t>
        </is>
      </c>
    </row>
    <row r="166">
      <c r="B166" s="29" t="inlineStr">
        <is>
          <t>Descripción:</t>
        </is>
      </c>
      <c r="C166" s="8" t="n"/>
      <c r="D166" s="8" t="n"/>
      <c r="E166" s="23" t="n"/>
      <c r="G166" s="29" t="inlineStr">
        <is>
          <t>Descripción:</t>
        </is>
      </c>
      <c r="H166" s="8" t="n"/>
      <c r="I166" s="8" t="n"/>
      <c r="J166" s="23" t="n"/>
      <c r="L166" s="29" t="inlineStr">
        <is>
          <t>Descripción:</t>
        </is>
      </c>
      <c r="M166" s="8" t="n"/>
      <c r="N166" s="8" t="n"/>
      <c r="O166" s="23" t="n"/>
    </row>
    <row r="167" ht="28" customHeight="1">
      <c r="B167" s="30" t="inlineStr">
        <is>
          <t>Como residente de obra, quiero importar el catálogo de insumos del S10, para evitar cargar a mano cientos de insumos.</t>
        </is>
      </c>
      <c r="C167" s="8" t="n"/>
      <c r="D167" s="8" t="n"/>
      <c r="E167" s="23" t="n"/>
      <c r="G167" s="30" t="inlineStr">
        <is>
          <t>Como residente de obra, quiero importar el catálogo de insumos del S10, para evitar cargar a mano cientos de insumos.</t>
        </is>
      </c>
      <c r="H167" s="8" t="n"/>
      <c r="I167" s="8" t="n"/>
      <c r="J167" s="23" t="n"/>
      <c r="L167" s="30" t="inlineStr">
        <is>
          <t>Como residente de obra, quiero importar el catálogo de insumos del S10, para evitar cargar a mano cientos de insumos.</t>
        </is>
      </c>
      <c r="M167" s="8" t="n"/>
      <c r="N167" s="8" t="n"/>
      <c r="O167" s="23" t="n"/>
    </row>
    <row r="168" ht="28" customHeight="1">
      <c r="B168" s="31" t="n"/>
      <c r="C168" s="8" t="n"/>
      <c r="D168" s="8" t="n"/>
      <c r="E168" s="23" t="n"/>
      <c r="G168" s="31" t="n"/>
      <c r="H168" s="8" t="n"/>
      <c r="I168" s="8" t="n"/>
      <c r="J168" s="23" t="n"/>
      <c r="L168" s="31" t="n"/>
      <c r="M168" s="8" t="n"/>
      <c r="N168" s="8" t="n"/>
      <c r="O168" s="23" t="n"/>
    </row>
    <row r="169">
      <c r="B169" s="29" t="inlineStr">
        <is>
          <t>Ficha de la historia</t>
        </is>
      </c>
      <c r="C169" s="8" t="n"/>
      <c r="D169" s="8" t="n"/>
      <c r="E169" s="23" t="n"/>
      <c r="G169" s="29" t="inlineStr">
        <is>
          <t>Criterios de listo:</t>
        </is>
      </c>
      <c r="H169" s="8" t="n"/>
      <c r="I169" s="8" t="n"/>
      <c r="J169" s="23" t="n"/>
      <c r="L169" s="29" t="inlineStr">
        <is>
          <t>Condiciones finales (se marcan cuando el PO acepta la HU en la Review):</t>
        </is>
      </c>
      <c r="M169" s="8" t="n"/>
      <c r="N169" s="8" t="n"/>
      <c r="O169" s="23" t="n"/>
    </row>
    <row r="170" ht="30" customHeight="1">
      <c r="B170" s="32" t="inlineStr">
        <is>
          <t>Épica: E1. Preparar la obra y su control</t>
        </is>
      </c>
      <c r="C170" s="8" t="n"/>
      <c r="D170" s="8" t="n"/>
      <c r="E170" s="23" t="n"/>
      <c r="G170" s="33" t="inlineStr">
        <is>
          <t>( x )</t>
        </is>
      </c>
      <c r="H170" s="34" t="inlineStr">
        <is>
          <t>L1 · Redactada en el formato acordado — Cumple</t>
        </is>
      </c>
      <c r="I170" s="8" t="n"/>
      <c r="J170" s="23" t="n"/>
      <c r="L170" s="35" t="inlineStr">
        <is>
          <t>(    )</t>
        </is>
      </c>
      <c r="M170" s="34" t="inlineStr">
        <is>
          <t>El catálogo se ha importado desde el archivo real del S10</t>
        </is>
      </c>
      <c r="N170" s="8" t="n"/>
      <c r="O170" s="23" t="n"/>
    </row>
    <row r="171" ht="30" customHeight="1">
      <c r="B171" s="32" t="inlineStr">
        <is>
          <t>Módulo: Catálogo de insumos</t>
        </is>
      </c>
      <c r="C171" s="8" t="n"/>
      <c r="D171" s="8" t="n"/>
      <c r="E171" s="23" t="n"/>
      <c r="G171" s="33" t="inlineStr">
        <is>
          <t>( x )</t>
        </is>
      </c>
      <c r="H171" s="34" t="inlineStr">
        <is>
          <t>L2 · Nombre corto en forma de acción — Cumple</t>
        </is>
      </c>
      <c r="I171" s="8" t="n"/>
      <c r="J171" s="23" t="n"/>
      <c r="L171" s="35" t="inlineStr">
        <is>
          <t>(    )</t>
        </is>
      </c>
      <c r="M171" s="34" t="inlineStr">
        <is>
          <t>Los insumos que ya existían se han actualizado sin duplicarse</t>
        </is>
      </c>
      <c r="N171" s="8" t="n"/>
      <c r="O171" s="23" t="n"/>
    </row>
    <row r="172" ht="30" customHeight="1">
      <c r="B172" s="32" t="inlineStr">
        <is>
          <t>Responsable técnico: Integraciones · Fernando Istaña</t>
        </is>
      </c>
      <c r="C172" s="8" t="n"/>
      <c r="D172" s="8" t="n"/>
      <c r="E172" s="23" t="n"/>
      <c r="G172" s="33" t="inlineStr">
        <is>
          <t>( x )</t>
        </is>
      </c>
      <c r="H172" s="34" t="inlineStr">
        <is>
          <t>L3 · Criterios de aceptación escritos — Cumple</t>
        </is>
      </c>
      <c r="I172" s="8" t="n"/>
      <c r="J172" s="23" t="n"/>
      <c r="L172" s="35" t="inlineStr">
        <is>
          <t>(    )</t>
        </is>
      </c>
      <c r="M172" s="34" t="inlineStr">
        <is>
          <t>Se ha informado cuántos se crearon, cuántos se actualizaron y cuántos fallaron</t>
        </is>
      </c>
      <c r="N172" s="8" t="n"/>
      <c r="O172" s="23" t="n"/>
    </row>
    <row r="173" ht="30" customHeight="1">
      <c r="B173" s="36" t="inlineStr">
        <is>
          <t>Depende de: Ninguna</t>
        </is>
      </c>
      <c r="C173" s="37" t="n"/>
      <c r="D173" s="37" t="n"/>
      <c r="E173" s="38" t="n"/>
      <c r="G173" s="33" t="inlineStr">
        <is>
          <t>( x )</t>
        </is>
      </c>
      <c r="H173" s="34" t="inlineStr">
        <is>
          <t>L4 · Dependencias resueltas — Cumple</t>
        </is>
      </c>
      <c r="I173" s="8" t="n"/>
      <c r="J173" s="23" t="n"/>
      <c r="L173" s="35" t="inlineStr">
        <is>
          <t>(    )</t>
        </is>
      </c>
      <c r="M173" s="34" t="inlineStr">
        <is>
          <t>Una segunda importación se ha ejecutado sin alterar ningún saldo</t>
        </is>
      </c>
      <c r="N173" s="8" t="n"/>
      <c r="O173" s="23" t="n"/>
    </row>
    <row r="174" ht="36" customHeight="1">
      <c r="G174" s="33" t="inlineStr">
        <is>
          <t>( x )</t>
        </is>
      </c>
      <c r="H174" s="34" t="inlineStr">
        <is>
          <t>L5 · Estimada por los Developers — Cumple</t>
        </is>
      </c>
      <c r="I174" s="8" t="n"/>
      <c r="J174" s="23" t="n"/>
      <c r="L174" s="36" t="inlineStr">
        <is>
          <t>Mitad técnica: Además, los diez criterios T1 a T10 de la hoja «3. Criterios DoR y DoD», sin excepción</t>
        </is>
      </c>
      <c r="M174" s="37" t="n"/>
      <c r="N174" s="37" t="n"/>
      <c r="O174" s="38" t="n"/>
    </row>
    <row r="175" ht="30" customHeight="1">
      <c r="G175" s="33" t="inlineStr">
        <is>
          <t>( x )</t>
        </is>
      </c>
      <c r="H175" s="34" t="inlineStr">
        <is>
          <t>L6 · Cabe en un sprint (8 puntos o menos) — Cumple</t>
        </is>
      </c>
      <c r="I175" s="8" t="n"/>
      <c r="J175" s="23" t="n"/>
    </row>
    <row r="176" ht="30" customHeight="1">
      <c r="G176" s="33" t="inlineStr">
        <is>
          <t>( x )</t>
        </is>
      </c>
      <c r="H176" s="34" t="inlineStr">
        <is>
          <t>L7 · Reglas de dominio identificadas — Cumple</t>
        </is>
      </c>
      <c r="I176" s="8" t="n"/>
      <c r="J176" s="23" t="n"/>
    </row>
    <row r="177" ht="30" customHeight="1">
      <c r="G177" s="33" t="inlineStr">
        <is>
          <t>( x )</t>
        </is>
      </c>
      <c r="H177" s="34" t="inlineStr">
        <is>
          <t>L8 · Datos de prueba disponibles — Cumple: el cliente entregó los reportes del S10 el 21/10/2026</t>
        </is>
      </c>
      <c r="I177" s="8" t="n"/>
      <c r="J177" s="23" t="n"/>
    </row>
    <row r="178" ht="30" customHeight="1">
      <c r="G178" s="33" t="inlineStr">
        <is>
          <t>( x )</t>
        </is>
      </c>
      <c r="H178" s="34" t="inlineStr">
        <is>
          <t>L9 · Responsable técnico asignado — Cumple</t>
        </is>
      </c>
      <c r="I178" s="8" t="n"/>
      <c r="J178" s="23" t="n"/>
    </row>
    <row r="179" ht="30" customHeight="1">
      <c r="G179" s="33" t="inlineStr">
        <is>
          <t>( x )</t>
        </is>
      </c>
      <c r="H179" s="34" t="inlineStr">
        <is>
          <t>L10 · Recursos identificados — Cumple: Fernando Istaña + equipo de desarrollo y datos de prueba</t>
        </is>
      </c>
      <c r="I179" s="8" t="n"/>
      <c r="J179" s="23" t="n"/>
    </row>
    <row r="180" ht="30" customHeight="1">
      <c r="G180" s="33" t="inlineStr">
        <is>
          <t>( x )</t>
        </is>
      </c>
      <c r="H180" s="34" t="inlineStr">
        <is>
          <t>L11 · Requisitos técnicos de programación definidos — Cumple: FastAPI y httpx + pdfplumber (PDF del S10)</t>
        </is>
      </c>
      <c r="I180" s="8" t="n"/>
      <c r="J180" s="23" t="n"/>
    </row>
    <row r="181" ht="30" customHeight="1">
      <c r="G181" s="33" t="inlineStr">
        <is>
          <t>( x )</t>
        </is>
      </c>
      <c r="H181" s="34" t="inlineStr">
        <is>
          <t>L12 · Accesos de red disponibles — Cumple: GitHub (repositorio privado), API y PostgreSQL en docker compose</t>
        </is>
      </c>
      <c r="I181" s="8" t="n"/>
      <c r="J181" s="23" t="n"/>
    </row>
    <row r="182" ht="36" customHeight="1">
      <c r="G182" s="39" t="inlineStr">
        <is>
          <t>Riesgos: El formato del PDF del S10 cambia · lector probado con el archivo real; filas ilegibles se informan</t>
        </is>
      </c>
      <c r="H182" s="8" t="n"/>
      <c r="I182" s="8" t="n"/>
      <c r="J182" s="23" t="n"/>
    </row>
    <row r="183" ht="36" customHeight="1">
      <c r="G183" s="32" t="inlineStr">
        <is>
          <t>Proveedores de servicio: Cliente SEVENS: reportes exportados del S10 Presupuestos</t>
        </is>
      </c>
      <c r="H183" s="8" t="n"/>
      <c r="I183" s="8" t="n"/>
      <c r="J183" s="23" t="n"/>
    </row>
    <row r="184" ht="36" customHeight="1">
      <c r="G184" s="36" t="inlineStr">
        <is>
          <t>Costos: 8 pts ≈ 16 horas-persona (1 punto ≈ 2 h) · servicios externos: S/ 0 (planes gratuitos)</t>
        </is>
      </c>
      <c r="H184" s="37" t="n"/>
      <c r="I184" s="37" t="n"/>
      <c r="J184" s="38" t="n"/>
    </row>
    <row r="187">
      <c r="B187" s="18" t="inlineStr">
        <is>
          <t>HU-08 · Registrar insumos</t>
        </is>
      </c>
    </row>
    <row r="188" ht="18" customHeight="1">
      <c r="B188" s="19" t="inlineStr">
        <is>
          <t>TARJETA 1 · Historia de usuario</t>
        </is>
      </c>
      <c r="C188" s="20" t="n"/>
      <c r="D188" s="20" t="n"/>
      <c r="E188" s="21" t="n"/>
      <c r="G188" s="19" t="inlineStr">
        <is>
          <t>TARJETA 2 · Definición de Listo</t>
        </is>
      </c>
      <c r="H188" s="20" t="n"/>
      <c r="I188" s="20" t="n"/>
      <c r="J188" s="21" t="n"/>
      <c r="L188" s="19" t="inlineStr">
        <is>
          <t>TARJETA 3 · Definición de Terminado</t>
        </is>
      </c>
      <c r="M188" s="20" t="n"/>
      <c r="N188" s="20" t="n"/>
      <c r="O188" s="21" t="n"/>
    </row>
    <row r="189" ht="28" customHeight="1">
      <c r="B189" s="22" t="inlineStr">
        <is>
          <t>La unidad con la que se planifica, se estima y se acepta el trabajo</t>
        </is>
      </c>
      <c r="C189" s="8" t="n"/>
      <c r="D189" s="8" t="n"/>
      <c r="E189" s="23" t="n"/>
      <c r="G189" s="22" t="inlineStr">
        <is>
          <t>El enfoque está en la consideración del equipo de desarrollo sobre si la historia está lista para un Sprint</t>
        </is>
      </c>
      <c r="H189" s="8" t="n"/>
      <c r="I189" s="8" t="n"/>
      <c r="J189" s="23" t="n"/>
      <c r="L189" s="22" t="inlineStr">
        <is>
          <t>El enfoque está en la aceptación del cliente cuando se le entregue el producto</t>
        </is>
      </c>
      <c r="M189" s="8" t="n"/>
      <c r="N189" s="8" t="n"/>
      <c r="O189" s="23" t="n"/>
    </row>
    <row r="190">
      <c r="B190" s="24" t="inlineStr">
        <is>
          <t>Historia de usuario</t>
        </is>
      </c>
      <c r="C190" s="8" t="n"/>
      <c r="D190" s="25" t="inlineStr">
        <is>
          <t>Prioridad</t>
        </is>
      </c>
      <c r="E190" s="26" t="inlineStr">
        <is>
          <t>Estimación</t>
        </is>
      </c>
      <c r="G190" s="24" t="inlineStr">
        <is>
          <t>Historia de usuario</t>
        </is>
      </c>
      <c r="H190" s="8" t="n"/>
      <c r="I190" s="25" t="inlineStr">
        <is>
          <t>Prioridad</t>
        </is>
      </c>
      <c r="J190" s="26" t="inlineStr">
        <is>
          <t>Estimación</t>
        </is>
      </c>
      <c r="L190" s="24" t="inlineStr">
        <is>
          <t>Historia de usuario</t>
        </is>
      </c>
      <c r="M190" s="8" t="n"/>
      <c r="N190" s="25" t="inlineStr">
        <is>
          <t>Prioridad</t>
        </is>
      </c>
      <c r="O190" s="26" t="inlineStr">
        <is>
          <t>Estimación</t>
        </is>
      </c>
    </row>
    <row r="191" ht="30" customHeight="1">
      <c r="B191" s="27" t="inlineStr">
        <is>
          <t>HU-08 · Registrar insumos</t>
        </is>
      </c>
      <c r="C191" s="8" t="n"/>
      <c r="D191" s="9" t="inlineStr">
        <is>
          <t>Crítica</t>
        </is>
      </c>
      <c r="E191" s="28" t="inlineStr">
        <is>
          <t>5 pts</t>
        </is>
      </c>
      <c r="G191" s="27" t="inlineStr">
        <is>
          <t>HU-08 · Registrar insumos</t>
        </is>
      </c>
      <c r="H191" s="8" t="n"/>
      <c r="I191" s="9" t="inlineStr">
        <is>
          <t>Crítica</t>
        </is>
      </c>
      <c r="J191" s="28" t="inlineStr">
        <is>
          <t>5 pts</t>
        </is>
      </c>
      <c r="L191" s="27" t="inlineStr">
        <is>
          <t>HU-08 · Registrar insumos</t>
        </is>
      </c>
      <c r="M191" s="8" t="n"/>
      <c r="N191" s="9" t="inlineStr">
        <is>
          <t>Crítica</t>
        </is>
      </c>
      <c r="O191" s="28" t="inlineStr">
        <is>
          <t>5 pts</t>
        </is>
      </c>
    </row>
    <row r="192">
      <c r="B192" s="29" t="inlineStr">
        <is>
          <t>Descripción:</t>
        </is>
      </c>
      <c r="C192" s="8" t="n"/>
      <c r="D192" s="8" t="n"/>
      <c r="E192" s="23" t="n"/>
      <c r="G192" s="29" t="inlineStr">
        <is>
          <t>Descripción:</t>
        </is>
      </c>
      <c r="H192" s="8" t="n"/>
      <c r="I192" s="8" t="n"/>
      <c r="J192" s="23" t="n"/>
      <c r="L192" s="29" t="inlineStr">
        <is>
          <t>Descripción:</t>
        </is>
      </c>
      <c r="M192" s="8" t="n"/>
      <c r="N192" s="8" t="n"/>
      <c r="O192" s="23" t="n"/>
    </row>
    <row r="193" ht="28" customHeight="1">
      <c r="B193" s="30" t="inlineStr">
        <is>
          <t>Como almacenero, quiero registrar un insumo con información estandarizada, para identificarlo de la misma manera en todas las obras.</t>
        </is>
      </c>
      <c r="C193" s="8" t="n"/>
      <c r="D193" s="8" t="n"/>
      <c r="E193" s="23" t="n"/>
      <c r="G193" s="30" t="inlineStr">
        <is>
          <t>Como almacenero, quiero registrar un insumo con información estandarizada, para identificarlo de la misma manera en todas las obras.</t>
        </is>
      </c>
      <c r="H193" s="8" t="n"/>
      <c r="I193" s="8" t="n"/>
      <c r="J193" s="23" t="n"/>
      <c r="L193" s="30" t="inlineStr">
        <is>
          <t>Como almacenero, quiero registrar un insumo con información estandarizada, para identificarlo de la misma manera en todas las obras.</t>
        </is>
      </c>
      <c r="M193" s="8" t="n"/>
      <c r="N193" s="8" t="n"/>
      <c r="O193" s="23" t="n"/>
    </row>
    <row r="194" ht="28" customHeight="1">
      <c r="B194" s="31" t="n"/>
      <c r="C194" s="8" t="n"/>
      <c r="D194" s="8" t="n"/>
      <c r="E194" s="23" t="n"/>
      <c r="G194" s="31" t="n"/>
      <c r="H194" s="8" t="n"/>
      <c r="I194" s="8" t="n"/>
      <c r="J194" s="23" t="n"/>
      <c r="L194" s="31" t="n"/>
      <c r="M194" s="8" t="n"/>
      <c r="N194" s="8" t="n"/>
      <c r="O194" s="23" t="n"/>
    </row>
    <row r="195">
      <c r="B195" s="29" t="inlineStr">
        <is>
          <t>Ficha de la historia</t>
        </is>
      </c>
      <c r="C195" s="8" t="n"/>
      <c r="D195" s="8" t="n"/>
      <c r="E195" s="23" t="n"/>
      <c r="G195" s="29" t="inlineStr">
        <is>
          <t>Criterios de listo:</t>
        </is>
      </c>
      <c r="H195" s="8" t="n"/>
      <c r="I195" s="8" t="n"/>
      <c r="J195" s="23" t="n"/>
      <c r="L195" s="29" t="inlineStr">
        <is>
          <t>Condiciones finales (se marcan cuando el PO acepta la HU en la Review):</t>
        </is>
      </c>
      <c r="M195" s="8" t="n"/>
      <c r="N195" s="8" t="n"/>
      <c r="O195" s="23" t="n"/>
    </row>
    <row r="196" ht="30" customHeight="1">
      <c r="B196" s="32" t="inlineStr">
        <is>
          <t>Épica: E1. Preparar la obra y su control</t>
        </is>
      </c>
      <c r="C196" s="8" t="n"/>
      <c r="D196" s="8" t="n"/>
      <c r="E196" s="23" t="n"/>
      <c r="G196" s="33" t="inlineStr">
        <is>
          <t>( x )</t>
        </is>
      </c>
      <c r="H196" s="34" t="inlineStr">
        <is>
          <t>L1 · Redactada en el formato acordado — Cumple</t>
        </is>
      </c>
      <c r="I196" s="8" t="n"/>
      <c r="J196" s="23" t="n"/>
      <c r="L196" s="35" t="inlineStr">
        <is>
          <t>(    )</t>
        </is>
      </c>
      <c r="M196" s="34" t="inlineStr">
        <is>
          <t>El insumo se ha registrado con material, unidad y, cuando corresponde, medida, norma y marca</t>
        </is>
      </c>
      <c r="N196" s="8" t="n"/>
      <c r="O196" s="23" t="n"/>
    </row>
    <row r="197" ht="30" customHeight="1">
      <c r="B197" s="32" t="inlineStr">
        <is>
          <t>Módulo: Catálogo de insumos</t>
        </is>
      </c>
      <c r="C197" s="8" t="n"/>
      <c r="D197" s="8" t="n"/>
      <c r="E197" s="23" t="n"/>
      <c r="G197" s="33" t="inlineStr">
        <is>
          <t>( x )</t>
        </is>
      </c>
      <c r="H197" s="34" t="inlineStr">
        <is>
          <t>L2 · Nombre corto en forma de acción — Cumple</t>
        </is>
      </c>
      <c r="I197" s="8" t="n"/>
      <c r="J197" s="23" t="n"/>
      <c r="L197" s="35" t="inlineStr">
        <is>
          <t>(    )</t>
        </is>
      </c>
      <c r="M197" s="34" t="inlineStr">
        <is>
          <t>Se le ha asignado un código único</t>
        </is>
      </c>
      <c r="N197" s="8" t="n"/>
      <c r="O197" s="23" t="n"/>
    </row>
    <row r="198" ht="30" customHeight="1">
      <c r="B198" s="32" t="inlineStr">
        <is>
          <t>Responsable técnico: Backend · Henry Ticona</t>
        </is>
      </c>
      <c r="C198" s="8" t="n"/>
      <c r="D198" s="8" t="n"/>
      <c r="E198" s="23" t="n"/>
      <c r="G198" s="33" t="inlineStr">
        <is>
          <t>( x )</t>
        </is>
      </c>
      <c r="H198" s="34" t="inlineStr">
        <is>
          <t>L3 · Criterios de aceptación escritos — Cumple</t>
        </is>
      </c>
      <c r="I198" s="8" t="n"/>
      <c r="J198" s="23" t="n"/>
      <c r="L198" s="35" t="inlineStr">
        <is>
          <t>(    )</t>
        </is>
      </c>
      <c r="M198" s="34" t="inlineStr">
        <is>
          <t>Un insumo con el mismo material, medida y marca que otro se ha rechazado</t>
        </is>
      </c>
      <c r="N198" s="8" t="n"/>
      <c r="O198" s="23" t="n"/>
    </row>
    <row r="199" ht="36" customHeight="1">
      <c r="B199" s="36" t="inlineStr">
        <is>
          <t>Depende de: Ninguna</t>
        </is>
      </c>
      <c r="C199" s="37" t="n"/>
      <c r="D199" s="37" t="n"/>
      <c r="E199" s="38" t="n"/>
      <c r="G199" s="33" t="inlineStr">
        <is>
          <t>( x )</t>
        </is>
      </c>
      <c r="H199" s="34" t="inlineStr">
        <is>
          <t>L4 · Dependencias resueltas — Cumple</t>
        </is>
      </c>
      <c r="I199" s="8" t="n"/>
      <c r="J199" s="23" t="n"/>
      <c r="L199" s="36" t="inlineStr">
        <is>
          <t>Mitad técnica: Además, los diez criterios T1 a T10 de la hoja «3. Criterios DoR y DoD», sin excepción</t>
        </is>
      </c>
      <c r="M199" s="37" t="n"/>
      <c r="N199" s="37" t="n"/>
      <c r="O199" s="38" t="n"/>
    </row>
    <row r="200" ht="30" customHeight="1">
      <c r="G200" s="33" t="inlineStr">
        <is>
          <t>( x )</t>
        </is>
      </c>
      <c r="H200" s="34" t="inlineStr">
        <is>
          <t>L5 · Estimada por los Developers — Cumple</t>
        </is>
      </c>
      <c r="I200" s="8" t="n"/>
      <c r="J200" s="23" t="n"/>
    </row>
    <row r="201" ht="30" customHeight="1">
      <c r="G201" s="33" t="inlineStr">
        <is>
          <t>( x )</t>
        </is>
      </c>
      <c r="H201" s="34" t="inlineStr">
        <is>
          <t>L6 · Cabe en un sprint (8 puntos o menos) — Cumple</t>
        </is>
      </c>
      <c r="I201" s="8" t="n"/>
      <c r="J201" s="23" t="n"/>
    </row>
    <row r="202" ht="30" customHeight="1">
      <c r="G202" s="33" t="inlineStr">
        <is>
          <t>( x )</t>
        </is>
      </c>
      <c r="H202" s="34" t="inlineStr">
        <is>
          <t>L7 · Reglas de dominio identificadas — Cumple</t>
        </is>
      </c>
      <c r="I202" s="8" t="n"/>
      <c r="J202" s="23" t="n"/>
    </row>
    <row r="203" ht="30" customHeight="1">
      <c r="G203" s="33" t="inlineStr">
        <is>
          <t>( x )</t>
        </is>
      </c>
      <c r="H203" s="34" t="inlineStr">
        <is>
          <t>L8 · Datos de prueba disponibles — Cumple</t>
        </is>
      </c>
      <c r="I203" s="8" t="n"/>
      <c r="J203" s="23" t="n"/>
    </row>
    <row r="204" ht="30" customHeight="1">
      <c r="G204" s="33" t="inlineStr">
        <is>
          <t>( x )</t>
        </is>
      </c>
      <c r="H204" s="34" t="inlineStr">
        <is>
          <t>L9 · Responsable técnico asignado — Cumple</t>
        </is>
      </c>
      <c r="I204" s="8" t="n"/>
      <c r="J204" s="23" t="n"/>
    </row>
    <row r="205" ht="30" customHeight="1">
      <c r="G205" s="33" t="inlineStr">
        <is>
          <t>( x )</t>
        </is>
      </c>
      <c r="H205" s="34" t="inlineStr">
        <is>
          <t>L10 · Recursos identificados — Cumple: Henry Ticona + equipo de desarrollo y datos de prueba</t>
        </is>
      </c>
      <c r="I205" s="8" t="n"/>
      <c r="J205" s="23" t="n"/>
    </row>
    <row r="206" ht="30" customHeight="1">
      <c r="G206" s="33" t="inlineStr">
        <is>
          <t>( x )</t>
        </is>
      </c>
      <c r="H206" s="34" t="inlineStr">
        <is>
          <t>L11 · Requisitos técnicos de programación definidos — Cumple: FastAPI, SQLAlchemy 2, Alembic y PostgreSQL 16</t>
        </is>
      </c>
      <c r="I206" s="8" t="n"/>
      <c r="J206" s="23" t="n"/>
    </row>
    <row r="207" ht="30" customHeight="1">
      <c r="G207" s="33" t="inlineStr">
        <is>
          <t>( x )</t>
        </is>
      </c>
      <c r="H207" s="34" t="inlineStr">
        <is>
          <t>L12 · Accesos de red disponibles — Cumple: GitHub (repositorio privado), API y PostgreSQL en docker compose</t>
        </is>
      </c>
      <c r="I207" s="8" t="n"/>
      <c r="J207" s="23" t="n"/>
    </row>
    <row r="208" ht="36" customHeight="1">
      <c r="G208" s="39" t="inlineStr">
        <is>
          <t>Riesgos: Un mismo insumo con dos nombres · código único y estado «por verificar»</t>
        </is>
      </c>
      <c r="H208" s="8" t="n"/>
      <c r="I208" s="8" t="n"/>
      <c r="J208" s="23" t="n"/>
    </row>
    <row r="209" ht="36" customHeight="1">
      <c r="G209" s="32" t="inlineStr">
        <is>
          <t>Proveedores de servicio: PostgreSQL gestionado en la nube (capa gratuita) · GitHub</t>
        </is>
      </c>
      <c r="H209" s="8" t="n"/>
      <c r="I209" s="8" t="n"/>
      <c r="J209" s="23" t="n"/>
    </row>
    <row r="210" ht="36" customHeight="1">
      <c r="G210" s="36" t="inlineStr">
        <is>
          <t>Costos: 5 pts ≈ 10 horas-persona (1 punto ≈ 2 h) · servicios externos: S/ 0 (planes gratuitos)</t>
        </is>
      </c>
      <c r="H210" s="37" t="n"/>
      <c r="I210" s="37" t="n"/>
      <c r="J210" s="38" t="n"/>
    </row>
    <row r="213">
      <c r="B213" s="18" t="inlineStr">
        <is>
          <t>HU-09 · Registrar nombres comerciales</t>
        </is>
      </c>
    </row>
    <row r="214" ht="18" customHeight="1">
      <c r="B214" s="19" t="inlineStr">
        <is>
          <t>TARJETA 1 · Historia de usuario</t>
        </is>
      </c>
      <c r="C214" s="20" t="n"/>
      <c r="D214" s="20" t="n"/>
      <c r="E214" s="21" t="n"/>
      <c r="G214" s="19" t="inlineStr">
        <is>
          <t>TARJETA 2 · Definición de Listo</t>
        </is>
      </c>
      <c r="H214" s="20" t="n"/>
      <c r="I214" s="20" t="n"/>
      <c r="J214" s="21" t="n"/>
      <c r="L214" s="19" t="inlineStr">
        <is>
          <t>TARJETA 3 · Definición de Terminado</t>
        </is>
      </c>
      <c r="M214" s="20" t="n"/>
      <c r="N214" s="20" t="n"/>
      <c r="O214" s="21" t="n"/>
    </row>
    <row r="215" ht="28" customHeight="1">
      <c r="B215" s="22" t="inlineStr">
        <is>
          <t>La unidad con la que se planifica, se estima y se acepta el trabajo</t>
        </is>
      </c>
      <c r="C215" s="8" t="n"/>
      <c r="D215" s="8" t="n"/>
      <c r="E215" s="23" t="n"/>
      <c r="G215" s="22" t="inlineStr">
        <is>
          <t>El enfoque está en la consideración del equipo de desarrollo sobre si la historia está lista para un Sprint</t>
        </is>
      </c>
      <c r="H215" s="8" t="n"/>
      <c r="I215" s="8" t="n"/>
      <c r="J215" s="23" t="n"/>
      <c r="L215" s="22" t="inlineStr">
        <is>
          <t>El enfoque está en la aceptación del cliente cuando se le entregue el producto</t>
        </is>
      </c>
      <c r="M215" s="8" t="n"/>
      <c r="N215" s="8" t="n"/>
      <c r="O215" s="23" t="n"/>
    </row>
    <row r="216">
      <c r="B216" s="24" t="inlineStr">
        <is>
          <t>Historia de usuario</t>
        </is>
      </c>
      <c r="C216" s="8" t="n"/>
      <c r="D216" s="25" t="inlineStr">
        <is>
          <t>Prioridad</t>
        </is>
      </c>
      <c r="E216" s="26" t="inlineStr">
        <is>
          <t>Estimación</t>
        </is>
      </c>
      <c r="G216" s="24" t="inlineStr">
        <is>
          <t>Historia de usuario</t>
        </is>
      </c>
      <c r="H216" s="8" t="n"/>
      <c r="I216" s="25" t="inlineStr">
        <is>
          <t>Prioridad</t>
        </is>
      </c>
      <c r="J216" s="26" t="inlineStr">
        <is>
          <t>Estimación</t>
        </is>
      </c>
      <c r="L216" s="24" t="inlineStr">
        <is>
          <t>Historia de usuario</t>
        </is>
      </c>
      <c r="M216" s="8" t="n"/>
      <c r="N216" s="25" t="inlineStr">
        <is>
          <t>Prioridad</t>
        </is>
      </c>
      <c r="O216" s="26" t="inlineStr">
        <is>
          <t>Estimación</t>
        </is>
      </c>
    </row>
    <row r="217" ht="30" customHeight="1">
      <c r="B217" s="27" t="inlineStr">
        <is>
          <t>HU-09 · Registrar nombres comerciales</t>
        </is>
      </c>
      <c r="C217" s="8" t="n"/>
      <c r="D217" s="9" t="inlineStr">
        <is>
          <t>Media</t>
        </is>
      </c>
      <c r="E217" s="28" t="inlineStr">
        <is>
          <t>3 pts</t>
        </is>
      </c>
      <c r="G217" s="27" t="inlineStr">
        <is>
          <t>HU-09 · Registrar nombres comerciales</t>
        </is>
      </c>
      <c r="H217" s="8" t="n"/>
      <c r="I217" s="9" t="inlineStr">
        <is>
          <t>Media</t>
        </is>
      </c>
      <c r="J217" s="28" t="inlineStr">
        <is>
          <t>3 pts</t>
        </is>
      </c>
      <c r="L217" s="27" t="inlineStr">
        <is>
          <t>HU-09 · Registrar nombres comerciales</t>
        </is>
      </c>
      <c r="M217" s="8" t="n"/>
      <c r="N217" s="9" t="inlineStr">
        <is>
          <t>Media</t>
        </is>
      </c>
      <c r="O217" s="28" t="inlineStr">
        <is>
          <t>3 pts</t>
        </is>
      </c>
    </row>
    <row r="218">
      <c r="B218" s="29" t="inlineStr">
        <is>
          <t>Descripción:</t>
        </is>
      </c>
      <c r="C218" s="8" t="n"/>
      <c r="D218" s="8" t="n"/>
      <c r="E218" s="23" t="n"/>
      <c r="G218" s="29" t="inlineStr">
        <is>
          <t>Descripción:</t>
        </is>
      </c>
      <c r="H218" s="8" t="n"/>
      <c r="I218" s="8" t="n"/>
      <c r="J218" s="23" t="n"/>
      <c r="L218" s="29" t="inlineStr">
        <is>
          <t>Descripción:</t>
        </is>
      </c>
      <c r="M218" s="8" t="n"/>
      <c r="N218" s="8" t="n"/>
      <c r="O218" s="23" t="n"/>
    </row>
    <row r="219" ht="28" customHeight="1">
      <c r="B219" s="30" t="inlineStr">
        <is>
          <t>Como almacenero, quiero registrar nombres comerciales alternativos de un insumo, para encontrarlo aunque el proveedor use otra denominación.</t>
        </is>
      </c>
      <c r="C219" s="8" t="n"/>
      <c r="D219" s="8" t="n"/>
      <c r="E219" s="23" t="n"/>
      <c r="G219" s="30" t="inlineStr">
        <is>
          <t>Como almacenero, quiero registrar nombres comerciales alternativos de un insumo, para encontrarlo aunque el proveedor use otra denominación.</t>
        </is>
      </c>
      <c r="H219" s="8" t="n"/>
      <c r="I219" s="8" t="n"/>
      <c r="J219" s="23" t="n"/>
      <c r="L219" s="30" t="inlineStr">
        <is>
          <t>Como almacenero, quiero registrar nombres comerciales alternativos de un insumo, para encontrarlo aunque el proveedor use otra denominación.</t>
        </is>
      </c>
      <c r="M219" s="8" t="n"/>
      <c r="N219" s="8" t="n"/>
      <c r="O219" s="23" t="n"/>
    </row>
    <row r="220" ht="28" customHeight="1">
      <c r="B220" s="31" t="n"/>
      <c r="C220" s="8" t="n"/>
      <c r="D220" s="8" t="n"/>
      <c r="E220" s="23" t="n"/>
      <c r="G220" s="31" t="n"/>
      <c r="H220" s="8" t="n"/>
      <c r="I220" s="8" t="n"/>
      <c r="J220" s="23" t="n"/>
      <c r="L220" s="31" t="n"/>
      <c r="M220" s="8" t="n"/>
      <c r="N220" s="8" t="n"/>
      <c r="O220" s="23" t="n"/>
    </row>
    <row r="221">
      <c r="B221" s="29" t="inlineStr">
        <is>
          <t>Ficha de la historia</t>
        </is>
      </c>
      <c r="C221" s="8" t="n"/>
      <c r="D221" s="8" t="n"/>
      <c r="E221" s="23" t="n"/>
      <c r="G221" s="29" t="inlineStr">
        <is>
          <t>Criterios de listo:</t>
        </is>
      </c>
      <c r="H221" s="8" t="n"/>
      <c r="I221" s="8" t="n"/>
      <c r="J221" s="23" t="n"/>
      <c r="L221" s="29" t="inlineStr">
        <is>
          <t>Condiciones finales (se marcan cuando el PO acepta la HU en la Review):</t>
        </is>
      </c>
      <c r="M221" s="8" t="n"/>
      <c r="N221" s="8" t="n"/>
      <c r="O221" s="23" t="n"/>
    </row>
    <row r="222" ht="30" customHeight="1">
      <c r="B222" s="32" t="inlineStr">
        <is>
          <t>Épica: E1. Preparar la obra y su control</t>
        </is>
      </c>
      <c r="C222" s="8" t="n"/>
      <c r="D222" s="8" t="n"/>
      <c r="E222" s="23" t="n"/>
      <c r="G222" s="33" t="inlineStr">
        <is>
          <t>( x )</t>
        </is>
      </c>
      <c r="H222" s="34" t="inlineStr">
        <is>
          <t>L1 · Redactada en el formato acordado — Cumple</t>
        </is>
      </c>
      <c r="I222" s="8" t="n"/>
      <c r="J222" s="23" t="n"/>
      <c r="L222" s="35" t="inlineStr">
        <is>
          <t>(    )</t>
        </is>
      </c>
      <c r="M222" s="34" t="inlineStr">
        <is>
          <t>Los nombres comerciales del insumo se han registrado</t>
        </is>
      </c>
      <c r="N222" s="8" t="n"/>
      <c r="O222" s="23" t="n"/>
    </row>
    <row r="223" ht="30" customHeight="1">
      <c r="B223" s="32" t="inlineStr">
        <is>
          <t>Módulo: Catálogo de insumos</t>
        </is>
      </c>
      <c r="C223" s="8" t="n"/>
      <c r="D223" s="8" t="n"/>
      <c r="E223" s="23" t="n"/>
      <c r="G223" s="33" t="inlineStr">
        <is>
          <t>( x )</t>
        </is>
      </c>
      <c r="H223" s="34" t="inlineStr">
        <is>
          <t>L2 · Nombre corto en forma de acción — Cumple</t>
        </is>
      </c>
      <c r="I223" s="8" t="n"/>
      <c r="J223" s="23" t="n"/>
      <c r="L223" s="35" t="inlineStr">
        <is>
          <t>(    )</t>
        </is>
      </c>
      <c r="M223" s="34" t="inlineStr">
        <is>
          <t>Un nombre que ya apuntaba a otro insumo se ha rechazado</t>
        </is>
      </c>
      <c r="N223" s="8" t="n"/>
      <c r="O223" s="23" t="n"/>
    </row>
    <row r="224" ht="30" customHeight="1">
      <c r="B224" s="32" t="inlineStr">
        <is>
          <t>Responsable técnico: Backend · Henry Ticona</t>
        </is>
      </c>
      <c r="C224" s="8" t="n"/>
      <c r="D224" s="8" t="n"/>
      <c r="E224" s="23" t="n"/>
      <c r="G224" s="33" t="inlineStr">
        <is>
          <t>( x )</t>
        </is>
      </c>
      <c r="H224" s="34" t="inlineStr">
        <is>
          <t>L3 · Criterios de aceptación escritos — Cumple</t>
        </is>
      </c>
      <c r="I224" s="8" t="n"/>
      <c r="J224" s="23" t="n"/>
      <c r="L224" s="35" t="inlineStr">
        <is>
          <t>(    )</t>
        </is>
      </c>
      <c r="M224" s="34" t="inlineStr">
        <is>
          <t>Al escribir un nombre ya registrado, se ha advertido antes de crear uno nuevo</t>
        </is>
      </c>
      <c r="N224" s="8" t="n"/>
      <c r="O224" s="23" t="n"/>
    </row>
    <row r="225" ht="36" customHeight="1">
      <c r="B225" s="36" t="inlineStr">
        <is>
          <t>Depende de: HU-08</t>
        </is>
      </c>
      <c r="C225" s="37" t="n"/>
      <c r="D225" s="37" t="n"/>
      <c r="E225" s="38" t="n"/>
      <c r="G225" s="33" t="inlineStr">
        <is>
          <t>( x )</t>
        </is>
      </c>
      <c r="H225" s="34" t="inlineStr">
        <is>
          <t>L4 · Dependencias resueltas — Cumple</t>
        </is>
      </c>
      <c r="I225" s="8" t="n"/>
      <c r="J225" s="23" t="n"/>
      <c r="L225" s="36" t="inlineStr">
        <is>
          <t>Mitad técnica: Además, los diez criterios T1 a T10 de la hoja «3. Criterios DoR y DoD», sin excepción</t>
        </is>
      </c>
      <c r="M225" s="37" t="n"/>
      <c r="N225" s="37" t="n"/>
      <c r="O225" s="38" t="n"/>
    </row>
    <row r="226" ht="30" customHeight="1">
      <c r="G226" s="33" t="inlineStr">
        <is>
          <t>( x )</t>
        </is>
      </c>
      <c r="H226" s="34" t="inlineStr">
        <is>
          <t>L5 · Estimada por los Developers — Cumple</t>
        </is>
      </c>
      <c r="I226" s="8" t="n"/>
      <c r="J226" s="23" t="n"/>
    </row>
    <row r="227" ht="30" customHeight="1">
      <c r="G227" s="33" t="inlineStr">
        <is>
          <t>( x )</t>
        </is>
      </c>
      <c r="H227" s="34" t="inlineStr">
        <is>
          <t>L6 · Cabe en un sprint (8 puntos o menos) — Cumple</t>
        </is>
      </c>
      <c r="I227" s="8" t="n"/>
      <c r="J227" s="23" t="n"/>
    </row>
    <row r="228" ht="30" customHeight="1">
      <c r="G228" s="33" t="inlineStr">
        <is>
          <t>( x )</t>
        </is>
      </c>
      <c r="H228" s="34" t="inlineStr">
        <is>
          <t>L7 · Reglas de dominio identificadas — Cumple</t>
        </is>
      </c>
      <c r="I228" s="8" t="n"/>
      <c r="J228" s="23" t="n"/>
    </row>
    <row r="229" ht="30" customHeight="1">
      <c r="G229" s="33" t="inlineStr">
        <is>
          <t>( x )</t>
        </is>
      </c>
      <c r="H229" s="34" t="inlineStr">
        <is>
          <t>L8 · Datos de prueba disponibles — Cumple</t>
        </is>
      </c>
      <c r="I229" s="8" t="n"/>
      <c r="J229" s="23" t="n"/>
    </row>
    <row r="230" ht="30" customHeight="1">
      <c r="G230" s="33" t="inlineStr">
        <is>
          <t>( x )</t>
        </is>
      </c>
      <c r="H230" s="34" t="inlineStr">
        <is>
          <t>L9 · Responsable técnico asignado — Cumple</t>
        </is>
      </c>
      <c r="I230" s="8" t="n"/>
      <c r="J230" s="23" t="n"/>
    </row>
    <row r="231" ht="30" customHeight="1">
      <c r="G231" s="33" t="inlineStr">
        <is>
          <t>( x )</t>
        </is>
      </c>
      <c r="H231" s="34" t="inlineStr">
        <is>
          <t>L10 · Recursos identificados — Cumple: Henry Ticona + equipo de desarrollo y datos de prueba</t>
        </is>
      </c>
      <c r="I231" s="8" t="n"/>
      <c r="J231" s="23" t="n"/>
    </row>
    <row r="232" ht="30" customHeight="1">
      <c r="G232" s="33" t="inlineStr">
        <is>
          <t>( x )</t>
        </is>
      </c>
      <c r="H232" s="34" t="inlineStr">
        <is>
          <t>L11 · Requisitos técnicos de programación definidos — Cumple: FastAPI, SQLAlchemy 2, Alembic y PostgreSQL 16</t>
        </is>
      </c>
      <c r="I232" s="8" t="n"/>
      <c r="J232" s="23" t="n"/>
    </row>
    <row r="233" ht="30" customHeight="1">
      <c r="G233" s="33" t="inlineStr">
        <is>
          <t>( x )</t>
        </is>
      </c>
      <c r="H233" s="34" t="inlineStr">
        <is>
          <t>L12 · Accesos de red disponibles — Cumple: GitHub (repositorio privado), API y PostgreSQL en docker compose</t>
        </is>
      </c>
      <c r="I233" s="8" t="n"/>
      <c r="J233" s="23" t="n"/>
    </row>
    <row r="234" ht="36" customHeight="1">
      <c r="G234" s="39" t="inlineStr">
        <is>
          <t>Riesgos: Un nombre comercial apuntando a dos insumos · nombre alternativo único</t>
        </is>
      </c>
      <c r="H234" s="8" t="n"/>
      <c r="I234" s="8" t="n"/>
      <c r="J234" s="23" t="n"/>
    </row>
    <row r="235" ht="36" customHeight="1">
      <c r="G235" s="32" t="inlineStr">
        <is>
          <t>Proveedores de servicio: PostgreSQL gestionado en la nube (capa gratuita) · GitHub</t>
        </is>
      </c>
      <c r="H235" s="8" t="n"/>
      <c r="I235" s="8" t="n"/>
      <c r="J235" s="23" t="n"/>
    </row>
    <row r="236" ht="36" customHeight="1">
      <c r="G236" s="36" t="inlineStr">
        <is>
          <t>Costos: 3 pts ≈ 6 horas-persona (1 punto ≈ 2 h) · servicios externos: S/ 0 (planes gratuitos)</t>
        </is>
      </c>
      <c r="H236" s="37" t="n"/>
      <c r="I236" s="37" t="n"/>
      <c r="J236" s="38" t="n"/>
    </row>
    <row r="239">
      <c r="B239" s="18" t="inlineStr">
        <is>
          <t>HU-10 · Buscar insumos</t>
        </is>
      </c>
    </row>
    <row r="240" ht="18" customHeight="1">
      <c r="B240" s="19" t="inlineStr">
        <is>
          <t>TARJETA 1 · Historia de usuario</t>
        </is>
      </c>
      <c r="C240" s="20" t="n"/>
      <c r="D240" s="20" t="n"/>
      <c r="E240" s="21" t="n"/>
      <c r="G240" s="19" t="inlineStr">
        <is>
          <t>TARJETA 2 · Definición de Listo</t>
        </is>
      </c>
      <c r="H240" s="20" t="n"/>
      <c r="I240" s="20" t="n"/>
      <c r="J240" s="21" t="n"/>
      <c r="L240" s="19" t="inlineStr">
        <is>
          <t>TARJETA 3 · Definición de Terminado</t>
        </is>
      </c>
      <c r="M240" s="20" t="n"/>
      <c r="N240" s="20" t="n"/>
      <c r="O240" s="21" t="n"/>
    </row>
    <row r="241" ht="28" customHeight="1">
      <c r="B241" s="22" t="inlineStr">
        <is>
          <t>La unidad con la que se planifica, se estima y se acepta el trabajo</t>
        </is>
      </c>
      <c r="C241" s="8" t="n"/>
      <c r="D241" s="8" t="n"/>
      <c r="E241" s="23" t="n"/>
      <c r="G241" s="22" t="inlineStr">
        <is>
          <t>El enfoque está en la consideración del equipo de desarrollo sobre si la historia está lista para un Sprint</t>
        </is>
      </c>
      <c r="H241" s="8" t="n"/>
      <c r="I241" s="8" t="n"/>
      <c r="J241" s="23" t="n"/>
      <c r="L241" s="22" t="inlineStr">
        <is>
          <t>El enfoque está en la aceptación del cliente cuando se le entregue el producto</t>
        </is>
      </c>
      <c r="M241" s="8" t="n"/>
      <c r="N241" s="8" t="n"/>
      <c r="O241" s="23" t="n"/>
    </row>
    <row r="242">
      <c r="B242" s="24" t="inlineStr">
        <is>
          <t>Historia de usuario</t>
        </is>
      </c>
      <c r="C242" s="8" t="n"/>
      <c r="D242" s="25" t="inlineStr">
        <is>
          <t>Prioridad</t>
        </is>
      </c>
      <c r="E242" s="26" t="inlineStr">
        <is>
          <t>Estimación</t>
        </is>
      </c>
      <c r="G242" s="24" t="inlineStr">
        <is>
          <t>Historia de usuario</t>
        </is>
      </c>
      <c r="H242" s="8" t="n"/>
      <c r="I242" s="25" t="inlineStr">
        <is>
          <t>Prioridad</t>
        </is>
      </c>
      <c r="J242" s="26" t="inlineStr">
        <is>
          <t>Estimación</t>
        </is>
      </c>
      <c r="L242" s="24" t="inlineStr">
        <is>
          <t>Historia de usuario</t>
        </is>
      </c>
      <c r="M242" s="8" t="n"/>
      <c r="N242" s="25" t="inlineStr">
        <is>
          <t>Prioridad</t>
        </is>
      </c>
      <c r="O242" s="26" t="inlineStr">
        <is>
          <t>Estimación</t>
        </is>
      </c>
    </row>
    <row r="243" ht="30" customHeight="1">
      <c r="B243" s="27" t="inlineStr">
        <is>
          <t>HU-10 · Buscar insumos</t>
        </is>
      </c>
      <c r="C243" s="8" t="n"/>
      <c r="D243" s="9" t="inlineStr">
        <is>
          <t>Media</t>
        </is>
      </c>
      <c r="E243" s="28" t="inlineStr">
        <is>
          <t>3 pts</t>
        </is>
      </c>
      <c r="G243" s="27" t="inlineStr">
        <is>
          <t>HU-10 · Buscar insumos</t>
        </is>
      </c>
      <c r="H243" s="8" t="n"/>
      <c r="I243" s="9" t="inlineStr">
        <is>
          <t>Media</t>
        </is>
      </c>
      <c r="J243" s="28" t="inlineStr">
        <is>
          <t>3 pts</t>
        </is>
      </c>
      <c r="L243" s="27" t="inlineStr">
        <is>
          <t>HU-10 · Buscar insumos</t>
        </is>
      </c>
      <c r="M243" s="8" t="n"/>
      <c r="N243" s="9" t="inlineStr">
        <is>
          <t>Media</t>
        </is>
      </c>
      <c r="O243" s="28" t="inlineStr">
        <is>
          <t>3 pts</t>
        </is>
      </c>
    </row>
    <row r="244">
      <c r="B244" s="29" t="inlineStr">
        <is>
          <t>Descripción:</t>
        </is>
      </c>
      <c r="C244" s="8" t="n"/>
      <c r="D244" s="8" t="n"/>
      <c r="E244" s="23" t="n"/>
      <c r="G244" s="29" t="inlineStr">
        <is>
          <t>Descripción:</t>
        </is>
      </c>
      <c r="H244" s="8" t="n"/>
      <c r="I244" s="8" t="n"/>
      <c r="J244" s="23" t="n"/>
      <c r="L244" s="29" t="inlineStr">
        <is>
          <t>Descripción:</t>
        </is>
      </c>
      <c r="M244" s="8" t="n"/>
      <c r="N244" s="8" t="n"/>
      <c r="O244" s="23" t="n"/>
    </row>
    <row r="245" ht="28" customHeight="1">
      <c r="B245" s="30" t="inlineStr">
        <is>
          <t>Como almacenero, quiero buscar un insumo por cualquiera de sus nombres, para no crear un duplicado por error.</t>
        </is>
      </c>
      <c r="C245" s="8" t="n"/>
      <c r="D245" s="8" t="n"/>
      <c r="E245" s="23" t="n"/>
      <c r="G245" s="30" t="inlineStr">
        <is>
          <t>Como almacenero, quiero buscar un insumo por cualquiera de sus nombres, para no crear un duplicado por error.</t>
        </is>
      </c>
      <c r="H245" s="8" t="n"/>
      <c r="I245" s="8" t="n"/>
      <c r="J245" s="23" t="n"/>
      <c r="L245" s="30" t="inlineStr">
        <is>
          <t>Como almacenero, quiero buscar un insumo por cualquiera de sus nombres, para no crear un duplicado por error.</t>
        </is>
      </c>
      <c r="M245" s="8" t="n"/>
      <c r="N245" s="8" t="n"/>
      <c r="O245" s="23" t="n"/>
    </row>
    <row r="246" ht="28" customHeight="1">
      <c r="B246" s="31" t="n"/>
      <c r="C246" s="8" t="n"/>
      <c r="D246" s="8" t="n"/>
      <c r="E246" s="23" t="n"/>
      <c r="G246" s="31" t="n"/>
      <c r="H246" s="8" t="n"/>
      <c r="I246" s="8" t="n"/>
      <c r="J246" s="23" t="n"/>
      <c r="L246" s="31" t="n"/>
      <c r="M246" s="8" t="n"/>
      <c r="N246" s="8" t="n"/>
      <c r="O246" s="23" t="n"/>
    </row>
    <row r="247">
      <c r="B247" s="29" t="inlineStr">
        <is>
          <t>Ficha de la historia</t>
        </is>
      </c>
      <c r="C247" s="8" t="n"/>
      <c r="D247" s="8" t="n"/>
      <c r="E247" s="23" t="n"/>
      <c r="G247" s="29" t="inlineStr">
        <is>
          <t>Criterios de listo:</t>
        </is>
      </c>
      <c r="H247" s="8" t="n"/>
      <c r="I247" s="8" t="n"/>
      <c r="J247" s="23" t="n"/>
      <c r="L247" s="29" t="inlineStr">
        <is>
          <t>Condiciones finales (se marcan cuando el PO acepta la HU en la Review):</t>
        </is>
      </c>
      <c r="M247" s="8" t="n"/>
      <c r="N247" s="8" t="n"/>
      <c r="O247" s="23" t="n"/>
    </row>
    <row r="248" ht="30" customHeight="1">
      <c r="B248" s="32" t="inlineStr">
        <is>
          <t>Épica: E1. Preparar la obra y su control</t>
        </is>
      </c>
      <c r="C248" s="8" t="n"/>
      <c r="D248" s="8" t="n"/>
      <c r="E248" s="23" t="n"/>
      <c r="G248" s="33" t="inlineStr">
        <is>
          <t>( x )</t>
        </is>
      </c>
      <c r="H248" s="34" t="inlineStr">
        <is>
          <t>L1 · Redactada en el formato acordado — Cumple</t>
        </is>
      </c>
      <c r="I248" s="8" t="n"/>
      <c r="J248" s="23" t="n"/>
      <c r="L248" s="35" t="inlineStr">
        <is>
          <t>(    )</t>
        </is>
      </c>
      <c r="M248" s="34" t="inlineStr">
        <is>
          <t>El insumo se ha encontrado por su nombre, su código o un nombre comercial</t>
        </is>
      </c>
      <c r="N248" s="8" t="n"/>
      <c r="O248" s="23" t="n"/>
    </row>
    <row r="249" ht="30" customHeight="1">
      <c r="B249" s="32" t="inlineStr">
        <is>
          <t>Módulo: Catálogo de insumos</t>
        </is>
      </c>
      <c r="C249" s="8" t="n"/>
      <c r="D249" s="8" t="n"/>
      <c r="E249" s="23" t="n"/>
      <c r="G249" s="33" t="inlineStr">
        <is>
          <t>( x )</t>
        </is>
      </c>
      <c r="H249" s="34" t="inlineStr">
        <is>
          <t>L2 · Nombre corto en forma de acción — Cumple</t>
        </is>
      </c>
      <c r="I249" s="8" t="n"/>
      <c r="J249" s="23" t="n"/>
      <c r="L249" s="35" t="inlineStr">
        <is>
          <t>(    )</t>
        </is>
      </c>
      <c r="M249" s="34" t="inlineStr">
        <is>
          <t>La búsqueda ha ignorado mayúsculas, tildes y espacios de más</t>
        </is>
      </c>
      <c r="N249" s="8" t="n"/>
      <c r="O249" s="23" t="n"/>
    </row>
    <row r="250" ht="30" customHeight="1">
      <c r="B250" s="32" t="inlineStr">
        <is>
          <t>Responsable técnico: Backend · Henry Ticona</t>
        </is>
      </c>
      <c r="C250" s="8" t="n"/>
      <c r="D250" s="8" t="n"/>
      <c r="E250" s="23" t="n"/>
      <c r="G250" s="33" t="inlineStr">
        <is>
          <t>( x )</t>
        </is>
      </c>
      <c r="H250" s="34" t="inlineStr">
        <is>
          <t>L3 · Criterios de aceptación escritos — Cumple</t>
        </is>
      </c>
      <c r="I250" s="8" t="n"/>
      <c r="J250" s="23" t="n"/>
      <c r="L250" s="35" t="inlineStr">
        <is>
          <t>(    )</t>
        </is>
      </c>
      <c r="M250" s="34" t="inlineStr">
        <is>
          <t>Al crear un insumo parecido, se han mostrado las coincidencias antes de confirmar</t>
        </is>
      </c>
      <c r="N250" s="8" t="n"/>
      <c r="O250" s="23" t="n"/>
    </row>
    <row r="251" ht="36" customHeight="1">
      <c r="B251" s="36" t="inlineStr">
        <is>
          <t>Depende de: HU-09</t>
        </is>
      </c>
      <c r="C251" s="37" t="n"/>
      <c r="D251" s="37" t="n"/>
      <c r="E251" s="38" t="n"/>
      <c r="G251" s="33" t="inlineStr">
        <is>
          <t>( x )</t>
        </is>
      </c>
      <c r="H251" s="34" t="inlineStr">
        <is>
          <t>L4 · Dependencias resueltas — Cumple</t>
        </is>
      </c>
      <c r="I251" s="8" t="n"/>
      <c r="J251" s="23" t="n"/>
      <c r="L251" s="36" t="inlineStr">
        <is>
          <t>Mitad técnica: Además, los diez criterios T1 a T10 de la hoja «3. Criterios DoR y DoD», sin excepción</t>
        </is>
      </c>
      <c r="M251" s="37" t="n"/>
      <c r="N251" s="37" t="n"/>
      <c r="O251" s="38" t="n"/>
    </row>
    <row r="252" ht="30" customHeight="1">
      <c r="G252" s="33" t="inlineStr">
        <is>
          <t>( x )</t>
        </is>
      </c>
      <c r="H252" s="34" t="inlineStr">
        <is>
          <t>L5 · Estimada por los Developers — Cumple</t>
        </is>
      </c>
      <c r="I252" s="8" t="n"/>
      <c r="J252" s="23" t="n"/>
    </row>
    <row r="253" ht="30" customHeight="1">
      <c r="G253" s="33" t="inlineStr">
        <is>
          <t>( x )</t>
        </is>
      </c>
      <c r="H253" s="34" t="inlineStr">
        <is>
          <t>L6 · Cabe en un sprint (8 puntos o menos) — Cumple</t>
        </is>
      </c>
      <c r="I253" s="8" t="n"/>
      <c r="J253" s="23" t="n"/>
    </row>
    <row r="254" ht="30" customHeight="1">
      <c r="G254" s="33" t="inlineStr">
        <is>
          <t>( x )</t>
        </is>
      </c>
      <c r="H254" s="34" t="inlineStr">
        <is>
          <t>L7 · Reglas de dominio identificadas — Cumple</t>
        </is>
      </c>
      <c r="I254" s="8" t="n"/>
      <c r="J254" s="23" t="n"/>
    </row>
    <row r="255" ht="30" customHeight="1">
      <c r="G255" s="33" t="inlineStr">
        <is>
          <t>( x )</t>
        </is>
      </c>
      <c r="H255" s="34" t="inlineStr">
        <is>
          <t>L8 · Datos de prueba disponibles — Cumple</t>
        </is>
      </c>
      <c r="I255" s="8" t="n"/>
      <c r="J255" s="23" t="n"/>
    </row>
    <row r="256" ht="30" customHeight="1">
      <c r="G256" s="33" t="inlineStr">
        <is>
          <t>( x )</t>
        </is>
      </c>
      <c r="H256" s="34" t="inlineStr">
        <is>
          <t>L9 · Responsable técnico asignado — Cumple</t>
        </is>
      </c>
      <c r="I256" s="8" t="n"/>
      <c r="J256" s="23" t="n"/>
    </row>
    <row r="257" ht="30" customHeight="1">
      <c r="G257" s="33" t="inlineStr">
        <is>
          <t>( x )</t>
        </is>
      </c>
      <c r="H257" s="34" t="inlineStr">
        <is>
          <t>L10 · Recursos identificados — Cumple: Henry Ticona + equipo de desarrollo y datos de prueba</t>
        </is>
      </c>
      <c r="I257" s="8" t="n"/>
      <c r="J257" s="23" t="n"/>
    </row>
    <row r="258" ht="30" customHeight="1">
      <c r="G258" s="33" t="inlineStr">
        <is>
          <t>( x )</t>
        </is>
      </c>
      <c r="H258" s="34" t="inlineStr">
        <is>
          <t>L11 · Requisitos técnicos de programación definidos — Cumple: FastAPI, SQLAlchemy 2, Alembic y PostgreSQL 16</t>
        </is>
      </c>
      <c r="I258" s="8" t="n"/>
      <c r="J258" s="23" t="n"/>
    </row>
    <row r="259" ht="30" customHeight="1">
      <c r="G259" s="33" t="inlineStr">
        <is>
          <t>( x )</t>
        </is>
      </c>
      <c r="H259" s="34" t="inlineStr">
        <is>
          <t>L12 · Accesos de red disponibles — Cumple: GitHub (repositorio privado), API y PostgreSQL en docker compose</t>
        </is>
      </c>
      <c r="I259" s="8" t="n"/>
      <c r="J259" s="23" t="n"/>
    </row>
    <row r="260" ht="36" customHeight="1">
      <c r="G260" s="39" t="inlineStr">
        <is>
          <t>Riesgos: Crear un duplicado por no encontrarlo · búsqueda sin tildes ni mayúsculas y aviso de coincidencias</t>
        </is>
      </c>
      <c r="H260" s="8" t="n"/>
      <c r="I260" s="8" t="n"/>
      <c r="J260" s="23" t="n"/>
    </row>
    <row r="261" ht="36" customHeight="1">
      <c r="G261" s="32" t="inlineStr">
        <is>
          <t>Proveedores de servicio: PostgreSQL gestionado en la nube (capa gratuita) · GitHub</t>
        </is>
      </c>
      <c r="H261" s="8" t="n"/>
      <c r="I261" s="8" t="n"/>
      <c r="J261" s="23" t="n"/>
    </row>
    <row r="262" ht="36" customHeight="1">
      <c r="G262" s="36" t="inlineStr">
        <is>
          <t>Costos: 3 pts ≈ 6 horas-persona (1 punto ≈ 2 h) · servicios externos: S/ 0 (planes gratuitos)</t>
        </is>
      </c>
      <c r="H262" s="37" t="n"/>
      <c r="I262" s="37" t="n"/>
      <c r="J262" s="38" t="n"/>
    </row>
    <row r="265">
      <c r="B265" s="18" t="inlineStr">
        <is>
          <t>HU-11 · Adjuntar foto del insumo</t>
        </is>
      </c>
    </row>
    <row r="266" ht="18" customHeight="1">
      <c r="B266" s="19" t="inlineStr">
        <is>
          <t>TARJETA 1 · Historia de usuario</t>
        </is>
      </c>
      <c r="C266" s="20" t="n"/>
      <c r="D266" s="20" t="n"/>
      <c r="E266" s="21" t="n"/>
      <c r="G266" s="19" t="inlineStr">
        <is>
          <t>TARJETA 2 · Definición de Listo</t>
        </is>
      </c>
      <c r="H266" s="20" t="n"/>
      <c r="I266" s="20" t="n"/>
      <c r="J266" s="21" t="n"/>
      <c r="L266" s="19" t="inlineStr">
        <is>
          <t>TARJETA 3 · Definición de Terminado</t>
        </is>
      </c>
      <c r="M266" s="20" t="n"/>
      <c r="N266" s="20" t="n"/>
      <c r="O266" s="21" t="n"/>
    </row>
    <row r="267" ht="28" customHeight="1">
      <c r="B267" s="22" t="inlineStr">
        <is>
          <t>La unidad con la que se planifica, se estima y se acepta el trabajo</t>
        </is>
      </c>
      <c r="C267" s="8" t="n"/>
      <c r="D267" s="8" t="n"/>
      <c r="E267" s="23" t="n"/>
      <c r="G267" s="22" t="inlineStr">
        <is>
          <t>El enfoque está en la consideración del equipo de desarrollo sobre si la historia está lista para un Sprint</t>
        </is>
      </c>
      <c r="H267" s="8" t="n"/>
      <c r="I267" s="8" t="n"/>
      <c r="J267" s="23" t="n"/>
      <c r="L267" s="22" t="inlineStr">
        <is>
          <t>El enfoque está en la aceptación del cliente cuando se le entregue el producto</t>
        </is>
      </c>
      <c r="M267" s="8" t="n"/>
      <c r="N267" s="8" t="n"/>
      <c r="O267" s="23" t="n"/>
    </row>
    <row r="268">
      <c r="B268" s="24" t="inlineStr">
        <is>
          <t>Historia de usuario</t>
        </is>
      </c>
      <c r="C268" s="8" t="n"/>
      <c r="D268" s="25" t="inlineStr">
        <is>
          <t>Prioridad</t>
        </is>
      </c>
      <c r="E268" s="26" t="inlineStr">
        <is>
          <t>Estimación</t>
        </is>
      </c>
      <c r="G268" s="24" t="inlineStr">
        <is>
          <t>Historia de usuario</t>
        </is>
      </c>
      <c r="H268" s="8" t="n"/>
      <c r="I268" s="25" t="inlineStr">
        <is>
          <t>Prioridad</t>
        </is>
      </c>
      <c r="J268" s="26" t="inlineStr">
        <is>
          <t>Estimación</t>
        </is>
      </c>
      <c r="L268" s="24" t="inlineStr">
        <is>
          <t>Historia de usuario</t>
        </is>
      </c>
      <c r="M268" s="8" t="n"/>
      <c r="N268" s="25" t="inlineStr">
        <is>
          <t>Prioridad</t>
        </is>
      </c>
      <c r="O268" s="26" t="inlineStr">
        <is>
          <t>Estimación</t>
        </is>
      </c>
    </row>
    <row r="269" ht="30" customHeight="1">
      <c r="B269" s="27" t="inlineStr">
        <is>
          <t>HU-11 · Adjuntar foto del insumo</t>
        </is>
      </c>
      <c r="C269" s="8" t="n"/>
      <c r="D269" s="9" t="inlineStr">
        <is>
          <t>Baja</t>
        </is>
      </c>
      <c r="E269" s="28" t="inlineStr">
        <is>
          <t>3 pts</t>
        </is>
      </c>
      <c r="G269" s="27" t="inlineStr">
        <is>
          <t>HU-11 · Adjuntar foto del insumo</t>
        </is>
      </c>
      <c r="H269" s="8" t="n"/>
      <c r="I269" s="9" t="inlineStr">
        <is>
          <t>Baja</t>
        </is>
      </c>
      <c r="J269" s="28" t="inlineStr">
        <is>
          <t>3 pts</t>
        </is>
      </c>
      <c r="L269" s="27" t="inlineStr">
        <is>
          <t>HU-11 · Adjuntar foto del insumo</t>
        </is>
      </c>
      <c r="M269" s="8" t="n"/>
      <c r="N269" s="9" t="inlineStr">
        <is>
          <t>Baja</t>
        </is>
      </c>
      <c r="O269" s="28" t="inlineStr">
        <is>
          <t>3 pts</t>
        </is>
      </c>
    </row>
    <row r="270">
      <c r="B270" s="29" t="inlineStr">
        <is>
          <t>Descripción:</t>
        </is>
      </c>
      <c r="C270" s="8" t="n"/>
      <c r="D270" s="8" t="n"/>
      <c r="E270" s="23" t="n"/>
      <c r="G270" s="29" t="inlineStr">
        <is>
          <t>Descripción:</t>
        </is>
      </c>
      <c r="H270" s="8" t="n"/>
      <c r="I270" s="8" t="n"/>
      <c r="J270" s="23" t="n"/>
      <c r="L270" s="29" t="inlineStr">
        <is>
          <t>Descripción:</t>
        </is>
      </c>
      <c r="M270" s="8" t="n"/>
      <c r="N270" s="8" t="n"/>
      <c r="O270" s="23" t="n"/>
    </row>
    <row r="271" ht="28" customHeight="1">
      <c r="B271" s="30" t="inlineStr">
        <is>
          <t>Como almacenero, quiero adjuntar una foto del insumo, para reconocerlo cuando lo facturan con otro nombre.</t>
        </is>
      </c>
      <c r="C271" s="8" t="n"/>
      <c r="D271" s="8" t="n"/>
      <c r="E271" s="23" t="n"/>
      <c r="G271" s="30" t="inlineStr">
        <is>
          <t>Como almacenero, quiero adjuntar una foto del insumo, para reconocerlo cuando lo facturan con otro nombre.</t>
        </is>
      </c>
      <c r="H271" s="8" t="n"/>
      <c r="I271" s="8" t="n"/>
      <c r="J271" s="23" t="n"/>
      <c r="L271" s="30" t="inlineStr">
        <is>
          <t>Como almacenero, quiero adjuntar una foto del insumo, para reconocerlo cuando lo facturan con otro nombre.</t>
        </is>
      </c>
      <c r="M271" s="8" t="n"/>
      <c r="N271" s="8" t="n"/>
      <c r="O271" s="23" t="n"/>
    </row>
    <row r="272" ht="28" customHeight="1">
      <c r="B272" s="31" t="n"/>
      <c r="C272" s="8" t="n"/>
      <c r="D272" s="8" t="n"/>
      <c r="E272" s="23" t="n"/>
      <c r="G272" s="31" t="n"/>
      <c r="H272" s="8" t="n"/>
      <c r="I272" s="8" t="n"/>
      <c r="J272" s="23" t="n"/>
      <c r="L272" s="31" t="n"/>
      <c r="M272" s="8" t="n"/>
      <c r="N272" s="8" t="n"/>
      <c r="O272" s="23" t="n"/>
    </row>
    <row r="273">
      <c r="B273" s="29" t="inlineStr">
        <is>
          <t>Ficha de la historia</t>
        </is>
      </c>
      <c r="C273" s="8" t="n"/>
      <c r="D273" s="8" t="n"/>
      <c r="E273" s="23" t="n"/>
      <c r="G273" s="29" t="inlineStr">
        <is>
          <t>Criterios de listo:</t>
        </is>
      </c>
      <c r="H273" s="8" t="n"/>
      <c r="I273" s="8" t="n"/>
      <c r="J273" s="23" t="n"/>
      <c r="L273" s="29" t="inlineStr">
        <is>
          <t>Condiciones finales (se marcan cuando el PO acepta la HU en la Review):</t>
        </is>
      </c>
      <c r="M273" s="8" t="n"/>
      <c r="N273" s="8" t="n"/>
      <c r="O273" s="23" t="n"/>
    </row>
    <row r="274" ht="30" customHeight="1">
      <c r="B274" s="32" t="inlineStr">
        <is>
          <t>Épica: E1. Preparar la obra y su control</t>
        </is>
      </c>
      <c r="C274" s="8" t="n"/>
      <c r="D274" s="8" t="n"/>
      <c r="E274" s="23" t="n"/>
      <c r="G274" s="33" t="inlineStr">
        <is>
          <t>( x )</t>
        </is>
      </c>
      <c r="H274" s="34" t="inlineStr">
        <is>
          <t>L1 · Redactada en el formato acordado — Cumple</t>
        </is>
      </c>
      <c r="I274" s="8" t="n"/>
      <c r="J274" s="23" t="n"/>
      <c r="L274" s="35" t="inlineStr">
        <is>
          <t>(    )</t>
        </is>
      </c>
      <c r="M274" s="34" t="inlineStr">
        <is>
          <t>La foto del insumo se ha adjuntado en JPG o PNG</t>
        </is>
      </c>
      <c r="N274" s="8" t="n"/>
      <c r="O274" s="23" t="n"/>
    </row>
    <row r="275" ht="30" customHeight="1">
      <c r="B275" s="32" t="inlineStr">
        <is>
          <t>Módulo: Catálogo de insumos</t>
        </is>
      </c>
      <c r="C275" s="8" t="n"/>
      <c r="D275" s="8" t="n"/>
      <c r="E275" s="23" t="n"/>
      <c r="G275" s="33" t="inlineStr">
        <is>
          <t>( x )</t>
        </is>
      </c>
      <c r="H275" s="34" t="inlineStr">
        <is>
          <t>L2 · Nombre corto en forma de acción — Cumple</t>
        </is>
      </c>
      <c r="I275" s="8" t="n"/>
      <c r="J275" s="23" t="n"/>
      <c r="L275" s="35" t="inlineStr">
        <is>
          <t>(    )</t>
        </is>
      </c>
      <c r="M275" s="34" t="inlineStr">
        <is>
          <t>La foto se ha reemplazado y ha quedado registrado quién la subió</t>
        </is>
      </c>
      <c r="N275" s="8" t="n"/>
      <c r="O275" s="23" t="n"/>
    </row>
    <row r="276" ht="30" customHeight="1">
      <c r="B276" s="32" t="inlineStr">
        <is>
          <t>Responsable técnico: Android · Nicolás Pachamora</t>
        </is>
      </c>
      <c r="C276" s="8" t="n"/>
      <c r="D276" s="8" t="n"/>
      <c r="E276" s="23" t="n"/>
      <c r="G276" s="33" t="inlineStr">
        <is>
          <t>( x )</t>
        </is>
      </c>
      <c r="H276" s="34" t="inlineStr">
        <is>
          <t>L3 · Criterios de aceptación escritos — Cumple</t>
        </is>
      </c>
      <c r="I276" s="8" t="n"/>
      <c r="J276" s="23" t="n"/>
      <c r="L276" s="35" t="inlineStr">
        <is>
          <t>(    )</t>
        </is>
      </c>
      <c r="M276" s="34" t="inlineStr">
        <is>
          <t>Un archivo de otro formato se ha rechazado</t>
        </is>
      </c>
      <c r="N276" s="8" t="n"/>
      <c r="O276" s="23" t="n"/>
    </row>
    <row r="277" ht="36" customHeight="1">
      <c r="B277" s="36" t="inlineStr">
        <is>
          <t>Depende de: HU-08</t>
        </is>
      </c>
      <c r="C277" s="37" t="n"/>
      <c r="D277" s="37" t="n"/>
      <c r="E277" s="38" t="n"/>
      <c r="G277" s="33" t="inlineStr">
        <is>
          <t>( x )</t>
        </is>
      </c>
      <c r="H277" s="34" t="inlineStr">
        <is>
          <t>L4 · Dependencias resueltas — Cumple</t>
        </is>
      </c>
      <c r="I277" s="8" t="n"/>
      <c r="J277" s="23" t="n"/>
      <c r="L277" s="36" t="inlineStr">
        <is>
          <t>Mitad técnica: Además, los diez criterios T1 a T10 de la hoja «3. Criterios DoR y DoD», sin excepción</t>
        </is>
      </c>
      <c r="M277" s="37" t="n"/>
      <c r="N277" s="37" t="n"/>
      <c r="O277" s="38" t="n"/>
    </row>
    <row r="278" ht="30" customHeight="1">
      <c r="G278" s="33" t="inlineStr">
        <is>
          <t>( x )</t>
        </is>
      </c>
      <c r="H278" s="34" t="inlineStr">
        <is>
          <t>L5 · Estimada por los Developers — Cumple</t>
        </is>
      </c>
      <c r="I278" s="8" t="n"/>
      <c r="J278" s="23" t="n"/>
    </row>
    <row r="279" ht="30" customHeight="1">
      <c r="G279" s="33" t="inlineStr">
        <is>
          <t>( x )</t>
        </is>
      </c>
      <c r="H279" s="34" t="inlineStr">
        <is>
          <t>L6 · Cabe en un sprint (8 puntos o menos) — Cumple</t>
        </is>
      </c>
      <c r="I279" s="8" t="n"/>
      <c r="J279" s="23" t="n"/>
    </row>
    <row r="280" ht="30" customHeight="1">
      <c r="G280" s="33" t="inlineStr">
        <is>
          <t>( x )</t>
        </is>
      </c>
      <c r="H280" s="34" t="inlineStr">
        <is>
          <t>L7 · Reglas de dominio identificadas — Cumple</t>
        </is>
      </c>
      <c r="I280" s="8" t="n"/>
      <c r="J280" s="23" t="n"/>
    </row>
    <row r="281" ht="30" customHeight="1">
      <c r="G281" s="33" t="inlineStr">
        <is>
          <t>( x )</t>
        </is>
      </c>
      <c r="H281" s="34" t="inlineStr">
        <is>
          <t>L8 · Datos de prueba disponibles — Cumple</t>
        </is>
      </c>
      <c r="I281" s="8" t="n"/>
      <c r="J281" s="23" t="n"/>
    </row>
    <row r="282" ht="30" customHeight="1">
      <c r="G282" s="33" t="inlineStr">
        <is>
          <t>( x )</t>
        </is>
      </c>
      <c r="H282" s="34" t="inlineStr">
        <is>
          <t>L9 · Responsable técnico asignado — Cumple</t>
        </is>
      </c>
      <c r="I282" s="8" t="n"/>
      <c r="J282" s="23" t="n"/>
    </row>
    <row r="283" ht="30" customHeight="1">
      <c r="G283" s="33" t="inlineStr">
        <is>
          <t>( x )</t>
        </is>
      </c>
      <c r="H283" s="34" t="inlineStr">
        <is>
          <t>L10 · Recursos identificados — Cumple: Nicolás Pachamora + equipo de desarrollo y datos de prueba</t>
        </is>
      </c>
      <c r="I283" s="8" t="n"/>
      <c r="J283" s="23" t="n"/>
    </row>
    <row r="284" ht="30" customHeight="1">
      <c r="G284" s="33" t="inlineStr">
        <is>
          <t>( x )</t>
        </is>
      </c>
      <c r="H284" s="34" t="inlineStr">
        <is>
          <t>L11 · Requisitos técnicos de programación definidos — Cumple: Kotlin, Jetpack Compose, Room y WorkManager</t>
        </is>
      </c>
      <c r="I284" s="8" t="n"/>
      <c r="J284" s="23" t="n"/>
    </row>
    <row r="285" ht="30" customHeight="1">
      <c r="G285" s="33" t="inlineStr">
        <is>
          <t>( x )</t>
        </is>
      </c>
      <c r="H285" s="34" t="inlineStr">
        <is>
          <t>L12 · Accesos de red disponibles — Cumple: GitHub (repositorio privado), API y PostgreSQL en docker compose, red móvil o wifi para sincronizar (y modo avión para la prueba)</t>
        </is>
      </c>
      <c r="I285" s="8" t="n"/>
      <c r="J285" s="23" t="n"/>
    </row>
    <row r="286" ht="36" customHeight="1">
      <c r="G286" s="39" t="inlineStr">
        <is>
          <t>Riesgos: Fotos pesadas que llenan el almacenamiento · una foto por insumo, solo JPG o PNG</t>
        </is>
      </c>
      <c r="H286" s="8" t="n"/>
      <c r="I286" s="8" t="n"/>
      <c r="J286" s="23" t="n"/>
    </row>
    <row r="287" ht="36" customHeight="1">
      <c r="G287" s="32" t="inlineStr">
        <is>
          <t>Proveedores de servicio: Almacenamiento de archivos en la nube (capa gratuita) · API en la nube</t>
        </is>
      </c>
      <c r="H287" s="8" t="n"/>
      <c r="I287" s="8" t="n"/>
      <c r="J287" s="23" t="n"/>
    </row>
    <row r="288" ht="36" customHeight="1">
      <c r="G288" s="36" t="inlineStr">
        <is>
          <t>Costos: 3 pts ≈ 6 horas-persona (1 punto ≈ 2 h) · servicios externos: S/ 0 (planes gratuitos)</t>
        </is>
      </c>
      <c r="H288" s="37" t="n"/>
      <c r="I288" s="37" t="n"/>
      <c r="J288" s="38" t="n"/>
    </row>
    <row r="291">
      <c r="B291" s="18" t="inlineStr">
        <is>
          <t>HU-12 · Loguear usuario</t>
        </is>
      </c>
    </row>
    <row r="292" ht="18" customHeight="1">
      <c r="B292" s="19" t="inlineStr">
        <is>
          <t>TARJETA 1 · Historia de usuario</t>
        </is>
      </c>
      <c r="C292" s="20" t="n"/>
      <c r="D292" s="20" t="n"/>
      <c r="E292" s="21" t="n"/>
      <c r="G292" s="19" t="inlineStr">
        <is>
          <t>TARJETA 2 · Definición de Listo</t>
        </is>
      </c>
      <c r="H292" s="20" t="n"/>
      <c r="I292" s="20" t="n"/>
      <c r="J292" s="21" t="n"/>
      <c r="L292" s="19" t="inlineStr">
        <is>
          <t>TARJETA 3 · Definición de Terminado</t>
        </is>
      </c>
      <c r="M292" s="20" t="n"/>
      <c r="N292" s="20" t="n"/>
      <c r="O292" s="21" t="n"/>
    </row>
    <row r="293" ht="28" customHeight="1">
      <c r="B293" s="22" t="inlineStr">
        <is>
          <t>La unidad con la que se planifica, se estima y se acepta el trabajo</t>
        </is>
      </c>
      <c r="C293" s="8" t="n"/>
      <c r="D293" s="8" t="n"/>
      <c r="E293" s="23" t="n"/>
      <c r="G293" s="22" t="inlineStr">
        <is>
          <t>El enfoque está en la consideración del equipo de desarrollo sobre si la historia está lista para un Sprint</t>
        </is>
      </c>
      <c r="H293" s="8" t="n"/>
      <c r="I293" s="8" t="n"/>
      <c r="J293" s="23" t="n"/>
      <c r="L293" s="22" t="inlineStr">
        <is>
          <t>El enfoque está en la aceptación del cliente cuando se le entregue el producto</t>
        </is>
      </c>
      <c r="M293" s="8" t="n"/>
      <c r="N293" s="8" t="n"/>
      <c r="O293" s="23" t="n"/>
    </row>
    <row r="294">
      <c r="B294" s="24" t="inlineStr">
        <is>
          <t>Historia de usuario</t>
        </is>
      </c>
      <c r="C294" s="8" t="n"/>
      <c r="D294" s="25" t="inlineStr">
        <is>
          <t>Prioridad</t>
        </is>
      </c>
      <c r="E294" s="26" t="inlineStr">
        <is>
          <t>Estimación</t>
        </is>
      </c>
      <c r="G294" s="24" t="inlineStr">
        <is>
          <t>Historia de usuario</t>
        </is>
      </c>
      <c r="H294" s="8" t="n"/>
      <c r="I294" s="25" t="inlineStr">
        <is>
          <t>Prioridad</t>
        </is>
      </c>
      <c r="J294" s="26" t="inlineStr">
        <is>
          <t>Estimación</t>
        </is>
      </c>
      <c r="L294" s="24" t="inlineStr">
        <is>
          <t>Historia de usuario</t>
        </is>
      </c>
      <c r="M294" s="8" t="n"/>
      <c r="N294" s="25" t="inlineStr">
        <is>
          <t>Prioridad</t>
        </is>
      </c>
      <c r="O294" s="26" t="inlineStr">
        <is>
          <t>Estimación</t>
        </is>
      </c>
    </row>
    <row r="295" ht="30" customHeight="1">
      <c r="B295" s="27" t="inlineStr">
        <is>
          <t>HU-12 · Loguear usuario</t>
        </is>
      </c>
      <c r="C295" s="8" t="n"/>
      <c r="D295" s="9" t="inlineStr">
        <is>
          <t>Crítica</t>
        </is>
      </c>
      <c r="E295" s="28" t="inlineStr">
        <is>
          <t>5 pts</t>
        </is>
      </c>
      <c r="G295" s="27" t="inlineStr">
        <is>
          <t>HU-12 · Loguear usuario</t>
        </is>
      </c>
      <c r="H295" s="8" t="n"/>
      <c r="I295" s="9" t="inlineStr">
        <is>
          <t>Crítica</t>
        </is>
      </c>
      <c r="J295" s="28" t="inlineStr">
        <is>
          <t>5 pts</t>
        </is>
      </c>
      <c r="L295" s="27" t="inlineStr">
        <is>
          <t>HU-12 · Loguear usuario</t>
        </is>
      </c>
      <c r="M295" s="8" t="n"/>
      <c r="N295" s="9" t="inlineStr">
        <is>
          <t>Crítica</t>
        </is>
      </c>
      <c r="O295" s="28" t="inlineStr">
        <is>
          <t>5 pts</t>
        </is>
      </c>
    </row>
    <row r="296">
      <c r="B296" s="29" t="inlineStr">
        <is>
          <t>Descripción:</t>
        </is>
      </c>
      <c r="C296" s="8" t="n"/>
      <c r="D296" s="8" t="n"/>
      <c r="E296" s="23" t="n"/>
      <c r="G296" s="29" t="inlineStr">
        <is>
          <t>Descripción:</t>
        </is>
      </c>
      <c r="H296" s="8" t="n"/>
      <c r="I296" s="8" t="n"/>
      <c r="J296" s="23" t="n"/>
      <c r="L296" s="29" t="inlineStr">
        <is>
          <t>Descripción:</t>
        </is>
      </c>
      <c r="M296" s="8" t="n"/>
      <c r="N296" s="8" t="n"/>
      <c r="O296" s="23" t="n"/>
    </row>
    <row r="297" ht="28" customHeight="1">
      <c r="B297" s="30" t="inlineStr">
        <is>
          <t>Como administrador, quiero entrar al sistema con mi usuario y contraseña, para que mis registros queden atribuidos a mí.</t>
        </is>
      </c>
      <c r="C297" s="8" t="n"/>
      <c r="D297" s="8" t="n"/>
      <c r="E297" s="23" t="n"/>
      <c r="G297" s="30" t="inlineStr">
        <is>
          <t>Como administrador, quiero entrar al sistema con mi usuario y contraseña, para que mis registros queden atribuidos a mí.</t>
        </is>
      </c>
      <c r="H297" s="8" t="n"/>
      <c r="I297" s="8" t="n"/>
      <c r="J297" s="23" t="n"/>
      <c r="L297" s="30" t="inlineStr">
        <is>
          <t>Como administrador, quiero entrar al sistema con mi usuario y contraseña, para que mis registros queden atribuidos a mí.</t>
        </is>
      </c>
      <c r="M297" s="8" t="n"/>
      <c r="N297" s="8" t="n"/>
      <c r="O297" s="23" t="n"/>
    </row>
    <row r="298" ht="28" customHeight="1">
      <c r="B298" s="31" t="n"/>
      <c r="C298" s="8" t="n"/>
      <c r="D298" s="8" t="n"/>
      <c r="E298" s="23" t="n"/>
      <c r="G298" s="31" t="n"/>
      <c r="H298" s="8" t="n"/>
      <c r="I298" s="8" t="n"/>
      <c r="J298" s="23" t="n"/>
      <c r="L298" s="31" t="n"/>
      <c r="M298" s="8" t="n"/>
      <c r="N298" s="8" t="n"/>
      <c r="O298" s="23" t="n"/>
    </row>
    <row r="299">
      <c r="B299" s="29" t="inlineStr">
        <is>
          <t>Ficha de la historia</t>
        </is>
      </c>
      <c r="C299" s="8" t="n"/>
      <c r="D299" s="8" t="n"/>
      <c r="E299" s="23" t="n"/>
      <c r="G299" s="29" t="inlineStr">
        <is>
          <t>Criterios de listo:</t>
        </is>
      </c>
      <c r="H299" s="8" t="n"/>
      <c r="I299" s="8" t="n"/>
      <c r="J299" s="23" t="n"/>
      <c r="L299" s="29" t="inlineStr">
        <is>
          <t>Condiciones finales (se marcan cuando el PO acepta la HU en la Review):</t>
        </is>
      </c>
      <c r="M299" s="8" t="n"/>
      <c r="N299" s="8" t="n"/>
      <c r="O299" s="23" t="n"/>
    </row>
    <row r="300" ht="30" customHeight="1">
      <c r="B300" s="32" t="inlineStr">
        <is>
          <t>Épica: E1. Preparar la obra y su control</t>
        </is>
      </c>
      <c r="C300" s="8" t="n"/>
      <c r="D300" s="8" t="n"/>
      <c r="E300" s="23" t="n"/>
      <c r="G300" s="33" t="inlineStr">
        <is>
          <t>( x )</t>
        </is>
      </c>
      <c r="H300" s="34" t="inlineStr">
        <is>
          <t>L1 · Redactada en el formato acordado — Cumple</t>
        </is>
      </c>
      <c r="I300" s="8" t="n"/>
      <c r="J300" s="23" t="n"/>
      <c r="L300" s="35" t="inlineStr">
        <is>
          <t>(    )</t>
        </is>
      </c>
      <c r="M300" s="34" t="inlineStr">
        <is>
          <t>El usuario ha ingresado con su usuario y contraseña</t>
        </is>
      </c>
      <c r="N300" s="8" t="n"/>
      <c r="O300" s="23" t="n"/>
    </row>
    <row r="301" ht="30" customHeight="1">
      <c r="B301" s="32" t="inlineStr">
        <is>
          <t>Módulo: Usuarios / Seguridad</t>
        </is>
      </c>
      <c r="C301" s="8" t="n"/>
      <c r="D301" s="8" t="n"/>
      <c r="E301" s="23" t="n"/>
      <c r="G301" s="33" t="inlineStr">
        <is>
          <t>( x )</t>
        </is>
      </c>
      <c r="H301" s="34" t="inlineStr">
        <is>
          <t>L2 · Nombre corto en forma de acción — Cumple</t>
        </is>
      </c>
      <c r="I301" s="8" t="n"/>
      <c r="J301" s="23" t="n"/>
      <c r="L301" s="35" t="inlineStr">
        <is>
          <t>(    )</t>
        </is>
      </c>
      <c r="M301" s="34" t="inlineStr">
        <is>
          <t>Un usuario o contraseña incorrectos se han rechazado</t>
        </is>
      </c>
      <c r="N301" s="8" t="n"/>
      <c r="O301" s="23" t="n"/>
    </row>
    <row r="302" ht="30" customHeight="1">
      <c r="B302" s="32" t="inlineStr">
        <is>
          <t>Responsable técnico: Backend · Henry Ticona</t>
        </is>
      </c>
      <c r="C302" s="8" t="n"/>
      <c r="D302" s="8" t="n"/>
      <c r="E302" s="23" t="n"/>
      <c r="G302" s="33" t="inlineStr">
        <is>
          <t>( x )</t>
        </is>
      </c>
      <c r="H302" s="34" t="inlineStr">
        <is>
          <t>L3 · Criterios de aceptación escritos — Cumple</t>
        </is>
      </c>
      <c r="I302" s="8" t="n"/>
      <c r="J302" s="23" t="n"/>
      <c r="L302" s="35" t="inlineStr">
        <is>
          <t>(    )</t>
        </is>
      </c>
      <c r="M302" s="34" t="inlineStr">
        <is>
          <t>La contraseña ha quedado guardada cifrada, nunca en claro</t>
        </is>
      </c>
      <c r="N302" s="8" t="n"/>
      <c r="O302" s="23" t="n"/>
    </row>
    <row r="303" ht="30" customHeight="1">
      <c r="B303" s="36" t="inlineStr">
        <is>
          <t>Depende de: Ninguna</t>
        </is>
      </c>
      <c r="C303" s="37" t="n"/>
      <c r="D303" s="37" t="n"/>
      <c r="E303" s="38" t="n"/>
      <c r="G303" s="33" t="inlineStr">
        <is>
          <t>( x )</t>
        </is>
      </c>
      <c r="H303" s="34" t="inlineStr">
        <is>
          <t>L4 · Dependencias resueltas — Cumple</t>
        </is>
      </c>
      <c r="I303" s="8" t="n"/>
      <c r="J303" s="23" t="n"/>
      <c r="L303" s="35" t="inlineStr">
        <is>
          <t>(    )</t>
        </is>
      </c>
      <c r="M303" s="34" t="inlineStr">
        <is>
          <t>La sesión ha caducado por inactividad y se ha renovado sin volver a escribir la contraseña</t>
        </is>
      </c>
      <c r="N303" s="8" t="n"/>
      <c r="O303" s="23" t="n"/>
    </row>
    <row r="304" ht="30" customHeight="1">
      <c r="G304" s="33" t="inlineStr">
        <is>
          <t>( x )</t>
        </is>
      </c>
      <c r="H304" s="34" t="inlineStr">
        <is>
          <t>L5 · Estimada por los Developers — Cumple</t>
        </is>
      </c>
      <c r="I304" s="8" t="n"/>
      <c r="J304" s="23" t="n"/>
      <c r="L304" s="35" t="inlineStr">
        <is>
          <t>(    )</t>
        </is>
      </c>
      <c r="M304" s="34" t="inlineStr">
        <is>
          <t>Cada movimiento ha quedado con el usuario que lo registró</t>
        </is>
      </c>
      <c r="N304" s="8" t="n"/>
      <c r="O304" s="23" t="n"/>
    </row>
    <row r="305" ht="36" customHeight="1">
      <c r="G305" s="33" t="inlineStr">
        <is>
          <t>( x )</t>
        </is>
      </c>
      <c r="H305" s="34" t="inlineStr">
        <is>
          <t>L6 · Cabe en un sprint (8 puntos o menos) — Cumple</t>
        </is>
      </c>
      <c r="I305" s="8" t="n"/>
      <c r="J305" s="23" t="n"/>
      <c r="L305" s="36" t="inlineStr">
        <is>
          <t>Mitad técnica: Además, los diez criterios T1 a T10 de la hoja «3. Criterios DoR y DoD», sin excepción</t>
        </is>
      </c>
      <c r="M305" s="37" t="n"/>
      <c r="N305" s="37" t="n"/>
      <c r="O305" s="38" t="n"/>
    </row>
    <row r="306" ht="30" customHeight="1">
      <c r="G306" s="33" t="inlineStr">
        <is>
          <t>( x )</t>
        </is>
      </c>
      <c r="H306" s="34" t="inlineStr">
        <is>
          <t>L7 · Reglas de dominio identificadas — Cumple</t>
        </is>
      </c>
      <c r="I306" s="8" t="n"/>
      <c r="J306" s="23" t="n"/>
    </row>
    <row r="307" ht="30" customHeight="1">
      <c r="G307" s="33" t="inlineStr">
        <is>
          <t>( x )</t>
        </is>
      </c>
      <c r="H307" s="34" t="inlineStr">
        <is>
          <t>L8 · Datos de prueba disponibles — Cumple</t>
        </is>
      </c>
      <c r="I307" s="8" t="n"/>
      <c r="J307" s="23" t="n"/>
    </row>
    <row r="308" ht="30" customHeight="1">
      <c r="G308" s="33" t="inlineStr">
        <is>
          <t>( x )</t>
        </is>
      </c>
      <c r="H308" s="34" t="inlineStr">
        <is>
          <t>L9 · Responsable técnico asignado — Cumple</t>
        </is>
      </c>
      <c r="I308" s="8" t="n"/>
      <c r="J308" s="23" t="n"/>
    </row>
    <row r="309" ht="30" customHeight="1">
      <c r="G309" s="33" t="inlineStr">
        <is>
          <t>( x )</t>
        </is>
      </c>
      <c r="H309" s="34" t="inlineStr">
        <is>
          <t>L10 · Recursos identificados — Cumple: Henry Ticona + equipo de desarrollo y datos de prueba</t>
        </is>
      </c>
      <c r="I309" s="8" t="n"/>
      <c r="J309" s="23" t="n"/>
    </row>
    <row r="310" ht="30" customHeight="1">
      <c r="G310" s="33" t="inlineStr">
        <is>
          <t>( x )</t>
        </is>
      </c>
      <c r="H310" s="34" t="inlineStr">
        <is>
          <t>L11 · Requisitos técnicos de programación definidos — Cumple: FastAPI, SQLAlchemy 2, Alembic y PostgreSQL 16 + Argon2id y JWT</t>
        </is>
      </c>
      <c r="I310" s="8" t="n"/>
      <c r="J310" s="23" t="n"/>
    </row>
    <row r="311" ht="30" customHeight="1">
      <c r="G311" s="33" t="inlineStr">
        <is>
          <t>( x )</t>
        </is>
      </c>
      <c r="H311" s="34" t="inlineStr">
        <is>
          <t>L12 · Accesos de red disponibles — Cumple: GitHub (repositorio privado), API y PostgreSQL en docker compose</t>
        </is>
      </c>
      <c r="I311" s="8" t="n"/>
      <c r="J311" s="23" t="n"/>
    </row>
    <row r="312" ht="36" customHeight="1">
      <c r="G312" s="39" t="inlineStr">
        <is>
          <t>Riesgos: Acceso con credenciales robadas · contraseña con Argon2id y bloqueo a los 5 intentos</t>
        </is>
      </c>
      <c r="H312" s="8" t="n"/>
      <c r="I312" s="8" t="n"/>
      <c r="J312" s="23" t="n"/>
    </row>
    <row r="313" ht="36" customHeight="1">
      <c r="G313" s="32" t="inlineStr">
        <is>
          <t>Proveedores de servicio: PostgreSQL gestionado en la nube (capa gratuita) · GitHub</t>
        </is>
      </c>
      <c r="H313" s="8" t="n"/>
      <c r="I313" s="8" t="n"/>
      <c r="J313" s="23" t="n"/>
    </row>
    <row r="314" ht="36" customHeight="1">
      <c r="G314" s="36" t="inlineStr">
        <is>
          <t>Costos: 5 pts ≈ 10 horas-persona (1 punto ≈ 2 h) · servicios externos: S/ 0 (planes gratuitos)</t>
        </is>
      </c>
      <c r="H314" s="37" t="n"/>
      <c r="I314" s="37" t="n"/>
      <c r="J314" s="38" t="n"/>
    </row>
    <row r="317">
      <c r="B317" s="18" t="inlineStr">
        <is>
          <t>HU-13 · Asignar roles</t>
        </is>
      </c>
    </row>
    <row r="318" ht="18" customHeight="1">
      <c r="B318" s="19" t="inlineStr">
        <is>
          <t>TARJETA 1 · Historia de usuario</t>
        </is>
      </c>
      <c r="C318" s="20" t="n"/>
      <c r="D318" s="20" t="n"/>
      <c r="E318" s="21" t="n"/>
      <c r="G318" s="19" t="inlineStr">
        <is>
          <t>TARJETA 2 · Definición de Listo</t>
        </is>
      </c>
      <c r="H318" s="20" t="n"/>
      <c r="I318" s="20" t="n"/>
      <c r="J318" s="21" t="n"/>
      <c r="L318" s="19" t="inlineStr">
        <is>
          <t>TARJETA 3 · Definición de Terminado</t>
        </is>
      </c>
      <c r="M318" s="20" t="n"/>
      <c r="N318" s="20" t="n"/>
      <c r="O318" s="21" t="n"/>
    </row>
    <row r="319" ht="28" customHeight="1">
      <c r="B319" s="22" t="inlineStr">
        <is>
          <t>La unidad con la que se planifica, se estima y se acepta el trabajo</t>
        </is>
      </c>
      <c r="C319" s="8" t="n"/>
      <c r="D319" s="8" t="n"/>
      <c r="E319" s="23" t="n"/>
      <c r="G319" s="22" t="inlineStr">
        <is>
          <t>El enfoque está en la consideración del equipo de desarrollo sobre si la historia está lista para un Sprint</t>
        </is>
      </c>
      <c r="H319" s="8" t="n"/>
      <c r="I319" s="8" t="n"/>
      <c r="J319" s="23" t="n"/>
      <c r="L319" s="22" t="inlineStr">
        <is>
          <t>El enfoque está en la aceptación del cliente cuando se le entregue el producto</t>
        </is>
      </c>
      <c r="M319" s="8" t="n"/>
      <c r="N319" s="8" t="n"/>
      <c r="O319" s="23" t="n"/>
    </row>
    <row r="320">
      <c r="B320" s="24" t="inlineStr">
        <is>
          <t>Historia de usuario</t>
        </is>
      </c>
      <c r="C320" s="8" t="n"/>
      <c r="D320" s="25" t="inlineStr">
        <is>
          <t>Prioridad</t>
        </is>
      </c>
      <c r="E320" s="26" t="inlineStr">
        <is>
          <t>Estimación</t>
        </is>
      </c>
      <c r="G320" s="24" t="inlineStr">
        <is>
          <t>Historia de usuario</t>
        </is>
      </c>
      <c r="H320" s="8" t="n"/>
      <c r="I320" s="25" t="inlineStr">
        <is>
          <t>Prioridad</t>
        </is>
      </c>
      <c r="J320" s="26" t="inlineStr">
        <is>
          <t>Estimación</t>
        </is>
      </c>
      <c r="L320" s="24" t="inlineStr">
        <is>
          <t>Historia de usuario</t>
        </is>
      </c>
      <c r="M320" s="8" t="n"/>
      <c r="N320" s="25" t="inlineStr">
        <is>
          <t>Prioridad</t>
        </is>
      </c>
      <c r="O320" s="26" t="inlineStr">
        <is>
          <t>Estimación</t>
        </is>
      </c>
    </row>
    <row r="321" ht="30" customHeight="1">
      <c r="B321" s="27" t="inlineStr">
        <is>
          <t>HU-13 · Asignar roles</t>
        </is>
      </c>
      <c r="C321" s="8" t="n"/>
      <c r="D321" s="9" t="inlineStr">
        <is>
          <t>Crítica</t>
        </is>
      </c>
      <c r="E321" s="28" t="inlineStr">
        <is>
          <t>5 pts</t>
        </is>
      </c>
      <c r="G321" s="27" t="inlineStr">
        <is>
          <t>HU-13 · Asignar roles</t>
        </is>
      </c>
      <c r="H321" s="8" t="n"/>
      <c r="I321" s="9" t="inlineStr">
        <is>
          <t>Crítica</t>
        </is>
      </c>
      <c r="J321" s="28" t="inlineStr">
        <is>
          <t>5 pts</t>
        </is>
      </c>
      <c r="L321" s="27" t="inlineStr">
        <is>
          <t>HU-13 · Asignar roles</t>
        </is>
      </c>
      <c r="M321" s="8" t="n"/>
      <c r="N321" s="9" t="inlineStr">
        <is>
          <t>Crítica</t>
        </is>
      </c>
      <c r="O321" s="28" t="inlineStr">
        <is>
          <t>5 pts</t>
        </is>
      </c>
    </row>
    <row r="322">
      <c r="B322" s="29" t="inlineStr">
        <is>
          <t>Descripción:</t>
        </is>
      </c>
      <c r="C322" s="8" t="n"/>
      <c r="D322" s="8" t="n"/>
      <c r="E322" s="23" t="n"/>
      <c r="G322" s="29" t="inlineStr">
        <is>
          <t>Descripción:</t>
        </is>
      </c>
      <c r="H322" s="8" t="n"/>
      <c r="I322" s="8" t="n"/>
      <c r="J322" s="23" t="n"/>
      <c r="L322" s="29" t="inlineStr">
        <is>
          <t>Descripción:</t>
        </is>
      </c>
      <c r="M322" s="8" t="n"/>
      <c r="N322" s="8" t="n"/>
      <c r="O322" s="23" t="n"/>
    </row>
    <row r="323" ht="28" customHeight="1">
      <c r="B323" s="30" t="inlineStr">
        <is>
          <t>Como administrador, quiero asignar a cada persona un usuario y un rol, para limitar lo que cada quien ve y registra.</t>
        </is>
      </c>
      <c r="C323" s="8" t="n"/>
      <c r="D323" s="8" t="n"/>
      <c r="E323" s="23" t="n"/>
      <c r="G323" s="30" t="inlineStr">
        <is>
          <t>Como administrador, quiero asignar a cada persona un usuario y un rol, para limitar lo que cada quien ve y registra.</t>
        </is>
      </c>
      <c r="H323" s="8" t="n"/>
      <c r="I323" s="8" t="n"/>
      <c r="J323" s="23" t="n"/>
      <c r="L323" s="30" t="inlineStr">
        <is>
          <t>Como administrador, quiero asignar a cada persona un usuario y un rol, para limitar lo que cada quien ve y registra.</t>
        </is>
      </c>
      <c r="M323" s="8" t="n"/>
      <c r="N323" s="8" t="n"/>
      <c r="O323" s="23" t="n"/>
    </row>
    <row r="324" ht="28" customHeight="1">
      <c r="B324" s="31" t="n"/>
      <c r="C324" s="8" t="n"/>
      <c r="D324" s="8" t="n"/>
      <c r="E324" s="23" t="n"/>
      <c r="G324" s="31" t="n"/>
      <c r="H324" s="8" t="n"/>
      <c r="I324" s="8" t="n"/>
      <c r="J324" s="23" t="n"/>
      <c r="L324" s="31" t="n"/>
      <c r="M324" s="8" t="n"/>
      <c r="N324" s="8" t="n"/>
      <c r="O324" s="23" t="n"/>
    </row>
    <row r="325">
      <c r="B325" s="29" t="inlineStr">
        <is>
          <t>Ficha de la historia</t>
        </is>
      </c>
      <c r="C325" s="8" t="n"/>
      <c r="D325" s="8" t="n"/>
      <c r="E325" s="23" t="n"/>
      <c r="G325" s="29" t="inlineStr">
        <is>
          <t>Criterios de listo:</t>
        </is>
      </c>
      <c r="H325" s="8" t="n"/>
      <c r="I325" s="8" t="n"/>
      <c r="J325" s="23" t="n"/>
      <c r="L325" s="29" t="inlineStr">
        <is>
          <t>Condiciones finales (se marcan cuando el PO acepta la HU en la Review):</t>
        </is>
      </c>
      <c r="M325" s="8" t="n"/>
      <c r="N325" s="8" t="n"/>
      <c r="O325" s="23" t="n"/>
    </row>
    <row r="326" ht="30" customHeight="1">
      <c r="B326" s="32" t="inlineStr">
        <is>
          <t>Épica: E1. Preparar la obra y su control</t>
        </is>
      </c>
      <c r="C326" s="8" t="n"/>
      <c r="D326" s="8" t="n"/>
      <c r="E326" s="23" t="n"/>
      <c r="G326" s="33" t="inlineStr">
        <is>
          <t>( x )</t>
        </is>
      </c>
      <c r="H326" s="34" t="inlineStr">
        <is>
          <t>L1 · Redactada en el formato acordado — Cumple</t>
        </is>
      </c>
      <c r="I326" s="8" t="n"/>
      <c r="J326" s="23" t="n"/>
      <c r="L326" s="35" t="inlineStr">
        <is>
          <t>(    )</t>
        </is>
      </c>
      <c r="M326" s="34" t="inlineStr">
        <is>
          <t>Cada persona ha quedado con su usuario y uno de los cuatro roles</t>
        </is>
      </c>
      <c r="N326" s="8" t="n"/>
      <c r="O326" s="23" t="n"/>
    </row>
    <row r="327" ht="30" customHeight="1">
      <c r="B327" s="32" t="inlineStr">
        <is>
          <t>Módulo: Usuarios / Seguridad</t>
        </is>
      </c>
      <c r="C327" s="8" t="n"/>
      <c r="D327" s="8" t="n"/>
      <c r="E327" s="23" t="n"/>
      <c r="G327" s="33" t="inlineStr">
        <is>
          <t>( x )</t>
        </is>
      </c>
      <c r="H327" s="34" t="inlineStr">
        <is>
          <t>L2 · Nombre corto en forma de acción — Cumple</t>
        </is>
      </c>
      <c r="I327" s="8" t="n"/>
      <c r="J327" s="23" t="n"/>
      <c r="L327" s="35" t="inlineStr">
        <is>
          <t>(    )</t>
        </is>
      </c>
      <c r="M327" s="34" t="inlineStr">
        <is>
          <t>Cada rol ha quedado con sus permisos de consulta y de registro</t>
        </is>
      </c>
      <c r="N327" s="8" t="n"/>
      <c r="O327" s="23" t="n"/>
    </row>
    <row r="328" ht="30" customHeight="1">
      <c r="B328" s="32" t="inlineStr">
        <is>
          <t>Responsable técnico: Backend · Henry Ticona</t>
        </is>
      </c>
      <c r="C328" s="8" t="n"/>
      <c r="D328" s="8" t="n"/>
      <c r="E328" s="23" t="n"/>
      <c r="G328" s="33" t="inlineStr">
        <is>
          <t>( x )</t>
        </is>
      </c>
      <c r="H328" s="34" t="inlineStr">
        <is>
          <t>L3 · Criterios de aceptación escritos — Cumple</t>
        </is>
      </c>
      <c r="I328" s="8" t="n"/>
      <c r="J328" s="23" t="n"/>
      <c r="L328" s="35" t="inlineStr">
        <is>
          <t>(    )</t>
        </is>
      </c>
      <c r="M328" s="34" t="inlineStr">
        <is>
          <t>Una acción fuera del rol se ha rechazado en el servidor</t>
        </is>
      </c>
      <c r="N328" s="8" t="n"/>
      <c r="O328" s="23" t="n"/>
    </row>
    <row r="329" ht="30" customHeight="1">
      <c r="B329" s="36" t="inlineStr">
        <is>
          <t>Depende de: HU-12</t>
        </is>
      </c>
      <c r="C329" s="37" t="n"/>
      <c r="D329" s="37" t="n"/>
      <c r="E329" s="38" t="n"/>
      <c r="G329" s="33" t="inlineStr">
        <is>
          <t>( x )</t>
        </is>
      </c>
      <c r="H329" s="34" t="inlineStr">
        <is>
          <t>L4 · Dependencias resueltas — Cumple</t>
        </is>
      </c>
      <c r="I329" s="8" t="n"/>
      <c r="J329" s="23" t="n"/>
      <c r="L329" s="35" t="inlineStr">
        <is>
          <t>(    )</t>
        </is>
      </c>
      <c r="M329" s="34" t="inlineStr">
        <is>
          <t>Un usuario se ha dado de baja por estado, sin borrarse</t>
        </is>
      </c>
      <c r="N329" s="8" t="n"/>
      <c r="O329" s="23" t="n"/>
    </row>
    <row r="330" ht="36" customHeight="1">
      <c r="G330" s="33" t="inlineStr">
        <is>
          <t>( x )</t>
        </is>
      </c>
      <c r="H330" s="34" t="inlineStr">
        <is>
          <t>L5 · Estimada por los Developers — Cumple</t>
        </is>
      </c>
      <c r="I330" s="8" t="n"/>
      <c r="J330" s="23" t="n"/>
      <c r="L330" s="36" t="inlineStr">
        <is>
          <t>Mitad técnica: Además, los diez criterios T1 a T10 de la hoja «3. Criterios DoR y DoD», sin excepción</t>
        </is>
      </c>
      <c r="M330" s="37" t="n"/>
      <c r="N330" s="37" t="n"/>
      <c r="O330" s="38" t="n"/>
    </row>
    <row r="331" ht="30" customHeight="1">
      <c r="G331" s="33" t="inlineStr">
        <is>
          <t>( x )</t>
        </is>
      </c>
      <c r="H331" s="34" t="inlineStr">
        <is>
          <t>L6 · Cabe en un sprint (8 puntos o menos) — Cumple</t>
        </is>
      </c>
      <c r="I331" s="8" t="n"/>
      <c r="J331" s="23" t="n"/>
    </row>
    <row r="332" ht="30" customHeight="1">
      <c r="G332" s="33" t="inlineStr">
        <is>
          <t>( x )</t>
        </is>
      </c>
      <c r="H332" s="34" t="inlineStr">
        <is>
          <t>L7 · Reglas de dominio identificadas — Cumple</t>
        </is>
      </c>
      <c r="I332" s="8" t="n"/>
      <c r="J332" s="23" t="n"/>
    </row>
    <row r="333" ht="30" customHeight="1">
      <c r="G333" s="33" t="inlineStr">
        <is>
          <t>( x )</t>
        </is>
      </c>
      <c r="H333" s="34" t="inlineStr">
        <is>
          <t>L8 · Datos de prueba disponibles — Cumple</t>
        </is>
      </c>
      <c r="I333" s="8" t="n"/>
      <c r="J333" s="23" t="n"/>
    </row>
    <row r="334" ht="30" customHeight="1">
      <c r="G334" s="33" t="inlineStr">
        <is>
          <t>( x )</t>
        </is>
      </c>
      <c r="H334" s="34" t="inlineStr">
        <is>
          <t>L9 · Responsable técnico asignado — Cumple</t>
        </is>
      </c>
      <c r="I334" s="8" t="n"/>
      <c r="J334" s="23" t="n"/>
    </row>
    <row r="335" ht="30" customHeight="1">
      <c r="G335" s="33" t="inlineStr">
        <is>
          <t>( x )</t>
        </is>
      </c>
      <c r="H335" s="34" t="inlineStr">
        <is>
          <t>L10 · Recursos identificados — Cumple: Henry Ticona + equipo de desarrollo y datos de prueba</t>
        </is>
      </c>
      <c r="I335" s="8" t="n"/>
      <c r="J335" s="23" t="n"/>
    </row>
    <row r="336" ht="30" customHeight="1">
      <c r="G336" s="33" t="inlineStr">
        <is>
          <t>( x )</t>
        </is>
      </c>
      <c r="H336" s="34" t="inlineStr">
        <is>
          <t>L11 · Requisitos técnicos de programación definidos — Cumple: FastAPI, SQLAlchemy 2, Alembic y PostgreSQL 16</t>
        </is>
      </c>
      <c r="I336" s="8" t="n"/>
      <c r="J336" s="23" t="n"/>
    </row>
    <row r="337" ht="30" customHeight="1">
      <c r="G337" s="33" t="inlineStr">
        <is>
          <t>( x )</t>
        </is>
      </c>
      <c r="H337" s="34" t="inlineStr">
        <is>
          <t>L12 · Accesos de red disponibles — Cumple: GitHub (repositorio privado), API y PostgreSQL en docker compose</t>
        </is>
      </c>
      <c r="I337" s="8" t="n"/>
      <c r="J337" s="23" t="n"/>
    </row>
    <row r="338" ht="36" customHeight="1">
      <c r="G338" s="39" t="inlineStr">
        <is>
          <t>Riesgos: Permiso concedido solo en la pantalla · el rol se verifica en el servidor</t>
        </is>
      </c>
      <c r="H338" s="8" t="n"/>
      <c r="I338" s="8" t="n"/>
      <c r="J338" s="23" t="n"/>
    </row>
    <row r="339" ht="36" customHeight="1">
      <c r="G339" s="32" t="inlineStr">
        <is>
          <t>Proveedores de servicio: PostgreSQL gestionado en la nube (capa gratuita) · GitHub</t>
        </is>
      </c>
      <c r="H339" s="8" t="n"/>
      <c r="I339" s="8" t="n"/>
      <c r="J339" s="23" t="n"/>
    </row>
    <row r="340" ht="36" customHeight="1">
      <c r="G340" s="36" t="inlineStr">
        <is>
          <t>Costos: 5 pts ≈ 10 horas-persona (1 punto ≈ 2 h) · servicios externos: S/ 0 (planes gratuitos)</t>
        </is>
      </c>
      <c r="H340" s="37" t="n"/>
      <c r="I340" s="37" t="n"/>
      <c r="J340" s="38" t="n"/>
    </row>
    <row r="343">
      <c r="B343" s="18" t="inlineStr">
        <is>
          <t>HU-14 · Asignar usuarios a obras</t>
        </is>
      </c>
    </row>
    <row r="344" ht="18" customHeight="1">
      <c r="B344" s="19" t="inlineStr">
        <is>
          <t>TARJETA 1 · Historia de usuario</t>
        </is>
      </c>
      <c r="C344" s="20" t="n"/>
      <c r="D344" s="20" t="n"/>
      <c r="E344" s="21" t="n"/>
      <c r="G344" s="19" t="inlineStr">
        <is>
          <t>TARJETA 2 · Definición de Listo</t>
        </is>
      </c>
      <c r="H344" s="20" t="n"/>
      <c r="I344" s="20" t="n"/>
      <c r="J344" s="21" t="n"/>
      <c r="L344" s="19" t="inlineStr">
        <is>
          <t>TARJETA 3 · Definición de Terminado</t>
        </is>
      </c>
      <c r="M344" s="20" t="n"/>
      <c r="N344" s="20" t="n"/>
      <c r="O344" s="21" t="n"/>
    </row>
    <row r="345" ht="28" customHeight="1">
      <c r="B345" s="22" t="inlineStr">
        <is>
          <t>La unidad con la que se planifica, se estima y se acepta el trabajo</t>
        </is>
      </c>
      <c r="C345" s="8" t="n"/>
      <c r="D345" s="8" t="n"/>
      <c r="E345" s="23" t="n"/>
      <c r="G345" s="22" t="inlineStr">
        <is>
          <t>El enfoque está en la consideración del equipo de desarrollo sobre si la historia está lista para un Sprint</t>
        </is>
      </c>
      <c r="H345" s="8" t="n"/>
      <c r="I345" s="8" t="n"/>
      <c r="J345" s="23" t="n"/>
      <c r="L345" s="22" t="inlineStr">
        <is>
          <t>El enfoque está en la aceptación del cliente cuando se le entregue el producto</t>
        </is>
      </c>
      <c r="M345" s="8" t="n"/>
      <c r="N345" s="8" t="n"/>
      <c r="O345" s="23" t="n"/>
    </row>
    <row r="346">
      <c r="B346" s="24" t="inlineStr">
        <is>
          <t>Historia de usuario</t>
        </is>
      </c>
      <c r="C346" s="8" t="n"/>
      <c r="D346" s="25" t="inlineStr">
        <is>
          <t>Prioridad</t>
        </is>
      </c>
      <c r="E346" s="26" t="inlineStr">
        <is>
          <t>Estimación</t>
        </is>
      </c>
      <c r="G346" s="24" t="inlineStr">
        <is>
          <t>Historia de usuario</t>
        </is>
      </c>
      <c r="H346" s="8" t="n"/>
      <c r="I346" s="25" t="inlineStr">
        <is>
          <t>Prioridad</t>
        </is>
      </c>
      <c r="J346" s="26" t="inlineStr">
        <is>
          <t>Estimación</t>
        </is>
      </c>
      <c r="L346" s="24" t="inlineStr">
        <is>
          <t>Historia de usuario</t>
        </is>
      </c>
      <c r="M346" s="8" t="n"/>
      <c r="N346" s="25" t="inlineStr">
        <is>
          <t>Prioridad</t>
        </is>
      </c>
      <c r="O346" s="26" t="inlineStr">
        <is>
          <t>Estimación</t>
        </is>
      </c>
    </row>
    <row r="347" ht="30" customHeight="1">
      <c r="B347" s="27" t="inlineStr">
        <is>
          <t>HU-14 · Asignar usuarios a obras</t>
        </is>
      </c>
      <c r="C347" s="8" t="n"/>
      <c r="D347" s="9" t="inlineStr">
        <is>
          <t>Crítica</t>
        </is>
      </c>
      <c r="E347" s="28" t="inlineStr">
        <is>
          <t>3 pts</t>
        </is>
      </c>
      <c r="G347" s="27" t="inlineStr">
        <is>
          <t>HU-14 · Asignar usuarios a obras</t>
        </is>
      </c>
      <c r="H347" s="8" t="n"/>
      <c r="I347" s="9" t="inlineStr">
        <is>
          <t>Crítica</t>
        </is>
      </c>
      <c r="J347" s="28" t="inlineStr">
        <is>
          <t>3 pts</t>
        </is>
      </c>
      <c r="L347" s="27" t="inlineStr">
        <is>
          <t>HU-14 · Asignar usuarios a obras</t>
        </is>
      </c>
      <c r="M347" s="8" t="n"/>
      <c r="N347" s="9" t="inlineStr">
        <is>
          <t>Crítica</t>
        </is>
      </c>
      <c r="O347" s="28" t="inlineStr">
        <is>
          <t>3 pts</t>
        </is>
      </c>
    </row>
    <row r="348">
      <c r="B348" s="29" t="inlineStr">
        <is>
          <t>Descripción:</t>
        </is>
      </c>
      <c r="C348" s="8" t="n"/>
      <c r="D348" s="8" t="n"/>
      <c r="E348" s="23" t="n"/>
      <c r="G348" s="29" t="inlineStr">
        <is>
          <t>Descripción:</t>
        </is>
      </c>
      <c r="H348" s="8" t="n"/>
      <c r="I348" s="8" t="n"/>
      <c r="J348" s="23" t="n"/>
      <c r="L348" s="29" t="inlineStr">
        <is>
          <t>Descripción:</t>
        </is>
      </c>
      <c r="M348" s="8" t="n"/>
      <c r="N348" s="8" t="n"/>
      <c r="O348" s="23" t="n"/>
    </row>
    <row r="349" ht="28" customHeight="1">
      <c r="B349" s="30" t="inlineStr">
        <is>
          <t>Como administrador, quiero asignar usuarios a los proyectos, para que cada quien opere solo en sus obras.</t>
        </is>
      </c>
      <c r="C349" s="8" t="n"/>
      <c r="D349" s="8" t="n"/>
      <c r="E349" s="23" t="n"/>
      <c r="G349" s="30" t="inlineStr">
        <is>
          <t>Como administrador, quiero asignar usuarios a los proyectos, para que cada quien opere solo en sus obras.</t>
        </is>
      </c>
      <c r="H349" s="8" t="n"/>
      <c r="I349" s="8" t="n"/>
      <c r="J349" s="23" t="n"/>
      <c r="L349" s="30" t="inlineStr">
        <is>
          <t>Como administrador, quiero asignar usuarios a los proyectos, para que cada quien opere solo en sus obras.</t>
        </is>
      </c>
      <c r="M349" s="8" t="n"/>
      <c r="N349" s="8" t="n"/>
      <c r="O349" s="23" t="n"/>
    </row>
    <row r="350" ht="28" customHeight="1">
      <c r="B350" s="31" t="n"/>
      <c r="C350" s="8" t="n"/>
      <c r="D350" s="8" t="n"/>
      <c r="E350" s="23" t="n"/>
      <c r="G350" s="31" t="n"/>
      <c r="H350" s="8" t="n"/>
      <c r="I350" s="8" t="n"/>
      <c r="J350" s="23" t="n"/>
      <c r="L350" s="31" t="n"/>
      <c r="M350" s="8" t="n"/>
      <c r="N350" s="8" t="n"/>
      <c r="O350" s="23" t="n"/>
    </row>
    <row r="351">
      <c r="B351" s="29" t="inlineStr">
        <is>
          <t>Ficha de la historia</t>
        </is>
      </c>
      <c r="C351" s="8" t="n"/>
      <c r="D351" s="8" t="n"/>
      <c r="E351" s="23" t="n"/>
      <c r="G351" s="29" t="inlineStr">
        <is>
          <t>Criterios de listo:</t>
        </is>
      </c>
      <c r="H351" s="8" t="n"/>
      <c r="I351" s="8" t="n"/>
      <c r="J351" s="23" t="n"/>
      <c r="L351" s="29" t="inlineStr">
        <is>
          <t>Condiciones finales (se marcan cuando el PO acepta la HU en la Review):</t>
        </is>
      </c>
      <c r="M351" s="8" t="n"/>
      <c r="N351" s="8" t="n"/>
      <c r="O351" s="23" t="n"/>
    </row>
    <row r="352" ht="30" customHeight="1">
      <c r="B352" s="32" t="inlineStr">
        <is>
          <t>Épica: E1. Preparar la obra y su control</t>
        </is>
      </c>
      <c r="C352" s="8" t="n"/>
      <c r="D352" s="8" t="n"/>
      <c r="E352" s="23" t="n"/>
      <c r="G352" s="33" t="inlineStr">
        <is>
          <t>( x )</t>
        </is>
      </c>
      <c r="H352" s="34" t="inlineStr">
        <is>
          <t>L1 · Redactada en el formato acordado — Cumple</t>
        </is>
      </c>
      <c r="I352" s="8" t="n"/>
      <c r="J352" s="23" t="n"/>
      <c r="L352" s="35" t="inlineStr">
        <is>
          <t>(    )</t>
        </is>
      </c>
      <c r="M352" s="34" t="inlineStr">
        <is>
          <t>El usuario se ha asignado a una o varias obras</t>
        </is>
      </c>
      <c r="N352" s="8" t="n"/>
      <c r="O352" s="23" t="n"/>
    </row>
    <row r="353" ht="30" customHeight="1">
      <c r="B353" s="32" t="inlineStr">
        <is>
          <t>Módulo: Usuarios / Seguridad</t>
        </is>
      </c>
      <c r="C353" s="8" t="n"/>
      <c r="D353" s="8" t="n"/>
      <c r="E353" s="23" t="n"/>
      <c r="G353" s="33" t="inlineStr">
        <is>
          <t>( x )</t>
        </is>
      </c>
      <c r="H353" s="34" t="inlineStr">
        <is>
          <t>L2 · Nombre corto en forma de acción — Cumple</t>
        </is>
      </c>
      <c r="I353" s="8" t="n"/>
      <c r="J353" s="23" t="n"/>
      <c r="L353" s="35" t="inlineStr">
        <is>
          <t>(    )</t>
        </is>
      </c>
      <c r="M353" s="34" t="inlineStr">
        <is>
          <t>El usuario ha visto solo las obras que tiene asignadas</t>
        </is>
      </c>
      <c r="N353" s="8" t="n"/>
      <c r="O353" s="23" t="n"/>
    </row>
    <row r="354" ht="30" customHeight="1">
      <c r="B354" s="32" t="inlineStr">
        <is>
          <t>Responsable técnico: Backend · Henry Ticona</t>
        </is>
      </c>
      <c r="C354" s="8" t="n"/>
      <c r="D354" s="8" t="n"/>
      <c r="E354" s="23" t="n"/>
      <c r="G354" s="33" t="inlineStr">
        <is>
          <t>( x )</t>
        </is>
      </c>
      <c r="H354" s="34" t="inlineStr">
        <is>
          <t>L3 · Criterios de aceptación escritos — Cumple</t>
        </is>
      </c>
      <c r="I354" s="8" t="n"/>
      <c r="J354" s="23" t="n"/>
      <c r="L354" s="35" t="inlineStr">
        <is>
          <t>(    )</t>
        </is>
      </c>
      <c r="M354" s="34" t="inlineStr">
        <is>
          <t>Al retirar la asignación, sus movimientos se han conservado</t>
        </is>
      </c>
      <c r="N354" s="8" t="n"/>
      <c r="O354" s="23" t="n"/>
    </row>
    <row r="355" ht="36" customHeight="1">
      <c r="B355" s="36" t="inlineStr">
        <is>
          <t>Depende de: HU-13</t>
        </is>
      </c>
      <c r="C355" s="37" t="n"/>
      <c r="D355" s="37" t="n"/>
      <c r="E355" s="38" t="n"/>
      <c r="G355" s="33" t="inlineStr">
        <is>
          <t>( x )</t>
        </is>
      </c>
      <c r="H355" s="34" t="inlineStr">
        <is>
          <t>L4 · Dependencias resueltas — Cumple</t>
        </is>
      </c>
      <c r="I355" s="8" t="n"/>
      <c r="J355" s="23" t="n"/>
      <c r="L355" s="36" t="inlineStr">
        <is>
          <t>Mitad técnica: Además, los diez criterios T1 a T10 de la hoja «3. Criterios DoR y DoD», sin excepción</t>
        </is>
      </c>
      <c r="M355" s="37" t="n"/>
      <c r="N355" s="37" t="n"/>
      <c r="O355" s="38" t="n"/>
    </row>
    <row r="356" ht="30" customHeight="1">
      <c r="G356" s="33" t="inlineStr">
        <is>
          <t>( x )</t>
        </is>
      </c>
      <c r="H356" s="34" t="inlineStr">
        <is>
          <t>L5 · Estimada por los Developers — Cumple</t>
        </is>
      </c>
      <c r="I356" s="8" t="n"/>
      <c r="J356" s="23" t="n"/>
    </row>
    <row r="357" ht="30" customHeight="1">
      <c r="G357" s="33" t="inlineStr">
        <is>
          <t>( x )</t>
        </is>
      </c>
      <c r="H357" s="34" t="inlineStr">
        <is>
          <t>L6 · Cabe en un sprint (8 puntos o menos) — Cumple</t>
        </is>
      </c>
      <c r="I357" s="8" t="n"/>
      <c r="J357" s="23" t="n"/>
    </row>
    <row r="358" ht="30" customHeight="1">
      <c r="G358" s="33" t="inlineStr">
        <is>
          <t>( x )</t>
        </is>
      </c>
      <c r="H358" s="34" t="inlineStr">
        <is>
          <t>L7 · Reglas de dominio identificadas — Cumple</t>
        </is>
      </c>
      <c r="I358" s="8" t="n"/>
      <c r="J358" s="23" t="n"/>
    </row>
    <row r="359" ht="30" customHeight="1">
      <c r="G359" s="33" t="inlineStr">
        <is>
          <t>( x )</t>
        </is>
      </c>
      <c r="H359" s="34" t="inlineStr">
        <is>
          <t>L8 · Datos de prueba disponibles — Cumple</t>
        </is>
      </c>
      <c r="I359" s="8" t="n"/>
      <c r="J359" s="23" t="n"/>
    </row>
    <row r="360" ht="30" customHeight="1">
      <c r="G360" s="33" t="inlineStr">
        <is>
          <t>( x )</t>
        </is>
      </c>
      <c r="H360" s="34" t="inlineStr">
        <is>
          <t>L9 · Responsable técnico asignado — Cumple</t>
        </is>
      </c>
      <c r="I360" s="8" t="n"/>
      <c r="J360" s="23" t="n"/>
    </row>
    <row r="361" ht="30" customHeight="1">
      <c r="G361" s="33" t="inlineStr">
        <is>
          <t>( x )</t>
        </is>
      </c>
      <c r="H361" s="34" t="inlineStr">
        <is>
          <t>L10 · Recursos identificados — Cumple: Henry Ticona + equipo de desarrollo y datos de prueba</t>
        </is>
      </c>
      <c r="I361" s="8" t="n"/>
      <c r="J361" s="23" t="n"/>
    </row>
    <row r="362" ht="30" customHeight="1">
      <c r="G362" s="33" t="inlineStr">
        <is>
          <t>( x )</t>
        </is>
      </c>
      <c r="H362" s="34" t="inlineStr">
        <is>
          <t>L11 · Requisitos técnicos de programación definidos — Cumple: FastAPI, SQLAlchemy 2, Alembic y PostgreSQL 16</t>
        </is>
      </c>
      <c r="I362" s="8" t="n"/>
      <c r="J362" s="23" t="n"/>
    </row>
    <row r="363" ht="30" customHeight="1">
      <c r="G363" s="33" t="inlineStr">
        <is>
          <t>( x )</t>
        </is>
      </c>
      <c r="H363" s="34" t="inlineStr">
        <is>
          <t>L12 · Accesos de red disponibles — Cumple: GitHub (repositorio privado), API y PostgreSQL en docker compose</t>
        </is>
      </c>
      <c r="I363" s="8" t="n"/>
      <c r="J363" s="23" t="n"/>
    </row>
    <row r="364" ht="36" customHeight="1">
      <c r="G364" s="39" t="inlineStr">
        <is>
          <t>Riesgos: Una persona ve obras ajenas · asignación única vigente por usuario y obra</t>
        </is>
      </c>
      <c r="H364" s="8" t="n"/>
      <c r="I364" s="8" t="n"/>
      <c r="J364" s="23" t="n"/>
    </row>
    <row r="365" ht="36" customHeight="1">
      <c r="G365" s="32" t="inlineStr">
        <is>
          <t>Proveedores de servicio: PostgreSQL gestionado en la nube (capa gratuita) · GitHub</t>
        </is>
      </c>
      <c r="H365" s="8" t="n"/>
      <c r="I365" s="8" t="n"/>
      <c r="J365" s="23" t="n"/>
    </row>
    <row r="366" ht="36" customHeight="1">
      <c r="G366" s="36" t="inlineStr">
        <is>
          <t>Costos: 3 pts ≈ 6 horas-persona (1 punto ≈ 2 h) · servicios externos: S/ 0 (planes gratuitos)</t>
        </is>
      </c>
      <c r="H366" s="37" t="n"/>
      <c r="I366" s="37" t="n"/>
      <c r="J366" s="38" t="n"/>
    </row>
    <row r="369">
      <c r="B369" s="18" t="inlineStr">
        <is>
          <t>HU-15 · Autorizar celular de la obra</t>
        </is>
      </c>
    </row>
    <row r="370" ht="18" customHeight="1">
      <c r="B370" s="19" t="inlineStr">
        <is>
          <t>TARJETA 1 · Historia de usuario</t>
        </is>
      </c>
      <c r="C370" s="20" t="n"/>
      <c r="D370" s="20" t="n"/>
      <c r="E370" s="21" t="n"/>
      <c r="G370" s="19" t="inlineStr">
        <is>
          <t>TARJETA 2 · Definición de Listo</t>
        </is>
      </c>
      <c r="H370" s="20" t="n"/>
      <c r="I370" s="20" t="n"/>
      <c r="J370" s="21" t="n"/>
      <c r="L370" s="19" t="inlineStr">
        <is>
          <t>TARJETA 3 · Definición de Terminado</t>
        </is>
      </c>
      <c r="M370" s="20" t="n"/>
      <c r="N370" s="20" t="n"/>
      <c r="O370" s="21" t="n"/>
    </row>
    <row r="371" ht="28" customHeight="1">
      <c r="B371" s="22" t="inlineStr">
        <is>
          <t>La unidad con la que se planifica, se estima y se acepta el trabajo</t>
        </is>
      </c>
      <c r="C371" s="8" t="n"/>
      <c r="D371" s="8" t="n"/>
      <c r="E371" s="23" t="n"/>
      <c r="G371" s="22" t="inlineStr">
        <is>
          <t>El enfoque está en la consideración del equipo de desarrollo sobre si la historia está lista para un Sprint</t>
        </is>
      </c>
      <c r="H371" s="8" t="n"/>
      <c r="I371" s="8" t="n"/>
      <c r="J371" s="23" t="n"/>
      <c r="L371" s="22" t="inlineStr">
        <is>
          <t>El enfoque está en la aceptación del cliente cuando se le entregue el producto</t>
        </is>
      </c>
      <c r="M371" s="8" t="n"/>
      <c r="N371" s="8" t="n"/>
      <c r="O371" s="23" t="n"/>
    </row>
    <row r="372">
      <c r="B372" s="24" t="inlineStr">
        <is>
          <t>Historia de usuario</t>
        </is>
      </c>
      <c r="C372" s="8" t="n"/>
      <c r="D372" s="25" t="inlineStr">
        <is>
          <t>Prioridad</t>
        </is>
      </c>
      <c r="E372" s="26" t="inlineStr">
        <is>
          <t>Estimación</t>
        </is>
      </c>
      <c r="G372" s="24" t="inlineStr">
        <is>
          <t>Historia de usuario</t>
        </is>
      </c>
      <c r="H372" s="8" t="n"/>
      <c r="I372" s="25" t="inlineStr">
        <is>
          <t>Prioridad</t>
        </is>
      </c>
      <c r="J372" s="26" t="inlineStr">
        <is>
          <t>Estimación</t>
        </is>
      </c>
      <c r="L372" s="24" t="inlineStr">
        <is>
          <t>Historia de usuario</t>
        </is>
      </c>
      <c r="M372" s="8" t="n"/>
      <c r="N372" s="25" t="inlineStr">
        <is>
          <t>Prioridad</t>
        </is>
      </c>
      <c r="O372" s="26" t="inlineStr">
        <is>
          <t>Estimación</t>
        </is>
      </c>
    </row>
    <row r="373" ht="30" customHeight="1">
      <c r="B373" s="27" t="inlineStr">
        <is>
          <t>HU-15 · Autorizar celular de la obra</t>
        </is>
      </c>
      <c r="C373" s="8" t="n"/>
      <c r="D373" s="9" t="inlineStr">
        <is>
          <t>Alta</t>
        </is>
      </c>
      <c r="E373" s="28" t="inlineStr">
        <is>
          <t>5 pts</t>
        </is>
      </c>
      <c r="G373" s="27" t="inlineStr">
        <is>
          <t>HU-15 · Autorizar celular de la obra</t>
        </is>
      </c>
      <c r="H373" s="8" t="n"/>
      <c r="I373" s="9" t="inlineStr">
        <is>
          <t>Alta</t>
        </is>
      </c>
      <c r="J373" s="28" t="inlineStr">
        <is>
          <t>5 pts</t>
        </is>
      </c>
      <c r="L373" s="27" t="inlineStr">
        <is>
          <t>HU-15 · Autorizar celular de la obra</t>
        </is>
      </c>
      <c r="M373" s="8" t="n"/>
      <c r="N373" s="9" t="inlineStr">
        <is>
          <t>Alta</t>
        </is>
      </c>
      <c r="O373" s="28" t="inlineStr">
        <is>
          <t>5 pts</t>
        </is>
      </c>
    </row>
    <row r="374">
      <c r="B374" s="29" t="inlineStr">
        <is>
          <t>Descripción:</t>
        </is>
      </c>
      <c r="C374" s="8" t="n"/>
      <c r="D374" s="8" t="n"/>
      <c r="E374" s="23" t="n"/>
      <c r="G374" s="29" t="inlineStr">
        <is>
          <t>Descripción:</t>
        </is>
      </c>
      <c r="H374" s="8" t="n"/>
      <c r="I374" s="8" t="n"/>
      <c r="J374" s="23" t="n"/>
      <c r="L374" s="29" t="inlineStr">
        <is>
          <t>Descripción:</t>
        </is>
      </c>
      <c r="M374" s="8" t="n"/>
      <c r="N374" s="8" t="n"/>
      <c r="O374" s="23" t="n"/>
    </row>
    <row r="375" ht="28" customHeight="1">
      <c r="B375" s="30" t="inlineStr">
        <is>
          <t>Como administrador, quiero autorizar el dispositivo que registra movimientos en cada obra, para impedir que un equipo ajeno opere en nombre de la obra.</t>
        </is>
      </c>
      <c r="C375" s="8" t="n"/>
      <c r="D375" s="8" t="n"/>
      <c r="E375" s="23" t="n"/>
      <c r="G375" s="30" t="inlineStr">
        <is>
          <t>Como administrador, quiero autorizar el dispositivo que registra movimientos en cada obra, para impedir que un equipo ajeno opere en nombre de la obra.</t>
        </is>
      </c>
      <c r="H375" s="8" t="n"/>
      <c r="I375" s="8" t="n"/>
      <c r="J375" s="23" t="n"/>
      <c r="L375" s="30" t="inlineStr">
        <is>
          <t>Como administrador, quiero autorizar el dispositivo que registra movimientos en cada obra, para impedir que un equipo ajeno opere en nombre de la obra.</t>
        </is>
      </c>
      <c r="M375" s="8" t="n"/>
      <c r="N375" s="8" t="n"/>
      <c r="O375" s="23" t="n"/>
    </row>
    <row r="376" ht="28" customHeight="1">
      <c r="B376" s="31" t="n"/>
      <c r="C376" s="8" t="n"/>
      <c r="D376" s="8" t="n"/>
      <c r="E376" s="23" t="n"/>
      <c r="G376" s="31" t="n"/>
      <c r="H376" s="8" t="n"/>
      <c r="I376" s="8" t="n"/>
      <c r="J376" s="23" t="n"/>
      <c r="L376" s="31" t="n"/>
      <c r="M376" s="8" t="n"/>
      <c r="N376" s="8" t="n"/>
      <c r="O376" s="23" t="n"/>
    </row>
    <row r="377">
      <c r="B377" s="29" t="inlineStr">
        <is>
          <t>Ficha de la historia</t>
        </is>
      </c>
      <c r="C377" s="8" t="n"/>
      <c r="D377" s="8" t="n"/>
      <c r="E377" s="23" t="n"/>
      <c r="G377" s="29" t="inlineStr">
        <is>
          <t>Criterios de listo:</t>
        </is>
      </c>
      <c r="H377" s="8" t="n"/>
      <c r="I377" s="8" t="n"/>
      <c r="J377" s="23" t="n"/>
      <c r="L377" s="29" t="inlineStr">
        <is>
          <t>Condiciones finales (se marcan cuando el PO acepta la HU en la Review):</t>
        </is>
      </c>
      <c r="M377" s="8" t="n"/>
      <c r="N377" s="8" t="n"/>
      <c r="O377" s="23" t="n"/>
    </row>
    <row r="378" ht="30" customHeight="1">
      <c r="B378" s="32" t="inlineStr">
        <is>
          <t>Épica: E1. Preparar la obra y su control</t>
        </is>
      </c>
      <c r="C378" s="8" t="n"/>
      <c r="D378" s="8" t="n"/>
      <c r="E378" s="23" t="n"/>
      <c r="G378" s="33" t="inlineStr">
        <is>
          <t>( x )</t>
        </is>
      </c>
      <c r="H378" s="34" t="inlineStr">
        <is>
          <t>L1 · Redactada en el formato acordado — Cumple</t>
        </is>
      </c>
      <c r="I378" s="8" t="n"/>
      <c r="J378" s="23" t="n"/>
      <c r="L378" s="35" t="inlineStr">
        <is>
          <t>(    )</t>
        </is>
      </c>
      <c r="M378" s="34" t="inlineStr">
        <is>
          <t>El celular se ha autorizado para la obra con el código que genera la app</t>
        </is>
      </c>
      <c r="N378" s="8" t="n"/>
      <c r="O378" s="23" t="n"/>
    </row>
    <row r="379" ht="30" customHeight="1">
      <c r="B379" s="32" t="inlineStr">
        <is>
          <t>Módulo: Usuarios / Seguridad</t>
        </is>
      </c>
      <c r="C379" s="8" t="n"/>
      <c r="D379" s="8" t="n"/>
      <c r="E379" s="23" t="n"/>
      <c r="G379" s="33" t="inlineStr">
        <is>
          <t>( x )</t>
        </is>
      </c>
      <c r="H379" s="34" t="inlineStr">
        <is>
          <t>L2 · Nombre corto en forma de acción — Cumple</t>
        </is>
      </c>
      <c r="I379" s="8" t="n"/>
      <c r="J379" s="23" t="n"/>
      <c r="L379" s="35" t="inlineStr">
        <is>
          <t>(    )</t>
        </is>
      </c>
      <c r="M379" s="34" t="inlineStr">
        <is>
          <t>Un registro desde un celular no autorizado se ha rechazado e informado</t>
        </is>
      </c>
      <c r="N379" s="8" t="n"/>
      <c r="O379" s="23" t="n"/>
    </row>
    <row r="380" ht="30" customHeight="1">
      <c r="B380" s="32" t="inlineStr">
        <is>
          <t>Responsable técnico: Android · Nicolás Pachamora</t>
        </is>
      </c>
      <c r="C380" s="8" t="n"/>
      <c r="D380" s="8" t="n"/>
      <c r="E380" s="23" t="n"/>
      <c r="G380" s="33" t="inlineStr">
        <is>
          <t>( x )</t>
        </is>
      </c>
      <c r="H380" s="34" t="inlineStr">
        <is>
          <t>L3 · Criterios de aceptación escritos — Cumple</t>
        </is>
      </c>
      <c r="I380" s="8" t="n"/>
      <c r="J380" s="23" t="n"/>
      <c r="L380" s="35" t="inlineStr">
        <is>
          <t>(    )</t>
        </is>
      </c>
      <c r="M380" s="34" t="inlineStr">
        <is>
          <t>Un cambio de celular se ha autorizado por el administrador y ha quedado registrado</t>
        </is>
      </c>
      <c r="N380" s="8" t="n"/>
      <c r="O380" s="23" t="n"/>
    </row>
    <row r="381" ht="36" customHeight="1">
      <c r="B381" s="36" t="inlineStr">
        <is>
          <t>Depende de: HU-13</t>
        </is>
      </c>
      <c r="C381" s="37" t="n"/>
      <c r="D381" s="37" t="n"/>
      <c r="E381" s="38" t="n"/>
      <c r="G381" s="33" t="inlineStr">
        <is>
          <t>( x )</t>
        </is>
      </c>
      <c r="H381" s="34" t="inlineStr">
        <is>
          <t>L4 · Dependencias resueltas — Cumple</t>
        </is>
      </c>
      <c r="I381" s="8" t="n"/>
      <c r="J381" s="23" t="n"/>
      <c r="L381" s="36" t="inlineStr">
        <is>
          <t>Mitad técnica: Además, los diez criterios T1 a T10 de la hoja «3. Criterios DoR y DoD», sin excepción</t>
        </is>
      </c>
      <c r="M381" s="37" t="n"/>
      <c r="N381" s="37" t="n"/>
      <c r="O381" s="38" t="n"/>
    </row>
    <row r="382" ht="30" customHeight="1">
      <c r="G382" s="33" t="inlineStr">
        <is>
          <t>( x )</t>
        </is>
      </c>
      <c r="H382" s="34" t="inlineStr">
        <is>
          <t>L5 · Estimada por los Developers — Cumple</t>
        </is>
      </c>
      <c r="I382" s="8" t="n"/>
      <c r="J382" s="23" t="n"/>
    </row>
    <row r="383" ht="30" customHeight="1">
      <c r="G383" s="33" t="inlineStr">
        <is>
          <t>( x )</t>
        </is>
      </c>
      <c r="H383" s="34" t="inlineStr">
        <is>
          <t>L6 · Cabe en un sprint (8 puntos o menos) — Cumple</t>
        </is>
      </c>
      <c r="I383" s="8" t="n"/>
      <c r="J383" s="23" t="n"/>
    </row>
    <row r="384" ht="30" customHeight="1">
      <c r="G384" s="33" t="inlineStr">
        <is>
          <t>( x )</t>
        </is>
      </c>
      <c r="H384" s="34" t="inlineStr">
        <is>
          <t>L7 · Reglas de dominio identificadas — Cumple</t>
        </is>
      </c>
      <c r="I384" s="8" t="n"/>
      <c r="J384" s="23" t="n"/>
    </row>
    <row r="385" ht="30" customHeight="1">
      <c r="G385" s="33" t="inlineStr">
        <is>
          <t>( x )</t>
        </is>
      </c>
      <c r="H385" s="34" t="inlineStr">
        <is>
          <t>L8 · Datos de prueba disponibles — Cumple</t>
        </is>
      </c>
      <c r="I385" s="8" t="n"/>
      <c r="J385" s="23" t="n"/>
    </row>
    <row r="386" ht="30" customHeight="1">
      <c r="G386" s="33" t="inlineStr">
        <is>
          <t>( x )</t>
        </is>
      </c>
      <c r="H386" s="34" t="inlineStr">
        <is>
          <t>L9 · Responsable técnico asignado — Cumple</t>
        </is>
      </c>
      <c r="I386" s="8" t="n"/>
      <c r="J386" s="23" t="n"/>
    </row>
    <row r="387" ht="30" customHeight="1">
      <c r="G387" s="33" t="inlineStr">
        <is>
          <t>( x )</t>
        </is>
      </c>
      <c r="H387" s="34" t="inlineStr">
        <is>
          <t>L10 · Recursos identificados — Cumple: Nicolás Pachamora + equipo de desarrollo y datos de prueba</t>
        </is>
      </c>
      <c r="I387" s="8" t="n"/>
      <c r="J387" s="23" t="n"/>
    </row>
    <row r="388" ht="30" customHeight="1">
      <c r="G388" s="33" t="inlineStr">
        <is>
          <t>( x )</t>
        </is>
      </c>
      <c r="H388" s="34" t="inlineStr">
        <is>
          <t>L11 · Requisitos técnicos de programación definidos — Cumple: Kotlin, Jetpack Compose, Room y WorkManager</t>
        </is>
      </c>
      <c r="I388" s="8" t="n"/>
      <c r="J388" s="23" t="n"/>
    </row>
    <row r="389" ht="30" customHeight="1">
      <c r="G389" s="33" t="inlineStr">
        <is>
          <t>( x )</t>
        </is>
      </c>
      <c r="H389" s="34" t="inlineStr">
        <is>
          <t>L12 · Accesos de red disponibles — Cumple: GitHub (repositorio privado), API y PostgreSQL en docker compose, red móvil o wifi para sincronizar (y modo avión para la prueba)</t>
        </is>
      </c>
      <c r="I389" s="8" t="n"/>
      <c r="J389" s="23" t="n"/>
    </row>
    <row r="390" ht="36" customHeight="1">
      <c r="G390" s="39" t="inlineStr">
        <is>
          <t>Riesgos: Un tercer dispositivo registra en la obra · límite de dos verificado en la base</t>
        </is>
      </c>
      <c r="H390" s="8" t="n"/>
      <c r="I390" s="8" t="n"/>
      <c r="J390" s="23" t="n"/>
    </row>
    <row r="391" ht="36" customHeight="1">
      <c r="G391" s="32" t="inlineStr">
        <is>
          <t>Proveedores de servicio: Teléfono Android de prueba · servidor de la API en la nube</t>
        </is>
      </c>
      <c r="H391" s="8" t="n"/>
      <c r="I391" s="8" t="n"/>
      <c r="J391" s="23" t="n"/>
    </row>
    <row r="392" ht="36" customHeight="1">
      <c r="G392" s="36" t="inlineStr">
        <is>
          <t>Costos: 5 pts ≈ 10 horas-persona (1 punto ≈ 2 h) · servicios externos: S/ 0 (planes gratuitos)</t>
        </is>
      </c>
      <c r="H392" s="37" t="n"/>
      <c r="I392" s="37" t="n"/>
      <c r="J392" s="38" t="n"/>
    </row>
    <row r="395">
      <c r="B395" s="18" t="inlineStr">
        <is>
          <t>HU-16 · Importar precios unitarios</t>
        </is>
      </c>
    </row>
    <row r="396" ht="18" customHeight="1">
      <c r="B396" s="19" t="inlineStr">
        <is>
          <t>TARJETA 1 · Historia de usuario</t>
        </is>
      </c>
      <c r="C396" s="20" t="n"/>
      <c r="D396" s="20" t="n"/>
      <c r="E396" s="21" t="n"/>
      <c r="G396" s="19" t="inlineStr">
        <is>
          <t>TARJETA 2 · Definición de Listo</t>
        </is>
      </c>
      <c r="H396" s="20" t="n"/>
      <c r="I396" s="20" t="n"/>
      <c r="J396" s="21" t="n"/>
      <c r="L396" s="19" t="inlineStr">
        <is>
          <t>TARJETA 3 · Definición de Terminado</t>
        </is>
      </c>
      <c r="M396" s="20" t="n"/>
      <c r="N396" s="20" t="n"/>
      <c r="O396" s="21" t="n"/>
    </row>
    <row r="397" ht="28" customHeight="1">
      <c r="B397" s="22" t="inlineStr">
        <is>
          <t>La unidad con la que se planifica, se estima y se acepta el trabajo</t>
        </is>
      </c>
      <c r="C397" s="8" t="n"/>
      <c r="D397" s="8" t="n"/>
      <c r="E397" s="23" t="n"/>
      <c r="G397" s="22" t="inlineStr">
        <is>
          <t>El enfoque está en la consideración del equipo de desarrollo sobre si la historia está lista para un Sprint</t>
        </is>
      </c>
      <c r="H397" s="8" t="n"/>
      <c r="I397" s="8" t="n"/>
      <c r="J397" s="23" t="n"/>
      <c r="L397" s="22" t="inlineStr">
        <is>
          <t>El enfoque está en la aceptación del cliente cuando se le entregue el producto</t>
        </is>
      </c>
      <c r="M397" s="8" t="n"/>
      <c r="N397" s="8" t="n"/>
      <c r="O397" s="23" t="n"/>
    </row>
    <row r="398">
      <c r="B398" s="24" t="inlineStr">
        <is>
          <t>Historia de usuario</t>
        </is>
      </c>
      <c r="C398" s="8" t="n"/>
      <c r="D398" s="25" t="inlineStr">
        <is>
          <t>Prioridad</t>
        </is>
      </c>
      <c r="E398" s="26" t="inlineStr">
        <is>
          <t>Estimación</t>
        </is>
      </c>
      <c r="G398" s="24" t="inlineStr">
        <is>
          <t>Historia de usuario</t>
        </is>
      </c>
      <c r="H398" s="8" t="n"/>
      <c r="I398" s="25" t="inlineStr">
        <is>
          <t>Prioridad</t>
        </is>
      </c>
      <c r="J398" s="26" t="inlineStr">
        <is>
          <t>Estimación</t>
        </is>
      </c>
      <c r="L398" s="24" t="inlineStr">
        <is>
          <t>Historia de usuario</t>
        </is>
      </c>
      <c r="M398" s="8" t="n"/>
      <c r="N398" s="25" t="inlineStr">
        <is>
          <t>Prioridad</t>
        </is>
      </c>
      <c r="O398" s="26" t="inlineStr">
        <is>
          <t>Estimación</t>
        </is>
      </c>
    </row>
    <row r="399" ht="30" customHeight="1">
      <c r="B399" s="27" t="inlineStr">
        <is>
          <t>HU-16 · Importar precios unitarios</t>
        </is>
      </c>
      <c r="C399" s="8" t="n"/>
      <c r="D399" s="9" t="inlineStr">
        <is>
          <t>Crítica</t>
        </is>
      </c>
      <c r="E399" s="28" t="inlineStr">
        <is>
          <t>8 pts</t>
        </is>
      </c>
      <c r="G399" s="27" t="inlineStr">
        <is>
          <t>HU-16 · Importar precios unitarios</t>
        </is>
      </c>
      <c r="H399" s="8" t="n"/>
      <c r="I399" s="9" t="inlineStr">
        <is>
          <t>Crítica</t>
        </is>
      </c>
      <c r="J399" s="28" t="inlineStr">
        <is>
          <t>8 pts</t>
        </is>
      </c>
      <c r="L399" s="27" t="inlineStr">
        <is>
          <t>HU-16 · Importar precios unitarios</t>
        </is>
      </c>
      <c r="M399" s="8" t="n"/>
      <c r="N399" s="9" t="inlineStr">
        <is>
          <t>Crítica</t>
        </is>
      </c>
      <c r="O399" s="28" t="inlineStr">
        <is>
          <t>8 pts</t>
        </is>
      </c>
    </row>
    <row r="400">
      <c r="B400" s="29" t="inlineStr">
        <is>
          <t>Descripción:</t>
        </is>
      </c>
      <c r="C400" s="8" t="n"/>
      <c r="D400" s="8" t="n"/>
      <c r="E400" s="23" t="n"/>
      <c r="G400" s="29" t="inlineStr">
        <is>
          <t>Descripción:</t>
        </is>
      </c>
      <c r="H400" s="8" t="n"/>
      <c r="I400" s="8" t="n"/>
      <c r="J400" s="23" t="n"/>
      <c r="L400" s="29" t="inlineStr">
        <is>
          <t>Descripción:</t>
        </is>
      </c>
      <c r="M400" s="8" t="n"/>
      <c r="N400" s="8" t="n"/>
      <c r="O400" s="23" t="n"/>
    </row>
    <row r="401" ht="28" customHeight="1">
      <c r="B401" s="30" t="inlineStr">
        <is>
          <t>Como residente de obra, quiero importar el análisis de precios unitarios del S10, para conocer cuánto material exige cada partida.</t>
        </is>
      </c>
      <c r="C401" s="8" t="n"/>
      <c r="D401" s="8" t="n"/>
      <c r="E401" s="23" t="n"/>
      <c r="G401" s="30" t="inlineStr">
        <is>
          <t>Como residente de obra, quiero importar el análisis de precios unitarios del S10, para conocer cuánto material exige cada partida.</t>
        </is>
      </c>
      <c r="H401" s="8" t="n"/>
      <c r="I401" s="8" t="n"/>
      <c r="J401" s="23" t="n"/>
      <c r="L401" s="30" t="inlineStr">
        <is>
          <t>Como residente de obra, quiero importar el análisis de precios unitarios del S10, para conocer cuánto material exige cada partida.</t>
        </is>
      </c>
      <c r="M401" s="8" t="n"/>
      <c r="N401" s="8" t="n"/>
      <c r="O401" s="23" t="n"/>
    </row>
    <row r="402" ht="28" customHeight="1">
      <c r="B402" s="31" t="n"/>
      <c r="C402" s="8" t="n"/>
      <c r="D402" s="8" t="n"/>
      <c r="E402" s="23" t="n"/>
      <c r="G402" s="31" t="n"/>
      <c r="H402" s="8" t="n"/>
      <c r="I402" s="8" t="n"/>
      <c r="J402" s="23" t="n"/>
      <c r="L402" s="31" t="n"/>
      <c r="M402" s="8" t="n"/>
      <c r="N402" s="8" t="n"/>
      <c r="O402" s="23" t="n"/>
    </row>
    <row r="403">
      <c r="B403" s="29" t="inlineStr">
        <is>
          <t>Ficha de la historia</t>
        </is>
      </c>
      <c r="C403" s="8" t="n"/>
      <c r="D403" s="8" t="n"/>
      <c r="E403" s="23" t="n"/>
      <c r="G403" s="29" t="inlineStr">
        <is>
          <t>Criterios de listo:</t>
        </is>
      </c>
      <c r="H403" s="8" t="n"/>
      <c r="I403" s="8" t="n"/>
      <c r="J403" s="23" t="n"/>
      <c r="L403" s="29" t="inlineStr">
        <is>
          <t>Condiciones finales (se marcan cuando el PO acepta la HU en la Review):</t>
        </is>
      </c>
      <c r="M403" s="8" t="n"/>
      <c r="N403" s="8" t="n"/>
      <c r="O403" s="23" t="n"/>
    </row>
    <row r="404" ht="30" customHeight="1">
      <c r="B404" s="32" t="inlineStr">
        <is>
          <t>Épica: E2. Planificar el requerimiento y la reposición de recursos</t>
        </is>
      </c>
      <c r="C404" s="8" t="n"/>
      <c r="D404" s="8" t="n"/>
      <c r="E404" s="23" t="n"/>
      <c r="G404" s="33" t="inlineStr">
        <is>
          <t>( x )</t>
        </is>
      </c>
      <c r="H404" s="34" t="inlineStr">
        <is>
          <t>L1 · Redactada en el formato acordado — Cumple</t>
        </is>
      </c>
      <c r="I404" s="8" t="n"/>
      <c r="J404" s="23" t="n"/>
      <c r="L404" s="35" t="inlineStr">
        <is>
          <t>(    )</t>
        </is>
      </c>
      <c r="M404" s="34" t="inlineStr">
        <is>
          <t>El análisis de precios unitarios se ha importado con partida, recurso, cantidad y unidad</t>
        </is>
      </c>
      <c r="N404" s="8" t="n"/>
      <c r="O404" s="23" t="n"/>
    </row>
    <row r="405" ht="30" customHeight="1">
      <c r="B405" s="32" t="inlineStr">
        <is>
          <t>Módulo: S10 / Requerimientos</t>
        </is>
      </c>
      <c r="C405" s="8" t="n"/>
      <c r="D405" s="8" t="n"/>
      <c r="E405" s="23" t="n"/>
      <c r="G405" s="33" t="inlineStr">
        <is>
          <t>( x )</t>
        </is>
      </c>
      <c r="H405" s="34" t="inlineStr">
        <is>
          <t>L2 · Nombre corto en forma de acción — Cumple</t>
        </is>
      </c>
      <c r="I405" s="8" t="n"/>
      <c r="J405" s="23" t="n"/>
      <c r="L405" s="35" t="inlineStr">
        <is>
          <t>(    )</t>
        </is>
      </c>
      <c r="M405" s="34" t="inlineStr">
        <is>
          <t>Las partidas se han identificado por código y descripción</t>
        </is>
      </c>
      <c r="N405" s="8" t="n"/>
      <c r="O405" s="23" t="n"/>
    </row>
    <row r="406" ht="30" customHeight="1">
      <c r="B406" s="32" t="inlineStr">
        <is>
          <t>Responsable técnico: Integraciones · Fernando Istaña</t>
        </is>
      </c>
      <c r="C406" s="8" t="n"/>
      <c r="D406" s="8" t="n"/>
      <c r="E406" s="23" t="n"/>
      <c r="G406" s="33" t="inlineStr">
        <is>
          <t>( x )</t>
        </is>
      </c>
      <c r="H406" s="34" t="inlineStr">
        <is>
          <t>L3 · Criterios de aceptación escritos — Cumple</t>
        </is>
      </c>
      <c r="I406" s="8" t="n"/>
      <c r="J406" s="23" t="n"/>
      <c r="L406" s="35" t="inlineStr">
        <is>
          <t>(    )</t>
        </is>
      </c>
      <c r="M406" s="34" t="inlineStr">
        <is>
          <t>Un recurso no reconocido se ha reportado sin detener la importación</t>
        </is>
      </c>
      <c r="N406" s="8" t="n"/>
      <c r="O406" s="23" t="n"/>
    </row>
    <row r="407" ht="36" customHeight="1">
      <c r="B407" s="36" t="inlineStr">
        <is>
          <t>Depende de: HU-07</t>
        </is>
      </c>
      <c r="C407" s="37" t="n"/>
      <c r="D407" s="37" t="n"/>
      <c r="E407" s="38" t="n"/>
      <c r="G407" s="33" t="inlineStr">
        <is>
          <t>( x )</t>
        </is>
      </c>
      <c r="H407" s="34" t="inlineStr">
        <is>
          <t>L4 · Dependencias resueltas — Cumple</t>
        </is>
      </c>
      <c r="I407" s="8" t="n"/>
      <c r="J407" s="23" t="n"/>
      <c r="L407" s="36" t="inlineStr">
        <is>
          <t>Mitad técnica: Además, los diez criterios T1 a T10 de la hoja «3. Criterios DoR y DoD», sin excepción</t>
        </is>
      </c>
      <c r="M407" s="37" t="n"/>
      <c r="N407" s="37" t="n"/>
      <c r="O407" s="38" t="n"/>
    </row>
    <row r="408" ht="30" customHeight="1">
      <c r="G408" s="33" t="inlineStr">
        <is>
          <t>( x )</t>
        </is>
      </c>
      <c r="H408" s="34" t="inlineStr">
        <is>
          <t>L5 · Estimada por los Developers — Cumple</t>
        </is>
      </c>
      <c r="I408" s="8" t="n"/>
      <c r="J408" s="23" t="n"/>
    </row>
    <row r="409" ht="30" customHeight="1">
      <c r="G409" s="33" t="inlineStr">
        <is>
          <t>( x )</t>
        </is>
      </c>
      <c r="H409" s="34" t="inlineStr">
        <is>
          <t>L6 · Cabe en un sprint (8 puntos o menos) — Cumple</t>
        </is>
      </c>
      <c r="I409" s="8" t="n"/>
      <c r="J409" s="23" t="n"/>
    </row>
    <row r="410" ht="30" customHeight="1">
      <c r="G410" s="33" t="inlineStr">
        <is>
          <t>( x )</t>
        </is>
      </c>
      <c r="H410" s="34" t="inlineStr">
        <is>
          <t>L7 · Reglas de dominio identificadas — Cumple</t>
        </is>
      </c>
      <c r="I410" s="8" t="n"/>
      <c r="J410" s="23" t="n"/>
    </row>
    <row r="411" ht="30" customHeight="1">
      <c r="G411" s="33" t="inlineStr">
        <is>
          <t>( x )</t>
        </is>
      </c>
      <c r="H411" s="34" t="inlineStr">
        <is>
          <t>L8 · Datos de prueba disponibles — Cumple: el cliente entregó los reportes del S10 el 21/10/2026</t>
        </is>
      </c>
      <c r="I411" s="8" t="n"/>
      <c r="J411" s="23" t="n"/>
    </row>
    <row r="412" ht="30" customHeight="1">
      <c r="G412" s="33" t="inlineStr">
        <is>
          <t>( x )</t>
        </is>
      </c>
      <c r="H412" s="34" t="inlineStr">
        <is>
          <t>L9 · Responsable técnico asignado — Cumple</t>
        </is>
      </c>
      <c r="I412" s="8" t="n"/>
      <c r="J412" s="23" t="n"/>
    </row>
    <row r="413" ht="30" customHeight="1">
      <c r="G413" s="33" t="inlineStr">
        <is>
          <t>( x )</t>
        </is>
      </c>
      <c r="H413" s="34" t="inlineStr">
        <is>
          <t>L10 · Recursos identificados — Cumple: Fernando Istaña + equipo de desarrollo y datos de prueba</t>
        </is>
      </c>
      <c r="I413" s="8" t="n"/>
      <c r="J413" s="23" t="n"/>
    </row>
    <row r="414" ht="30" customHeight="1">
      <c r="G414" s="33" t="inlineStr">
        <is>
          <t>( x )</t>
        </is>
      </c>
      <c r="H414" s="34" t="inlineStr">
        <is>
          <t>L11 · Requisitos técnicos de programación definidos — Cumple: FastAPI y httpx + pdfplumber (PDF del S10)</t>
        </is>
      </c>
      <c r="I414" s="8" t="n"/>
      <c r="J414" s="23" t="n"/>
    </row>
    <row r="415" ht="30" customHeight="1">
      <c r="G415" s="33" t="inlineStr">
        <is>
          <t>( x )</t>
        </is>
      </c>
      <c r="H415" s="34" t="inlineStr">
        <is>
          <t>L12 · Accesos de red disponibles — Cumple: GitHub (repositorio privado), API y PostgreSQL en docker compose</t>
        </is>
      </c>
      <c r="I415" s="8" t="n"/>
      <c r="J415" s="23" t="n"/>
    </row>
    <row r="416" ht="36" customHeight="1">
      <c r="G416" s="39" t="inlineStr">
        <is>
          <t>Riesgos: El APU de 371 págs. trunca códigos de partida · importar por código + descripción</t>
        </is>
      </c>
      <c r="H416" s="8" t="n"/>
      <c r="I416" s="8" t="n"/>
      <c r="J416" s="23" t="n"/>
    </row>
    <row r="417" ht="36" customHeight="1">
      <c r="G417" s="32" t="inlineStr">
        <is>
          <t>Proveedores de servicio: Cliente SEVENS: reportes exportados del S10 Presupuestos</t>
        </is>
      </c>
      <c r="H417" s="8" t="n"/>
      <c r="I417" s="8" t="n"/>
      <c r="J417" s="23" t="n"/>
    </row>
    <row r="418" ht="36" customHeight="1">
      <c r="G418" s="36" t="inlineStr">
        <is>
          <t>Costos: 8 pts ≈ 16 horas-persona (1 punto ≈ 2 h) · servicios externos: S/ 0 (planes gratuitos)</t>
        </is>
      </c>
      <c r="H418" s="37" t="n"/>
      <c r="I418" s="37" t="n"/>
      <c r="J418" s="38" t="n"/>
    </row>
    <row r="421">
      <c r="B421" s="18" t="inlineStr">
        <is>
          <t>HU-17 · Convertir unidades (kg a varillas)</t>
        </is>
      </c>
    </row>
    <row r="422" ht="18" customHeight="1">
      <c r="B422" s="19" t="inlineStr">
        <is>
          <t>TARJETA 1 · Historia de usuario</t>
        </is>
      </c>
      <c r="C422" s="20" t="n"/>
      <c r="D422" s="20" t="n"/>
      <c r="E422" s="21" t="n"/>
      <c r="G422" s="19" t="inlineStr">
        <is>
          <t>TARJETA 2 · Definición de Listo</t>
        </is>
      </c>
      <c r="H422" s="20" t="n"/>
      <c r="I422" s="20" t="n"/>
      <c r="J422" s="21" t="n"/>
      <c r="L422" s="19" t="inlineStr">
        <is>
          <t>TARJETA 3 · Definición de Terminado</t>
        </is>
      </c>
      <c r="M422" s="20" t="n"/>
      <c r="N422" s="20" t="n"/>
      <c r="O422" s="21" t="n"/>
    </row>
    <row r="423" ht="28" customHeight="1">
      <c r="B423" s="22" t="inlineStr">
        <is>
          <t>La unidad con la que se planifica, se estima y se acepta el trabajo</t>
        </is>
      </c>
      <c r="C423" s="8" t="n"/>
      <c r="D423" s="8" t="n"/>
      <c r="E423" s="23" t="n"/>
      <c r="G423" s="22" t="inlineStr">
        <is>
          <t>El enfoque está en la consideración del equipo de desarrollo sobre si la historia está lista para un Sprint</t>
        </is>
      </c>
      <c r="H423" s="8" t="n"/>
      <c r="I423" s="8" t="n"/>
      <c r="J423" s="23" t="n"/>
      <c r="L423" s="22" t="inlineStr">
        <is>
          <t>El enfoque está en la aceptación del cliente cuando se le entregue el producto</t>
        </is>
      </c>
      <c r="M423" s="8" t="n"/>
      <c r="N423" s="8" t="n"/>
      <c r="O423" s="23" t="n"/>
    </row>
    <row r="424">
      <c r="B424" s="24" t="inlineStr">
        <is>
          <t>Historia de usuario</t>
        </is>
      </c>
      <c r="C424" s="8" t="n"/>
      <c r="D424" s="25" t="inlineStr">
        <is>
          <t>Prioridad</t>
        </is>
      </c>
      <c r="E424" s="26" t="inlineStr">
        <is>
          <t>Estimación</t>
        </is>
      </c>
      <c r="G424" s="24" t="inlineStr">
        <is>
          <t>Historia de usuario</t>
        </is>
      </c>
      <c r="H424" s="8" t="n"/>
      <c r="I424" s="25" t="inlineStr">
        <is>
          <t>Prioridad</t>
        </is>
      </c>
      <c r="J424" s="26" t="inlineStr">
        <is>
          <t>Estimación</t>
        </is>
      </c>
      <c r="L424" s="24" t="inlineStr">
        <is>
          <t>Historia de usuario</t>
        </is>
      </c>
      <c r="M424" s="8" t="n"/>
      <c r="N424" s="25" t="inlineStr">
        <is>
          <t>Prioridad</t>
        </is>
      </c>
      <c r="O424" s="26" t="inlineStr">
        <is>
          <t>Estimación</t>
        </is>
      </c>
    </row>
    <row r="425" ht="30" customHeight="1">
      <c r="B425" s="27" t="inlineStr">
        <is>
          <t>HU-17 · Convertir unidades (kg a varillas)</t>
        </is>
      </c>
      <c r="C425" s="8" t="n"/>
      <c r="D425" s="9" t="inlineStr">
        <is>
          <t>Crítica</t>
        </is>
      </c>
      <c r="E425" s="28" t="inlineStr">
        <is>
          <t>3 pts</t>
        </is>
      </c>
      <c r="G425" s="27" t="inlineStr">
        <is>
          <t>HU-17 · Convertir unidades (kg a varillas)</t>
        </is>
      </c>
      <c r="H425" s="8" t="n"/>
      <c r="I425" s="9" t="inlineStr">
        <is>
          <t>Crítica</t>
        </is>
      </c>
      <c r="J425" s="28" t="inlineStr">
        <is>
          <t>3 pts</t>
        </is>
      </c>
      <c r="L425" s="27" t="inlineStr">
        <is>
          <t>HU-17 · Convertir unidades (kg a varillas)</t>
        </is>
      </c>
      <c r="M425" s="8" t="n"/>
      <c r="N425" s="9" t="inlineStr">
        <is>
          <t>Crítica</t>
        </is>
      </c>
      <c r="O425" s="28" t="inlineStr">
        <is>
          <t>3 pts</t>
        </is>
      </c>
    </row>
    <row r="426">
      <c r="B426" s="29" t="inlineStr">
        <is>
          <t>Descripción:</t>
        </is>
      </c>
      <c r="C426" s="8" t="n"/>
      <c r="D426" s="8" t="n"/>
      <c r="E426" s="23" t="n"/>
      <c r="G426" s="29" t="inlineStr">
        <is>
          <t>Descripción:</t>
        </is>
      </c>
      <c r="H426" s="8" t="n"/>
      <c r="I426" s="8" t="n"/>
      <c r="J426" s="23" t="n"/>
      <c r="L426" s="29" t="inlineStr">
        <is>
          <t>Descripción:</t>
        </is>
      </c>
      <c r="M426" s="8" t="n"/>
      <c r="N426" s="8" t="n"/>
      <c r="O426" s="23" t="n"/>
    </row>
    <row r="427" ht="28" customHeight="1">
      <c r="B427" s="30" t="inlineStr">
        <is>
          <t>Como almacenero, quiero registrar el factor entre la unidad del S10 y la unidad de compra, para comparar en una misma unidad lo presupuestado, lo comprado y lo consumido.</t>
        </is>
      </c>
      <c r="C427" s="8" t="n"/>
      <c r="D427" s="8" t="n"/>
      <c r="E427" s="23" t="n"/>
      <c r="G427" s="30" t="inlineStr">
        <is>
          <t>Como almacenero, quiero registrar el factor entre la unidad del S10 y la unidad de compra, para comparar en una misma unidad lo presupuestado, lo comprado y lo consumido.</t>
        </is>
      </c>
      <c r="H427" s="8" t="n"/>
      <c r="I427" s="8" t="n"/>
      <c r="J427" s="23" t="n"/>
      <c r="L427" s="30" t="inlineStr">
        <is>
          <t>Como almacenero, quiero registrar el factor entre la unidad del S10 y la unidad de compra, para comparar en una misma unidad lo presupuestado, lo comprado y lo consumido.</t>
        </is>
      </c>
      <c r="M427" s="8" t="n"/>
      <c r="N427" s="8" t="n"/>
      <c r="O427" s="23" t="n"/>
    </row>
    <row r="428" ht="28" customHeight="1">
      <c r="B428" s="31" t="n"/>
      <c r="C428" s="8" t="n"/>
      <c r="D428" s="8" t="n"/>
      <c r="E428" s="23" t="n"/>
      <c r="G428" s="31" t="n"/>
      <c r="H428" s="8" t="n"/>
      <c r="I428" s="8" t="n"/>
      <c r="J428" s="23" t="n"/>
      <c r="L428" s="31" t="n"/>
      <c r="M428" s="8" t="n"/>
      <c r="N428" s="8" t="n"/>
      <c r="O428" s="23" t="n"/>
    </row>
    <row r="429">
      <c r="B429" s="29" t="inlineStr">
        <is>
          <t>Ficha de la historia</t>
        </is>
      </c>
      <c r="C429" s="8" t="n"/>
      <c r="D429" s="8" t="n"/>
      <c r="E429" s="23" t="n"/>
      <c r="G429" s="29" t="inlineStr">
        <is>
          <t>Criterios de listo:</t>
        </is>
      </c>
      <c r="H429" s="8" t="n"/>
      <c r="I429" s="8" t="n"/>
      <c r="J429" s="23" t="n"/>
      <c r="L429" s="29" t="inlineStr">
        <is>
          <t>Condiciones finales (se marcan cuando el PO acepta la HU en la Review):</t>
        </is>
      </c>
      <c r="M429" s="8" t="n"/>
      <c r="N429" s="8" t="n"/>
      <c r="O429" s="23" t="n"/>
    </row>
    <row r="430" ht="30" customHeight="1">
      <c r="B430" s="32" t="inlineStr">
        <is>
          <t>Épica: E2. Planificar el requerimiento y la reposición de recursos</t>
        </is>
      </c>
      <c r="C430" s="8" t="n"/>
      <c r="D430" s="8" t="n"/>
      <c r="E430" s="23" t="n"/>
      <c r="G430" s="33" t="inlineStr">
        <is>
          <t>( x )</t>
        </is>
      </c>
      <c r="H430" s="34" t="inlineStr">
        <is>
          <t>L1 · Redactada en el formato acordado — Cumple</t>
        </is>
      </c>
      <c r="I430" s="8" t="n"/>
      <c r="J430" s="23" t="n"/>
      <c r="L430" s="35" t="inlineStr">
        <is>
          <t>(    )</t>
        </is>
      </c>
      <c r="M430" s="34" t="inlineStr">
        <is>
          <t>El factor de conversión se ha registrado con su fecha y quién lo declaró</t>
        </is>
      </c>
      <c r="N430" s="8" t="n"/>
      <c r="O430" s="23" t="n"/>
    </row>
    <row r="431" ht="30" customHeight="1">
      <c r="B431" s="32" t="inlineStr">
        <is>
          <t>Módulo: S10 / Requerimientos</t>
        </is>
      </c>
      <c r="C431" s="8" t="n"/>
      <c r="D431" s="8" t="n"/>
      <c r="E431" s="23" t="n"/>
      <c r="G431" s="33" t="inlineStr">
        <is>
          <t>( x )</t>
        </is>
      </c>
      <c r="H431" s="34" t="inlineStr">
        <is>
          <t>L2 · Nombre corto en forma de acción — Cumple</t>
        </is>
      </c>
      <c r="I431" s="8" t="n"/>
      <c r="J431" s="23" t="n"/>
      <c r="L431" s="35" t="inlineStr">
        <is>
          <t>(    )</t>
        </is>
      </c>
      <c r="M431" s="34" t="inlineStr">
        <is>
          <t>Lo requerido, comprado y consumido se han comparado en la unidad de compra</t>
        </is>
      </c>
      <c r="N431" s="8" t="n"/>
      <c r="O431" s="23" t="n"/>
    </row>
    <row r="432" ht="30" customHeight="1">
      <c r="B432" s="32" t="inlineStr">
        <is>
          <t>Responsable técnico: Backend · Henry Ticona</t>
        </is>
      </c>
      <c r="C432" s="8" t="n"/>
      <c r="D432" s="8" t="n"/>
      <c r="E432" s="23" t="n"/>
      <c r="G432" s="33" t="inlineStr">
        <is>
          <t>( x )</t>
        </is>
      </c>
      <c r="H432" s="34" t="inlineStr">
        <is>
          <t>L3 · Criterios de aceptación escritos — Cumple</t>
        </is>
      </c>
      <c r="I432" s="8" t="n"/>
      <c r="J432" s="23" t="n"/>
      <c r="L432" s="35" t="inlineStr">
        <is>
          <t>(    )</t>
        </is>
      </c>
      <c r="M432" s="34" t="inlineStr">
        <is>
          <t>Sin factor declarado, se ha asumido la misma unidad</t>
        </is>
      </c>
      <c r="N432" s="8" t="n"/>
      <c r="O432" s="23" t="n"/>
    </row>
    <row r="433" ht="36" customHeight="1">
      <c r="B433" s="36" t="inlineStr">
        <is>
          <t>Depende de: HU-08</t>
        </is>
      </c>
      <c r="C433" s="37" t="n"/>
      <c r="D433" s="37" t="n"/>
      <c r="E433" s="38" t="n"/>
      <c r="G433" s="33" t="inlineStr">
        <is>
          <t>( x )</t>
        </is>
      </c>
      <c r="H433" s="34" t="inlineStr">
        <is>
          <t>L4 · Dependencias resueltas — Cumple</t>
        </is>
      </c>
      <c r="I433" s="8" t="n"/>
      <c r="J433" s="23" t="n"/>
      <c r="L433" s="36" t="inlineStr">
        <is>
          <t>Mitad técnica: Además, los diez criterios T1 a T10 de la hoja «3. Criterios DoR y DoD», sin excepción</t>
        </is>
      </c>
      <c r="M433" s="37" t="n"/>
      <c r="N433" s="37" t="n"/>
      <c r="O433" s="38" t="n"/>
    </row>
    <row r="434" ht="30" customHeight="1">
      <c r="G434" s="33" t="inlineStr">
        <is>
          <t>( x )</t>
        </is>
      </c>
      <c r="H434" s="34" t="inlineStr">
        <is>
          <t>L5 · Estimada por los Developers — Cumple</t>
        </is>
      </c>
      <c r="I434" s="8" t="n"/>
      <c r="J434" s="23" t="n"/>
    </row>
    <row r="435" ht="30" customHeight="1">
      <c r="G435" s="33" t="inlineStr">
        <is>
          <t>( x )</t>
        </is>
      </c>
      <c r="H435" s="34" t="inlineStr">
        <is>
          <t>L6 · Cabe en un sprint (8 puntos o menos) — Cumple</t>
        </is>
      </c>
      <c r="I435" s="8" t="n"/>
      <c r="J435" s="23" t="n"/>
    </row>
    <row r="436" ht="30" customHeight="1">
      <c r="G436" s="33" t="inlineStr">
        <is>
          <t>( x )</t>
        </is>
      </c>
      <c r="H436" s="34" t="inlineStr">
        <is>
          <t>L7 · Reglas de dominio identificadas — Cumple</t>
        </is>
      </c>
      <c r="I436" s="8" t="n"/>
      <c r="J436" s="23" t="n"/>
    </row>
    <row r="437" ht="30" customHeight="1">
      <c r="G437" s="33" t="inlineStr">
        <is>
          <t>( x )</t>
        </is>
      </c>
      <c r="H437" s="34" t="inlineStr">
        <is>
          <t>L8 · Datos de prueba disponibles — Cumple: el cliente entregó los reportes del S10 el 21/10/2026</t>
        </is>
      </c>
      <c r="I437" s="8" t="n"/>
      <c r="J437" s="23" t="n"/>
    </row>
    <row r="438" ht="30" customHeight="1">
      <c r="G438" s="33" t="inlineStr">
        <is>
          <t>( x )</t>
        </is>
      </c>
      <c r="H438" s="34" t="inlineStr">
        <is>
          <t>L9 · Responsable técnico asignado — Cumple</t>
        </is>
      </c>
      <c r="I438" s="8" t="n"/>
      <c r="J438" s="23" t="n"/>
    </row>
    <row r="439" ht="30" customHeight="1">
      <c r="G439" s="33" t="inlineStr">
        <is>
          <t>( x )</t>
        </is>
      </c>
      <c r="H439" s="34" t="inlineStr">
        <is>
          <t>L10 · Recursos identificados — Cumple: Henry Ticona + equipo de desarrollo y datos de prueba</t>
        </is>
      </c>
      <c r="I439" s="8" t="n"/>
      <c r="J439" s="23" t="n"/>
    </row>
    <row r="440" ht="30" customHeight="1">
      <c r="G440" s="33" t="inlineStr">
        <is>
          <t>( x )</t>
        </is>
      </c>
      <c r="H440" s="34" t="inlineStr">
        <is>
          <t>L11 · Requisitos técnicos de programación definidos — Cumple: FastAPI, SQLAlchemy 2, Alembic y PostgreSQL 16</t>
        </is>
      </c>
      <c r="I440" s="8" t="n"/>
      <c r="J440" s="23" t="n"/>
    </row>
    <row r="441" ht="30" customHeight="1">
      <c r="G441" s="33" t="inlineStr">
        <is>
          <t>( x )</t>
        </is>
      </c>
      <c r="H441" s="34" t="inlineStr">
        <is>
          <t>L12 · Accesos de red disponibles — Cumple: GitHub (repositorio privado), API y PostgreSQL en docker compose</t>
        </is>
      </c>
      <c r="I441" s="8" t="n"/>
      <c r="J441" s="23" t="n"/>
    </row>
    <row r="442" ht="36" customHeight="1">
      <c r="G442" s="39" t="inlineStr">
        <is>
          <t>Riesgos: Factor mal declarado distorsiona el saldo de acero · se registra una vez y nunca se convierte a mano</t>
        </is>
      </c>
      <c r="H442" s="8" t="n"/>
      <c r="I442" s="8" t="n"/>
      <c r="J442" s="23" t="n"/>
    </row>
    <row r="443" ht="36" customHeight="1">
      <c r="G443" s="32" t="inlineStr">
        <is>
          <t>Proveedores de servicio: Cliente SEVENS: reportes exportados del S10 Presupuestos</t>
        </is>
      </c>
      <c r="H443" s="8" t="n"/>
      <c r="I443" s="8" t="n"/>
      <c r="J443" s="23" t="n"/>
    </row>
    <row r="444" ht="36" customHeight="1">
      <c r="G444" s="36" t="inlineStr">
        <is>
          <t>Costos: 3 pts ≈ 6 horas-persona (1 punto ≈ 2 h) · servicios externos: S/ 0 (planes gratuitos)</t>
        </is>
      </c>
      <c r="H444" s="37" t="n"/>
      <c r="I444" s="37" t="n"/>
      <c r="J444" s="38" t="n"/>
    </row>
    <row r="447">
      <c r="B447" s="18" t="inlineStr">
        <is>
          <t>HU-18 · Repartir acero por diámetro</t>
        </is>
      </c>
    </row>
    <row r="448" ht="18" customHeight="1">
      <c r="B448" s="19" t="inlineStr">
        <is>
          <t>TARJETA 1 · Historia de usuario</t>
        </is>
      </c>
      <c r="C448" s="20" t="n"/>
      <c r="D448" s="20" t="n"/>
      <c r="E448" s="21" t="n"/>
      <c r="G448" s="19" t="inlineStr">
        <is>
          <t>TARJETA 2 · Definición de Listo</t>
        </is>
      </c>
      <c r="H448" s="20" t="n"/>
      <c r="I448" s="20" t="n"/>
      <c r="J448" s="21" t="n"/>
      <c r="L448" s="19" t="inlineStr">
        <is>
          <t>TARJETA 3 · Definición de Terminado</t>
        </is>
      </c>
      <c r="M448" s="20" t="n"/>
      <c r="N448" s="20" t="n"/>
      <c r="O448" s="21" t="n"/>
    </row>
    <row r="449" ht="28" customHeight="1">
      <c r="B449" s="22" t="inlineStr">
        <is>
          <t>La unidad con la que se planifica, se estima y se acepta el trabajo</t>
        </is>
      </c>
      <c r="C449" s="8" t="n"/>
      <c r="D449" s="8" t="n"/>
      <c r="E449" s="23" t="n"/>
      <c r="G449" s="22" t="inlineStr">
        <is>
          <t>El enfoque está en la consideración del equipo de desarrollo sobre si la historia está lista para un Sprint</t>
        </is>
      </c>
      <c r="H449" s="8" t="n"/>
      <c r="I449" s="8" t="n"/>
      <c r="J449" s="23" t="n"/>
      <c r="L449" s="22" t="inlineStr">
        <is>
          <t>El enfoque está en la aceptación del cliente cuando se le entregue el producto</t>
        </is>
      </c>
      <c r="M449" s="8" t="n"/>
      <c r="N449" s="8" t="n"/>
      <c r="O449" s="23" t="n"/>
    </row>
    <row r="450">
      <c r="B450" s="24" t="inlineStr">
        <is>
          <t>Historia de usuario</t>
        </is>
      </c>
      <c r="C450" s="8" t="n"/>
      <c r="D450" s="25" t="inlineStr">
        <is>
          <t>Prioridad</t>
        </is>
      </c>
      <c r="E450" s="26" t="inlineStr">
        <is>
          <t>Estimación</t>
        </is>
      </c>
      <c r="G450" s="24" t="inlineStr">
        <is>
          <t>Historia de usuario</t>
        </is>
      </c>
      <c r="H450" s="8" t="n"/>
      <c r="I450" s="25" t="inlineStr">
        <is>
          <t>Prioridad</t>
        </is>
      </c>
      <c r="J450" s="26" t="inlineStr">
        <is>
          <t>Estimación</t>
        </is>
      </c>
      <c r="L450" s="24" t="inlineStr">
        <is>
          <t>Historia de usuario</t>
        </is>
      </c>
      <c r="M450" s="8" t="n"/>
      <c r="N450" s="25" t="inlineStr">
        <is>
          <t>Prioridad</t>
        </is>
      </c>
      <c r="O450" s="26" t="inlineStr">
        <is>
          <t>Estimación</t>
        </is>
      </c>
    </row>
    <row r="451" ht="30" customHeight="1">
      <c r="B451" s="27" t="inlineStr">
        <is>
          <t>HU-18 · Repartir acero por diámetro</t>
        </is>
      </c>
      <c r="C451" s="8" t="n"/>
      <c r="D451" s="9" t="inlineStr">
        <is>
          <t>Alta</t>
        </is>
      </c>
      <c r="E451" s="28" t="inlineStr">
        <is>
          <t>5 pts</t>
        </is>
      </c>
      <c r="G451" s="27" t="inlineStr">
        <is>
          <t>HU-18 · Repartir acero por diámetro</t>
        </is>
      </c>
      <c r="H451" s="8" t="n"/>
      <c r="I451" s="9" t="inlineStr">
        <is>
          <t>Alta</t>
        </is>
      </c>
      <c r="J451" s="28" t="inlineStr">
        <is>
          <t>5 pts</t>
        </is>
      </c>
      <c r="L451" s="27" t="inlineStr">
        <is>
          <t>HU-18 · Repartir acero por diámetro</t>
        </is>
      </c>
      <c r="M451" s="8" t="n"/>
      <c r="N451" s="9" t="inlineStr">
        <is>
          <t>Alta</t>
        </is>
      </c>
      <c r="O451" s="28" t="inlineStr">
        <is>
          <t>5 pts</t>
        </is>
      </c>
    </row>
    <row r="452">
      <c r="B452" s="29" t="inlineStr">
        <is>
          <t>Descripción:</t>
        </is>
      </c>
      <c r="C452" s="8" t="n"/>
      <c r="D452" s="8" t="n"/>
      <c r="E452" s="23" t="n"/>
      <c r="G452" s="29" t="inlineStr">
        <is>
          <t>Descripción:</t>
        </is>
      </c>
      <c r="H452" s="8" t="n"/>
      <c r="I452" s="8" t="n"/>
      <c r="J452" s="23" t="n"/>
      <c r="L452" s="29" t="inlineStr">
        <is>
          <t>Descripción:</t>
        </is>
      </c>
      <c r="M452" s="8" t="n"/>
      <c r="N452" s="8" t="n"/>
      <c r="O452" s="23" t="n"/>
    </row>
    <row r="453" ht="28" customHeight="1">
      <c r="B453" s="30" t="inlineStr">
        <is>
          <t>Como residente de obra, quiero declarar cómo se reparte un recurso genérico del S10 entre los insumos con que se compra, para convertir a varillas por diámetro el acero que el presupuesto entrega como kilos totales.</t>
        </is>
      </c>
      <c r="C453" s="8" t="n"/>
      <c r="D453" s="8" t="n"/>
      <c r="E453" s="23" t="n"/>
      <c r="G453" s="30" t="inlineStr">
        <is>
          <t>Como residente de obra, quiero declarar cómo se reparte un recurso genérico del S10 entre los insumos con que se compra, para convertir a varillas por diámetro el acero que el presupuesto entrega como kilos totales.</t>
        </is>
      </c>
      <c r="H453" s="8" t="n"/>
      <c r="I453" s="8" t="n"/>
      <c r="J453" s="23" t="n"/>
      <c r="L453" s="30" t="inlineStr">
        <is>
          <t>Como residente de obra, quiero declarar cómo se reparte un recurso genérico del S10 entre los insumos con que se compra, para convertir a varillas por diámetro el acero que el presupuesto entrega como kilos totales.</t>
        </is>
      </c>
      <c r="M453" s="8" t="n"/>
      <c r="N453" s="8" t="n"/>
      <c r="O453" s="23" t="n"/>
    </row>
    <row r="454" ht="28" customHeight="1">
      <c r="B454" s="31" t="n"/>
      <c r="C454" s="8" t="n"/>
      <c r="D454" s="8" t="n"/>
      <c r="E454" s="23" t="n"/>
      <c r="G454" s="31" t="n"/>
      <c r="H454" s="8" t="n"/>
      <c r="I454" s="8" t="n"/>
      <c r="J454" s="23" t="n"/>
      <c r="L454" s="31" t="n"/>
      <c r="M454" s="8" t="n"/>
      <c r="N454" s="8" t="n"/>
      <c r="O454" s="23" t="n"/>
    </row>
    <row r="455">
      <c r="B455" s="29" t="inlineStr">
        <is>
          <t>Ficha de la historia</t>
        </is>
      </c>
      <c r="C455" s="8" t="n"/>
      <c r="D455" s="8" t="n"/>
      <c r="E455" s="23" t="n"/>
      <c r="G455" s="29" t="inlineStr">
        <is>
          <t>Criterios de listo:</t>
        </is>
      </c>
      <c r="H455" s="8" t="n"/>
      <c r="I455" s="8" t="n"/>
      <c r="J455" s="23" t="n"/>
      <c r="L455" s="29" t="inlineStr">
        <is>
          <t>Condiciones finales (se marcan cuando el PO acepta la HU en la Review):</t>
        </is>
      </c>
      <c r="M455" s="8" t="n"/>
      <c r="N455" s="8" t="n"/>
      <c r="O455" s="23" t="n"/>
    </row>
    <row r="456" ht="30" customHeight="1">
      <c r="B456" s="32" t="inlineStr">
        <is>
          <t>Épica: E2. Planificar el requerimiento y la reposición de recursos</t>
        </is>
      </c>
      <c r="C456" s="8" t="n"/>
      <c r="D456" s="8" t="n"/>
      <c r="E456" s="23" t="n"/>
      <c r="G456" s="33" t="inlineStr">
        <is>
          <t>( x )</t>
        </is>
      </c>
      <c r="H456" s="34" t="inlineStr">
        <is>
          <t>L1 · Redactada en el formato acordado — Cumple</t>
        </is>
      </c>
      <c r="I456" s="8" t="n"/>
      <c r="J456" s="23" t="n"/>
      <c r="L456" s="35" t="inlineStr">
        <is>
          <t>(    )</t>
        </is>
      </c>
      <c r="M456" s="34" t="inlineStr">
        <is>
          <t>El reparto del acero por diámetro se ha registrado una vez para la obra</t>
        </is>
      </c>
      <c r="N456" s="8" t="n"/>
      <c r="O456" s="23" t="n"/>
    </row>
    <row r="457" ht="30" customHeight="1">
      <c r="B457" s="32" t="inlineStr">
        <is>
          <t>Módulo: S10 / Requerimientos</t>
        </is>
      </c>
      <c r="C457" s="8" t="n"/>
      <c r="D457" s="8" t="n"/>
      <c r="E457" s="23" t="n"/>
      <c r="G457" s="33" t="inlineStr">
        <is>
          <t>( x )</t>
        </is>
      </c>
      <c r="H457" s="34" t="inlineStr">
        <is>
          <t>L2 · Nombre corto en forma de acción — Cumple</t>
        </is>
      </c>
      <c r="I457" s="8" t="n"/>
      <c r="J457" s="23" t="n"/>
      <c r="L457" s="35" t="inlineStr">
        <is>
          <t>(    )</t>
        </is>
      </c>
      <c r="M457" s="34" t="inlineStr">
        <is>
          <t>Se ha validado que la suma del reparto iguala el total del S10; si no, se ha rechazado</t>
        </is>
      </c>
      <c r="N457" s="8" t="n"/>
      <c r="O457" s="23" t="n"/>
    </row>
    <row r="458" ht="30" customHeight="1">
      <c r="B458" s="32" t="inlineStr">
        <is>
          <t>Responsable técnico: Backend · Henry Ticona</t>
        </is>
      </c>
      <c r="C458" s="8" t="n"/>
      <c r="D458" s="8" t="n"/>
      <c r="E458" s="23" t="n"/>
      <c r="G458" s="33" t="inlineStr">
        <is>
          <t>( x )</t>
        </is>
      </c>
      <c r="H458" s="34" t="inlineStr">
        <is>
          <t>L3 · Criterios de aceptación escritos — Cumple</t>
        </is>
      </c>
      <c r="I458" s="8" t="n"/>
      <c r="J458" s="23" t="n"/>
      <c r="L458" s="35" t="inlineStr">
        <is>
          <t>(    )</t>
        </is>
      </c>
      <c r="M458" s="34" t="inlineStr">
        <is>
          <t>Cada diámetro ha quedado con su propio factor de conversión</t>
        </is>
      </c>
      <c r="N458" s="8" t="n"/>
      <c r="O458" s="23" t="n"/>
    </row>
    <row r="459" ht="30" customHeight="1">
      <c r="B459" s="36" t="inlineStr">
        <is>
          <t>Depende de: HU-17</t>
        </is>
      </c>
      <c r="C459" s="37" t="n"/>
      <c r="D459" s="37" t="n"/>
      <c r="E459" s="38" t="n"/>
      <c r="G459" s="33" t="inlineStr">
        <is>
          <t>( x )</t>
        </is>
      </c>
      <c r="H459" s="34" t="inlineStr">
        <is>
          <t>L4 · Dependencias resueltas — Cumple</t>
        </is>
      </c>
      <c r="I459" s="8" t="n"/>
      <c r="J459" s="23" t="n"/>
      <c r="L459" s="35" t="inlineStr">
        <is>
          <t>(    )</t>
        </is>
      </c>
      <c r="M459" s="34" t="inlineStr">
        <is>
          <t>El reparto ha quedado registrado con su fecha y quién lo declaró</t>
        </is>
      </c>
      <c r="N459" s="8" t="n"/>
      <c r="O459" s="23" t="n"/>
    </row>
    <row r="460" ht="36" customHeight="1">
      <c r="G460" s="33" t="inlineStr">
        <is>
          <t>( x )</t>
        </is>
      </c>
      <c r="H460" s="34" t="inlineStr">
        <is>
          <t>L5 · Estimada por los Developers — Cumple</t>
        </is>
      </c>
      <c r="I460" s="8" t="n"/>
      <c r="J460" s="23" t="n"/>
      <c r="L460" s="36" t="inlineStr">
        <is>
          <t>Mitad técnica: Además, los diez criterios T1 a T10 de la hoja «3. Criterios DoR y DoD», sin excepción</t>
        </is>
      </c>
      <c r="M460" s="37" t="n"/>
      <c r="N460" s="37" t="n"/>
      <c r="O460" s="38" t="n"/>
    </row>
    <row r="461" ht="30" customHeight="1">
      <c r="G461" s="33" t="inlineStr">
        <is>
          <t>( x )</t>
        </is>
      </c>
      <c r="H461" s="34" t="inlineStr">
        <is>
          <t>L6 · Cabe en un sprint (8 puntos o menos) — Cumple</t>
        </is>
      </c>
      <c r="I461" s="8" t="n"/>
      <c r="J461" s="23" t="n"/>
    </row>
    <row r="462" ht="30" customHeight="1">
      <c r="G462" s="33" t="inlineStr">
        <is>
          <t>( x )</t>
        </is>
      </c>
      <c r="H462" s="34" t="inlineStr">
        <is>
          <t>L7 · Reglas de dominio identificadas — Cumple</t>
        </is>
      </c>
      <c r="I462" s="8" t="n"/>
      <c r="J462" s="23" t="n"/>
    </row>
    <row r="463" ht="30" customHeight="1">
      <c r="G463" s="33" t="inlineStr">
        <is>
          <t>( x )</t>
        </is>
      </c>
      <c r="H463" s="34" t="inlineStr">
        <is>
          <t>L8 · Datos de prueba disponibles — Cumple</t>
        </is>
      </c>
      <c r="I463" s="8" t="n"/>
      <c r="J463" s="23" t="n"/>
    </row>
    <row r="464" ht="30" customHeight="1">
      <c r="G464" s="33" t="inlineStr">
        <is>
          <t>( x )</t>
        </is>
      </c>
      <c r="H464" s="34" t="inlineStr">
        <is>
          <t>L9 · Responsable técnico asignado — Cumple</t>
        </is>
      </c>
      <c r="I464" s="8" t="n"/>
      <c r="J464" s="23" t="n"/>
    </row>
    <row r="465" ht="30" customHeight="1">
      <c r="G465" s="33" t="inlineStr">
        <is>
          <t>( x )</t>
        </is>
      </c>
      <c r="H465" s="34" t="inlineStr">
        <is>
          <t>L10 · Recursos identificados — Cumple: Henry Ticona + equipo de desarrollo y datos de prueba</t>
        </is>
      </c>
      <c r="I465" s="8" t="n"/>
      <c r="J465" s="23" t="n"/>
    </row>
    <row r="466" ht="30" customHeight="1">
      <c r="G466" s="33" t="inlineStr">
        <is>
          <t>( x )</t>
        </is>
      </c>
      <c r="H466" s="34" t="inlineStr">
        <is>
          <t>L11 · Requisitos técnicos de programación definidos — Cumple: FastAPI, SQLAlchemy 2, Alembic y PostgreSQL 16</t>
        </is>
      </c>
      <c r="I466" s="8" t="n"/>
      <c r="J466" s="23" t="n"/>
    </row>
    <row r="467" ht="30" customHeight="1">
      <c r="G467" s="33" t="inlineStr">
        <is>
          <t>( x )</t>
        </is>
      </c>
      <c r="H467" s="34" t="inlineStr">
        <is>
          <t>L12 · Accesos de red disponibles — Cumple: GitHub (repositorio privado), API y PostgreSQL en docker compose</t>
        </is>
      </c>
      <c r="I467" s="8" t="n"/>
      <c r="J467" s="23" t="n"/>
    </row>
    <row r="468" ht="36" customHeight="1">
      <c r="G468" s="39" t="inlineStr">
        <is>
          <t>Riesgos: Reparto que no suma el total del S10 · la suma debe igualar el recurso genérico</t>
        </is>
      </c>
      <c r="H468" s="8" t="n"/>
      <c r="I468" s="8" t="n"/>
      <c r="J468" s="23" t="n"/>
    </row>
    <row r="469" ht="36" customHeight="1">
      <c r="G469" s="32" t="inlineStr">
        <is>
          <t>Proveedores de servicio: PostgreSQL gestionado en la nube (capa gratuita) · GitHub</t>
        </is>
      </c>
      <c r="H469" s="8" t="n"/>
      <c r="I469" s="8" t="n"/>
      <c r="J469" s="23" t="n"/>
    </row>
    <row r="470" ht="36" customHeight="1">
      <c r="G470" s="36" t="inlineStr">
        <is>
          <t>Costos: 5 pts ≈ 10 horas-persona (1 punto ≈ 2 h) · servicios externos: S/ 0 (planes gratuitos)</t>
        </is>
      </c>
      <c r="H470" s="37" t="n"/>
      <c r="I470" s="37" t="n"/>
      <c r="J470" s="38" t="n"/>
    </row>
    <row r="473">
      <c r="B473" s="18" t="inlineStr">
        <is>
          <t>HU-19 · Importar requerimiento de la obra</t>
        </is>
      </c>
    </row>
    <row r="474" ht="18" customHeight="1">
      <c r="B474" s="19" t="inlineStr">
        <is>
          <t>TARJETA 1 · Historia de usuario</t>
        </is>
      </c>
      <c r="C474" s="20" t="n"/>
      <c r="D474" s="20" t="n"/>
      <c r="E474" s="21" t="n"/>
      <c r="G474" s="19" t="inlineStr">
        <is>
          <t>TARJETA 2 · Definición de Listo</t>
        </is>
      </c>
      <c r="H474" s="20" t="n"/>
      <c r="I474" s="20" t="n"/>
      <c r="J474" s="21" t="n"/>
      <c r="L474" s="19" t="inlineStr">
        <is>
          <t>TARJETA 3 · Definición de Terminado</t>
        </is>
      </c>
      <c r="M474" s="20" t="n"/>
      <c r="N474" s="20" t="n"/>
      <c r="O474" s="21" t="n"/>
    </row>
    <row r="475" ht="28" customHeight="1">
      <c r="B475" s="22" t="inlineStr">
        <is>
          <t>La unidad con la que se planifica, se estima y se acepta el trabajo</t>
        </is>
      </c>
      <c r="C475" s="8" t="n"/>
      <c r="D475" s="8" t="n"/>
      <c r="E475" s="23" t="n"/>
      <c r="G475" s="22" t="inlineStr">
        <is>
          <t>El enfoque está en la consideración del equipo de desarrollo sobre si la historia está lista para un Sprint</t>
        </is>
      </c>
      <c r="H475" s="8" t="n"/>
      <c r="I475" s="8" t="n"/>
      <c r="J475" s="23" t="n"/>
      <c r="L475" s="22" t="inlineStr">
        <is>
          <t>El enfoque está en la aceptación del cliente cuando se le entregue el producto</t>
        </is>
      </c>
      <c r="M475" s="8" t="n"/>
      <c r="N475" s="8" t="n"/>
      <c r="O475" s="23" t="n"/>
    </row>
    <row r="476">
      <c r="B476" s="24" t="inlineStr">
        <is>
          <t>Historia de usuario</t>
        </is>
      </c>
      <c r="C476" s="8" t="n"/>
      <c r="D476" s="25" t="inlineStr">
        <is>
          <t>Prioridad</t>
        </is>
      </c>
      <c r="E476" s="26" t="inlineStr">
        <is>
          <t>Estimación</t>
        </is>
      </c>
      <c r="G476" s="24" t="inlineStr">
        <is>
          <t>Historia de usuario</t>
        </is>
      </c>
      <c r="H476" s="8" t="n"/>
      <c r="I476" s="25" t="inlineStr">
        <is>
          <t>Prioridad</t>
        </is>
      </c>
      <c r="J476" s="26" t="inlineStr">
        <is>
          <t>Estimación</t>
        </is>
      </c>
      <c r="L476" s="24" t="inlineStr">
        <is>
          <t>Historia de usuario</t>
        </is>
      </c>
      <c r="M476" s="8" t="n"/>
      <c r="N476" s="25" t="inlineStr">
        <is>
          <t>Prioridad</t>
        </is>
      </c>
      <c r="O476" s="26" t="inlineStr">
        <is>
          <t>Estimación</t>
        </is>
      </c>
    </row>
    <row r="477" ht="30" customHeight="1">
      <c r="B477" s="27" t="inlineStr">
        <is>
          <t>HU-19 · Importar requerimiento de la obra</t>
        </is>
      </c>
      <c r="C477" s="8" t="n"/>
      <c r="D477" s="9" t="inlineStr">
        <is>
          <t>Crítica</t>
        </is>
      </c>
      <c r="E477" s="28" t="inlineStr">
        <is>
          <t>5 pts</t>
        </is>
      </c>
      <c r="G477" s="27" t="inlineStr">
        <is>
          <t>HU-19 · Importar requerimiento de la obra</t>
        </is>
      </c>
      <c r="H477" s="8" t="n"/>
      <c r="I477" s="9" t="inlineStr">
        <is>
          <t>Crítica</t>
        </is>
      </c>
      <c r="J477" s="28" t="inlineStr">
        <is>
          <t>5 pts</t>
        </is>
      </c>
      <c r="L477" s="27" t="inlineStr">
        <is>
          <t>HU-19 · Importar requerimiento de la obra</t>
        </is>
      </c>
      <c r="M477" s="8" t="n"/>
      <c r="N477" s="9" t="inlineStr">
        <is>
          <t>Crítica</t>
        </is>
      </c>
      <c r="O477" s="28" t="inlineStr">
        <is>
          <t>5 pts</t>
        </is>
      </c>
    </row>
    <row r="478">
      <c r="B478" s="29" t="inlineStr">
        <is>
          <t>Descripción:</t>
        </is>
      </c>
      <c r="C478" s="8" t="n"/>
      <c r="D478" s="8" t="n"/>
      <c r="E478" s="23" t="n"/>
      <c r="G478" s="29" t="inlineStr">
        <is>
          <t>Descripción:</t>
        </is>
      </c>
      <c r="H478" s="8" t="n"/>
      <c r="I478" s="8" t="n"/>
      <c r="J478" s="23" t="n"/>
      <c r="L478" s="29" t="inlineStr">
        <is>
          <t>Descripción:</t>
        </is>
      </c>
      <c r="M478" s="8" t="n"/>
      <c r="N478" s="8" t="n"/>
      <c r="O478" s="23" t="n"/>
    </row>
    <row r="479" ht="28" customHeight="1">
      <c r="B479" s="30" t="inlineStr">
        <is>
          <t>Como residente de obra, quiero importar el requerimiento total de la obra desde el reporte de recursos del S10, para fijar el cien por ciento contra el que se controla todo.</t>
        </is>
      </c>
      <c r="C479" s="8" t="n"/>
      <c r="D479" s="8" t="n"/>
      <c r="E479" s="23" t="n"/>
      <c r="G479" s="30" t="inlineStr">
        <is>
          <t>Como residente de obra, quiero importar el requerimiento total de la obra desde el reporte de recursos del S10, para fijar el cien por ciento contra el que se controla todo.</t>
        </is>
      </c>
      <c r="H479" s="8" t="n"/>
      <c r="I479" s="8" t="n"/>
      <c r="J479" s="23" t="n"/>
      <c r="L479" s="30" t="inlineStr">
        <is>
          <t>Como residente de obra, quiero importar el requerimiento total de la obra desde el reporte de recursos del S10, para fijar el cien por ciento contra el que se controla todo.</t>
        </is>
      </c>
      <c r="M479" s="8" t="n"/>
      <c r="N479" s="8" t="n"/>
      <c r="O479" s="23" t="n"/>
    </row>
    <row r="480" ht="28" customHeight="1">
      <c r="B480" s="31" t="n"/>
      <c r="C480" s="8" t="n"/>
      <c r="D480" s="8" t="n"/>
      <c r="E480" s="23" t="n"/>
      <c r="G480" s="31" t="n"/>
      <c r="H480" s="8" t="n"/>
      <c r="I480" s="8" t="n"/>
      <c r="J480" s="23" t="n"/>
      <c r="L480" s="31" t="n"/>
      <c r="M480" s="8" t="n"/>
      <c r="N480" s="8" t="n"/>
      <c r="O480" s="23" t="n"/>
    </row>
    <row r="481">
      <c r="B481" s="29" t="inlineStr">
        <is>
          <t>Ficha de la historia</t>
        </is>
      </c>
      <c r="C481" s="8" t="n"/>
      <c r="D481" s="8" t="n"/>
      <c r="E481" s="23" t="n"/>
      <c r="G481" s="29" t="inlineStr">
        <is>
          <t>Criterios de listo:</t>
        </is>
      </c>
      <c r="H481" s="8" t="n"/>
      <c r="I481" s="8" t="n"/>
      <c r="J481" s="23" t="n"/>
      <c r="L481" s="29" t="inlineStr">
        <is>
          <t>Condiciones finales (se marcan cuando el PO acepta la HU en la Review):</t>
        </is>
      </c>
      <c r="M481" s="8" t="n"/>
      <c r="N481" s="8" t="n"/>
      <c r="O481" s="23" t="n"/>
    </row>
    <row r="482" ht="30" customHeight="1">
      <c r="B482" s="32" t="inlineStr">
        <is>
          <t>Épica: E2. Planificar el requerimiento y la reposición de recursos</t>
        </is>
      </c>
      <c r="C482" s="8" t="n"/>
      <c r="D482" s="8" t="n"/>
      <c r="E482" s="23" t="n"/>
      <c r="G482" s="33" t="inlineStr">
        <is>
          <t>( x )</t>
        </is>
      </c>
      <c r="H482" s="34" t="inlineStr">
        <is>
          <t>L1 · Redactada en el formato acordado — Cumple</t>
        </is>
      </c>
      <c r="I482" s="8" t="n"/>
      <c r="J482" s="23" t="n"/>
      <c r="L482" s="35" t="inlineStr">
        <is>
          <t>(    )</t>
        </is>
      </c>
      <c r="M482" s="34" t="inlineStr">
        <is>
          <t>El requerimiento total se ha importado del reporte de recursos del S10, sin recalcularlo</t>
        </is>
      </c>
      <c r="N482" s="8" t="n"/>
      <c r="O482" s="23" t="n"/>
    </row>
    <row r="483" ht="30" customHeight="1">
      <c r="B483" s="32" t="inlineStr">
        <is>
          <t>Módulo: S10 / Requerimientos</t>
        </is>
      </c>
      <c r="C483" s="8" t="n"/>
      <c r="D483" s="8" t="n"/>
      <c r="E483" s="23" t="n"/>
      <c r="G483" s="33" t="inlineStr">
        <is>
          <t>( x )</t>
        </is>
      </c>
      <c r="H483" s="34" t="inlineStr">
        <is>
          <t>L2 · Nombre corto en forma de acción — Cumple</t>
        </is>
      </c>
      <c r="I483" s="8" t="n"/>
      <c r="J483" s="23" t="n"/>
      <c r="L483" s="35" t="inlineStr">
        <is>
          <t>(    )</t>
        </is>
      </c>
      <c r="M483" s="34" t="inlineStr">
        <is>
          <t>Las cantidades se han convertido a la unidad de compra</t>
        </is>
      </c>
      <c r="N483" s="8" t="n"/>
      <c r="O483" s="23" t="n"/>
    </row>
    <row r="484" ht="30" customHeight="1">
      <c r="B484" s="32" t="inlineStr">
        <is>
          <t>Responsable técnico: Integraciones · Fernando Istaña</t>
        </is>
      </c>
      <c r="C484" s="8" t="n"/>
      <c r="D484" s="8" t="n"/>
      <c r="E484" s="23" t="n"/>
      <c r="G484" s="33" t="inlineStr">
        <is>
          <t>( x )</t>
        </is>
      </c>
      <c r="H484" s="34" t="inlineStr">
        <is>
          <t>L3 · Criterios de aceptación escritos — Cumple</t>
        </is>
      </c>
      <c r="I484" s="8" t="n"/>
      <c r="J484" s="23" t="n"/>
      <c r="L484" s="35" t="inlineStr">
        <is>
          <t>(    )</t>
        </is>
      </c>
      <c r="M484" s="34" t="inlineStr">
        <is>
          <t>Un ajuste del residente ha quedado registrado con su motivo</t>
        </is>
      </c>
      <c r="N484" s="8" t="n"/>
      <c r="O484" s="23" t="n"/>
    </row>
    <row r="485" ht="30" customHeight="1">
      <c r="B485" s="36" t="inlineStr">
        <is>
          <t>Depende de: HU-07, HU-17</t>
        </is>
      </c>
      <c r="C485" s="37" t="n"/>
      <c r="D485" s="37" t="n"/>
      <c r="E485" s="38" t="n"/>
      <c r="G485" s="33" t="inlineStr">
        <is>
          <t>( x )</t>
        </is>
      </c>
      <c r="H485" s="34" t="inlineStr">
        <is>
          <t>L4 · Dependencias resueltas — Cumple</t>
        </is>
      </c>
      <c r="I485" s="8" t="n"/>
      <c r="J485" s="23" t="n"/>
      <c r="L485" s="35" t="inlineStr">
        <is>
          <t>(    )</t>
        </is>
      </c>
      <c r="M485" s="34" t="inlineStr">
        <is>
          <t>Un insumo agregado a mano ha quedado marcado como tal</t>
        </is>
      </c>
      <c r="N485" s="8" t="n"/>
      <c r="O485" s="23" t="n"/>
    </row>
    <row r="486" ht="36" customHeight="1">
      <c r="G486" s="33" t="inlineStr">
        <is>
          <t>( x )</t>
        </is>
      </c>
      <c r="H486" s="34" t="inlineStr">
        <is>
          <t>L5 · Estimada por los Developers — Cumple</t>
        </is>
      </c>
      <c r="I486" s="8" t="n"/>
      <c r="J486" s="23" t="n"/>
      <c r="L486" s="36" t="inlineStr">
        <is>
          <t>Mitad técnica: Además, los diez criterios T1 a T10 de la hoja «3. Criterios DoR y DoD», sin excepción</t>
        </is>
      </c>
      <c r="M486" s="37" t="n"/>
      <c r="N486" s="37" t="n"/>
      <c r="O486" s="38" t="n"/>
    </row>
    <row r="487" ht="30" customHeight="1">
      <c r="G487" s="33" t="inlineStr">
        <is>
          <t>( x )</t>
        </is>
      </c>
      <c r="H487" s="34" t="inlineStr">
        <is>
          <t>L6 · Cabe en un sprint (8 puntos o menos) — Cumple</t>
        </is>
      </c>
      <c r="I487" s="8" t="n"/>
      <c r="J487" s="23" t="n"/>
    </row>
    <row r="488" ht="30" customHeight="1">
      <c r="G488" s="33" t="inlineStr">
        <is>
          <t>( x )</t>
        </is>
      </c>
      <c r="H488" s="34" t="inlineStr">
        <is>
          <t>L7 · Reglas de dominio identificadas — Cumple</t>
        </is>
      </c>
      <c r="I488" s="8" t="n"/>
      <c r="J488" s="23" t="n"/>
    </row>
    <row r="489" ht="30" customHeight="1">
      <c r="G489" s="33" t="inlineStr">
        <is>
          <t>( x )</t>
        </is>
      </c>
      <c r="H489" s="34" t="inlineStr">
        <is>
          <t>L8 · Datos de prueba disponibles — Cumple: el cliente entregó los reportes del S10 el 21/10/2026</t>
        </is>
      </c>
      <c r="I489" s="8" t="n"/>
      <c r="J489" s="23" t="n"/>
    </row>
    <row r="490" ht="30" customHeight="1">
      <c r="G490" s="33" t="inlineStr">
        <is>
          <t>( x )</t>
        </is>
      </c>
      <c r="H490" s="34" t="inlineStr">
        <is>
          <t>L9 · Responsable técnico asignado — Cumple</t>
        </is>
      </c>
      <c r="I490" s="8" t="n"/>
      <c r="J490" s="23" t="n"/>
    </row>
    <row r="491" ht="30" customHeight="1">
      <c r="G491" s="33" t="inlineStr">
        <is>
          <t>( x )</t>
        </is>
      </c>
      <c r="H491" s="34" t="inlineStr">
        <is>
          <t>L10 · Recursos identificados — Cumple: Fernando Istaña + equipo de desarrollo y datos de prueba</t>
        </is>
      </c>
      <c r="I491" s="8" t="n"/>
      <c r="J491" s="23" t="n"/>
    </row>
    <row r="492" ht="30" customHeight="1">
      <c r="G492" s="33" t="inlineStr">
        <is>
          <t>( x )</t>
        </is>
      </c>
      <c r="H492" s="34" t="inlineStr">
        <is>
          <t>L11 · Requisitos técnicos de programación definidos — Cumple: FastAPI y httpx + pdfplumber (PDF del S10)</t>
        </is>
      </c>
      <c r="I492" s="8" t="n"/>
      <c r="J492" s="23" t="n"/>
    </row>
    <row r="493" ht="30" customHeight="1">
      <c r="G493" s="33" t="inlineStr">
        <is>
          <t>( x )</t>
        </is>
      </c>
      <c r="H493" s="34" t="inlineStr">
        <is>
          <t>L12 · Accesos de red disponibles — Cumple: GitHub (repositorio privado), API y PostgreSQL en docker compose</t>
        </is>
      </c>
      <c r="I493" s="8" t="n"/>
      <c r="J493" s="23" t="n"/>
    </row>
    <row r="494" ht="36" customHeight="1">
      <c r="G494" s="39" t="inlineStr">
        <is>
          <t>Riesgos: Requerimiento sin factor de conversión · depende de HU-17 en el mismo sprint</t>
        </is>
      </c>
      <c r="H494" s="8" t="n"/>
      <c r="I494" s="8" t="n"/>
      <c r="J494" s="23" t="n"/>
    </row>
    <row r="495" ht="36" customHeight="1">
      <c r="G495" s="32" t="inlineStr">
        <is>
          <t>Proveedores de servicio: Cliente SEVENS: reportes exportados del S10 Presupuestos</t>
        </is>
      </c>
      <c r="H495" s="8" t="n"/>
      <c r="I495" s="8" t="n"/>
      <c r="J495" s="23" t="n"/>
    </row>
    <row r="496" ht="36" customHeight="1">
      <c r="G496" s="36" t="inlineStr">
        <is>
          <t>Costos: 5 pts ≈ 10 horas-persona (1 punto ≈ 2 h) · servicios externos: S/ 0 (planes gratuitos)</t>
        </is>
      </c>
      <c r="H496" s="37" t="n"/>
      <c r="I496" s="37" t="n"/>
      <c r="J496" s="38" t="n"/>
    </row>
    <row r="499">
      <c r="B499" s="18" t="inlineStr">
        <is>
          <t>HU-20 · Registrar requerimiento por fase</t>
        </is>
      </c>
    </row>
    <row r="500" ht="18" customHeight="1">
      <c r="B500" s="19" t="inlineStr">
        <is>
          <t>TARJETA 1 · Historia de usuario</t>
        </is>
      </c>
      <c r="C500" s="20" t="n"/>
      <c r="D500" s="20" t="n"/>
      <c r="E500" s="21" t="n"/>
      <c r="G500" s="19" t="inlineStr">
        <is>
          <t>TARJETA 2 · Definición de Listo</t>
        </is>
      </c>
      <c r="H500" s="20" t="n"/>
      <c r="I500" s="20" t="n"/>
      <c r="J500" s="21" t="n"/>
      <c r="L500" s="19" t="inlineStr">
        <is>
          <t>TARJETA 3 · Definición de Terminado</t>
        </is>
      </c>
      <c r="M500" s="20" t="n"/>
      <c r="N500" s="20" t="n"/>
      <c r="O500" s="21" t="n"/>
    </row>
    <row r="501" ht="28" customHeight="1">
      <c r="B501" s="22" t="inlineStr">
        <is>
          <t>La unidad con la que se planifica, se estima y se acepta el trabajo</t>
        </is>
      </c>
      <c r="C501" s="8" t="n"/>
      <c r="D501" s="8" t="n"/>
      <c r="E501" s="23" t="n"/>
      <c r="G501" s="22" t="inlineStr">
        <is>
          <t>El enfoque está en la consideración del equipo de desarrollo sobre si la historia está lista para un Sprint</t>
        </is>
      </c>
      <c r="H501" s="8" t="n"/>
      <c r="I501" s="8" t="n"/>
      <c r="J501" s="23" t="n"/>
      <c r="L501" s="22" t="inlineStr">
        <is>
          <t>El enfoque está en la aceptación del cliente cuando se le entregue el producto</t>
        </is>
      </c>
      <c r="M501" s="8" t="n"/>
      <c r="N501" s="8" t="n"/>
      <c r="O501" s="23" t="n"/>
    </row>
    <row r="502">
      <c r="B502" s="24" t="inlineStr">
        <is>
          <t>Historia de usuario</t>
        </is>
      </c>
      <c r="C502" s="8" t="n"/>
      <c r="D502" s="25" t="inlineStr">
        <is>
          <t>Prioridad</t>
        </is>
      </c>
      <c r="E502" s="26" t="inlineStr">
        <is>
          <t>Estimación</t>
        </is>
      </c>
      <c r="G502" s="24" t="inlineStr">
        <is>
          <t>Historia de usuario</t>
        </is>
      </c>
      <c r="H502" s="8" t="n"/>
      <c r="I502" s="25" t="inlineStr">
        <is>
          <t>Prioridad</t>
        </is>
      </c>
      <c r="J502" s="26" t="inlineStr">
        <is>
          <t>Estimación</t>
        </is>
      </c>
      <c r="L502" s="24" t="inlineStr">
        <is>
          <t>Historia de usuario</t>
        </is>
      </c>
      <c r="M502" s="8" t="n"/>
      <c r="N502" s="25" t="inlineStr">
        <is>
          <t>Prioridad</t>
        </is>
      </c>
      <c r="O502" s="26" t="inlineStr">
        <is>
          <t>Estimación</t>
        </is>
      </c>
    </row>
    <row r="503" ht="30" customHeight="1">
      <c r="B503" s="27" t="inlineStr">
        <is>
          <t>HU-20 · Registrar requerimiento por fase</t>
        </is>
      </c>
      <c r="C503" s="8" t="n"/>
      <c r="D503" s="9" t="inlineStr">
        <is>
          <t>Alta</t>
        </is>
      </c>
      <c r="E503" s="28" t="inlineStr">
        <is>
          <t>3 pts</t>
        </is>
      </c>
      <c r="G503" s="27" t="inlineStr">
        <is>
          <t>HU-20 · Registrar requerimiento por fase</t>
        </is>
      </c>
      <c r="H503" s="8" t="n"/>
      <c r="I503" s="9" t="inlineStr">
        <is>
          <t>Alta</t>
        </is>
      </c>
      <c r="J503" s="28" t="inlineStr">
        <is>
          <t>3 pts</t>
        </is>
      </c>
      <c r="L503" s="27" t="inlineStr">
        <is>
          <t>HU-20 · Registrar requerimiento por fase</t>
        </is>
      </c>
      <c r="M503" s="8" t="n"/>
      <c r="N503" s="9" t="inlineStr">
        <is>
          <t>Alta</t>
        </is>
      </c>
      <c r="O503" s="28" t="inlineStr">
        <is>
          <t>3 pts</t>
        </is>
      </c>
    </row>
    <row r="504">
      <c r="B504" s="29" t="inlineStr">
        <is>
          <t>Descripción:</t>
        </is>
      </c>
      <c r="C504" s="8" t="n"/>
      <c r="D504" s="8" t="n"/>
      <c r="E504" s="23" t="n"/>
      <c r="G504" s="29" t="inlineStr">
        <is>
          <t>Descripción:</t>
        </is>
      </c>
      <c r="H504" s="8" t="n"/>
      <c r="I504" s="8" t="n"/>
      <c r="J504" s="23" t="n"/>
      <c r="L504" s="29" t="inlineStr">
        <is>
          <t>Descripción:</t>
        </is>
      </c>
      <c r="M504" s="8" t="n"/>
      <c r="N504" s="8" t="n"/>
      <c r="O504" s="23" t="n"/>
    </row>
    <row r="505" ht="28" customHeight="1">
      <c r="B505" s="30" t="inlineStr">
        <is>
          <t>Como residente de obra, quiero registrar requerimientos parciales por fase, para pedir el material por etapas.</t>
        </is>
      </c>
      <c r="C505" s="8" t="n"/>
      <c r="D505" s="8" t="n"/>
      <c r="E505" s="23" t="n"/>
      <c r="G505" s="30" t="inlineStr">
        <is>
          <t>Como residente de obra, quiero registrar requerimientos parciales por fase, para pedir el material por etapas.</t>
        </is>
      </c>
      <c r="H505" s="8" t="n"/>
      <c r="I505" s="8" t="n"/>
      <c r="J505" s="23" t="n"/>
      <c r="L505" s="30" t="inlineStr">
        <is>
          <t>Como residente de obra, quiero registrar requerimientos parciales por fase, para pedir el material por etapas.</t>
        </is>
      </c>
      <c r="M505" s="8" t="n"/>
      <c r="N505" s="8" t="n"/>
      <c r="O505" s="23" t="n"/>
    </row>
    <row r="506" ht="28" customHeight="1">
      <c r="B506" s="31" t="n"/>
      <c r="C506" s="8" t="n"/>
      <c r="D506" s="8" t="n"/>
      <c r="E506" s="23" t="n"/>
      <c r="G506" s="31" t="n"/>
      <c r="H506" s="8" t="n"/>
      <c r="I506" s="8" t="n"/>
      <c r="J506" s="23" t="n"/>
      <c r="L506" s="31" t="n"/>
      <c r="M506" s="8" t="n"/>
      <c r="N506" s="8" t="n"/>
      <c r="O506" s="23" t="n"/>
    </row>
    <row r="507">
      <c r="B507" s="29" t="inlineStr">
        <is>
          <t>Ficha de la historia</t>
        </is>
      </c>
      <c r="C507" s="8" t="n"/>
      <c r="D507" s="8" t="n"/>
      <c r="E507" s="23" t="n"/>
      <c r="G507" s="29" t="inlineStr">
        <is>
          <t>Criterios de listo:</t>
        </is>
      </c>
      <c r="H507" s="8" t="n"/>
      <c r="I507" s="8" t="n"/>
      <c r="J507" s="23" t="n"/>
      <c r="L507" s="29" t="inlineStr">
        <is>
          <t>Condiciones finales (se marcan cuando el PO acepta la HU en la Review):</t>
        </is>
      </c>
      <c r="M507" s="8" t="n"/>
      <c r="N507" s="8" t="n"/>
      <c r="O507" s="23" t="n"/>
    </row>
    <row r="508" ht="30" customHeight="1">
      <c r="B508" s="32" t="inlineStr">
        <is>
          <t>Épica: E2. Planificar el requerimiento y la reposición de recursos</t>
        </is>
      </c>
      <c r="C508" s="8" t="n"/>
      <c r="D508" s="8" t="n"/>
      <c r="E508" s="23" t="n"/>
      <c r="G508" s="33" t="inlineStr">
        <is>
          <t>( x )</t>
        </is>
      </c>
      <c r="H508" s="34" t="inlineStr">
        <is>
          <t>L1 · Redactada en el formato acordado — Cumple</t>
        </is>
      </c>
      <c r="I508" s="8" t="n"/>
      <c r="J508" s="23" t="n"/>
      <c r="L508" s="35" t="inlineStr">
        <is>
          <t>(    )</t>
        </is>
      </c>
      <c r="M508" s="34" t="inlineStr">
        <is>
          <t>El requerimiento por fase se ha registrado con fase, insumo y cantidad</t>
        </is>
      </c>
      <c r="N508" s="8" t="n"/>
      <c r="O508" s="23" t="n"/>
    </row>
    <row r="509" ht="30" customHeight="1">
      <c r="B509" s="32" t="inlineStr">
        <is>
          <t>Módulo: Reposición / Planificación</t>
        </is>
      </c>
      <c r="C509" s="8" t="n"/>
      <c r="D509" s="8" t="n"/>
      <c r="E509" s="23" t="n"/>
      <c r="G509" s="33" t="inlineStr">
        <is>
          <t>( x )</t>
        </is>
      </c>
      <c r="H509" s="34" t="inlineStr">
        <is>
          <t>L2 · Nombre corto en forma de acción — Cumple</t>
        </is>
      </c>
      <c r="I509" s="8" t="n"/>
      <c r="J509" s="23" t="n"/>
      <c r="L509" s="35" t="inlineStr">
        <is>
          <t>(    )</t>
        </is>
      </c>
      <c r="M509" s="34" t="inlineStr">
        <is>
          <t>Se ha mostrado la suma de los parciales contra el total de la obra</t>
        </is>
      </c>
      <c r="N509" s="8" t="n"/>
      <c r="O509" s="23" t="n"/>
    </row>
    <row r="510" ht="30" customHeight="1">
      <c r="B510" s="32" t="inlineStr">
        <is>
          <t>Responsable técnico: Backend · Henry Ticona</t>
        </is>
      </c>
      <c r="C510" s="8" t="n"/>
      <c r="D510" s="8" t="n"/>
      <c r="E510" s="23" t="n"/>
      <c r="G510" s="33" t="inlineStr">
        <is>
          <t>( x )</t>
        </is>
      </c>
      <c r="H510" s="34" t="inlineStr">
        <is>
          <t>L3 · Criterios de aceptación escritos — Cumple</t>
        </is>
      </c>
      <c r="I510" s="8" t="n"/>
      <c r="J510" s="23" t="n"/>
      <c r="L510" s="35" t="inlineStr">
        <is>
          <t>(    )</t>
        </is>
      </c>
      <c r="M510" s="34" t="inlineStr">
        <is>
          <t>Un parcial sin compras se ha corregido; uno con compras no ha podido corregirse</t>
        </is>
      </c>
      <c r="N510" s="8" t="n"/>
      <c r="O510" s="23" t="n"/>
    </row>
    <row r="511" ht="36" customHeight="1">
      <c r="B511" s="36" t="inlineStr">
        <is>
          <t>Depende de: HU-19</t>
        </is>
      </c>
      <c r="C511" s="37" t="n"/>
      <c r="D511" s="37" t="n"/>
      <c r="E511" s="38" t="n"/>
      <c r="G511" s="33" t="inlineStr">
        <is>
          <t>( x )</t>
        </is>
      </c>
      <c r="H511" s="34" t="inlineStr">
        <is>
          <t>L4 · Dependencias resueltas — Cumple</t>
        </is>
      </c>
      <c r="I511" s="8" t="n"/>
      <c r="J511" s="23" t="n"/>
      <c r="L511" s="36" t="inlineStr">
        <is>
          <t>Mitad técnica: Además, los diez criterios T1 a T10 de la hoja «3. Criterios DoR y DoD», sin excepción</t>
        </is>
      </c>
      <c r="M511" s="37" t="n"/>
      <c r="N511" s="37" t="n"/>
      <c r="O511" s="38" t="n"/>
    </row>
    <row r="512" ht="30" customHeight="1">
      <c r="G512" s="33" t="inlineStr">
        <is>
          <t>( x )</t>
        </is>
      </c>
      <c r="H512" s="34" t="inlineStr">
        <is>
          <t>L5 · Estimada por los Developers — Cumple</t>
        </is>
      </c>
      <c r="I512" s="8" t="n"/>
      <c r="J512" s="23" t="n"/>
    </row>
    <row r="513" ht="30" customHeight="1">
      <c r="G513" s="33" t="inlineStr">
        <is>
          <t>( x )</t>
        </is>
      </c>
      <c r="H513" s="34" t="inlineStr">
        <is>
          <t>L6 · Cabe en un sprint (8 puntos o menos) — Cumple</t>
        </is>
      </c>
      <c r="I513" s="8" t="n"/>
      <c r="J513" s="23" t="n"/>
    </row>
    <row r="514" ht="30" customHeight="1">
      <c r="G514" s="33" t="inlineStr">
        <is>
          <t>( x )</t>
        </is>
      </c>
      <c r="H514" s="34" t="inlineStr">
        <is>
          <t>L7 · Reglas de dominio identificadas — Cumple</t>
        </is>
      </c>
      <c r="I514" s="8" t="n"/>
      <c r="J514" s="23" t="n"/>
    </row>
    <row r="515" ht="30" customHeight="1">
      <c r="G515" s="33" t="inlineStr">
        <is>
          <t>( x )</t>
        </is>
      </c>
      <c r="H515" s="34" t="inlineStr">
        <is>
          <t>L8 · Datos de prueba disponibles — Cumple</t>
        </is>
      </c>
      <c r="I515" s="8" t="n"/>
      <c r="J515" s="23" t="n"/>
    </row>
    <row r="516" ht="30" customHeight="1">
      <c r="G516" s="33" t="inlineStr">
        <is>
          <t>( x )</t>
        </is>
      </c>
      <c r="H516" s="34" t="inlineStr">
        <is>
          <t>L9 · Responsable técnico asignado — Cumple</t>
        </is>
      </c>
      <c r="I516" s="8" t="n"/>
      <c r="J516" s="23" t="n"/>
    </row>
    <row r="517" ht="30" customHeight="1">
      <c r="G517" s="33" t="inlineStr">
        <is>
          <t>( x )</t>
        </is>
      </c>
      <c r="H517" s="34" t="inlineStr">
        <is>
          <t>L10 · Recursos identificados — Cumple: Henry Ticona + equipo de desarrollo y datos de prueba</t>
        </is>
      </c>
      <c r="I517" s="8" t="n"/>
      <c r="J517" s="23" t="n"/>
    </row>
    <row r="518" ht="30" customHeight="1">
      <c r="G518" s="33" t="inlineStr">
        <is>
          <t>( x )</t>
        </is>
      </c>
      <c r="H518" s="34" t="inlineStr">
        <is>
          <t>L11 · Requisitos técnicos de programación definidos — Cumple: FastAPI, SQLAlchemy 2, Alembic y PostgreSQL 16</t>
        </is>
      </c>
      <c r="I518" s="8" t="n"/>
      <c r="J518" s="23" t="n"/>
    </row>
    <row r="519" ht="30" customHeight="1">
      <c r="G519" s="33" t="inlineStr">
        <is>
          <t>( x )</t>
        </is>
      </c>
      <c r="H519" s="34" t="inlineStr">
        <is>
          <t>L12 · Accesos de red disponibles — Cumple: GitHub (repositorio privado), API y PostgreSQL en docker compose</t>
        </is>
      </c>
      <c r="I519" s="8" t="n"/>
      <c r="J519" s="23" t="n"/>
    </row>
    <row r="520" ht="36" customHeight="1">
      <c r="G520" s="39" t="inlineStr">
        <is>
          <t>Riesgos: Corregir un parcial que ya tiene compras · solo editable mientras no tenga compras</t>
        </is>
      </c>
      <c r="H520" s="8" t="n"/>
      <c r="I520" s="8" t="n"/>
      <c r="J520" s="23" t="n"/>
    </row>
    <row r="521" ht="36" customHeight="1">
      <c r="G521" s="32" t="inlineStr">
        <is>
          <t>Proveedores de servicio: PostgreSQL gestionado en la nube (capa gratuita) · GitHub</t>
        </is>
      </c>
      <c r="H521" s="8" t="n"/>
      <c r="I521" s="8" t="n"/>
      <c r="J521" s="23" t="n"/>
    </row>
    <row r="522" ht="36" customHeight="1">
      <c r="G522" s="36" t="inlineStr">
        <is>
          <t>Costos: 3 pts ≈ 6 horas-persona (1 punto ≈ 2 h) · servicios externos: S/ 0 (planes gratuitos)</t>
        </is>
      </c>
      <c r="H522" s="37" t="n"/>
      <c r="I522" s="37" t="n"/>
      <c r="J522" s="38" t="n"/>
    </row>
    <row r="525">
      <c r="B525" s="18" t="inlineStr">
        <is>
          <t>HU-21 · Avisar exceso del requerimiento</t>
        </is>
      </c>
    </row>
    <row r="526" ht="18" customHeight="1">
      <c r="B526" s="19" t="inlineStr">
        <is>
          <t>TARJETA 1 · Historia de usuario</t>
        </is>
      </c>
      <c r="C526" s="20" t="n"/>
      <c r="D526" s="20" t="n"/>
      <c r="E526" s="21" t="n"/>
      <c r="G526" s="19" t="inlineStr">
        <is>
          <t>TARJETA 2 · Definición de Listo</t>
        </is>
      </c>
      <c r="H526" s="20" t="n"/>
      <c r="I526" s="20" t="n"/>
      <c r="J526" s="21" t="n"/>
      <c r="L526" s="19" t="inlineStr">
        <is>
          <t>TARJETA 3 · Definición de Terminado</t>
        </is>
      </c>
      <c r="M526" s="20" t="n"/>
      <c r="N526" s="20" t="n"/>
      <c r="O526" s="21" t="n"/>
    </row>
    <row r="527" ht="28" customHeight="1">
      <c r="B527" s="22" t="inlineStr">
        <is>
          <t>La unidad con la que se planifica, se estima y se acepta el trabajo</t>
        </is>
      </c>
      <c r="C527" s="8" t="n"/>
      <c r="D527" s="8" t="n"/>
      <c r="E527" s="23" t="n"/>
      <c r="G527" s="22" t="inlineStr">
        <is>
          <t>El enfoque está en la consideración del equipo de desarrollo sobre si la historia está lista para un Sprint</t>
        </is>
      </c>
      <c r="H527" s="8" t="n"/>
      <c r="I527" s="8" t="n"/>
      <c r="J527" s="23" t="n"/>
      <c r="L527" s="22" t="inlineStr">
        <is>
          <t>El enfoque está en la aceptación del cliente cuando se le entregue el producto</t>
        </is>
      </c>
      <c r="M527" s="8" t="n"/>
      <c r="N527" s="8" t="n"/>
      <c r="O527" s="23" t="n"/>
    </row>
    <row r="528">
      <c r="B528" s="24" t="inlineStr">
        <is>
          <t>Historia de usuario</t>
        </is>
      </c>
      <c r="C528" s="8" t="n"/>
      <c r="D528" s="25" t="inlineStr">
        <is>
          <t>Prioridad</t>
        </is>
      </c>
      <c r="E528" s="26" t="inlineStr">
        <is>
          <t>Estimación</t>
        </is>
      </c>
      <c r="G528" s="24" t="inlineStr">
        <is>
          <t>Historia de usuario</t>
        </is>
      </c>
      <c r="H528" s="8" t="n"/>
      <c r="I528" s="25" t="inlineStr">
        <is>
          <t>Prioridad</t>
        </is>
      </c>
      <c r="J528" s="26" t="inlineStr">
        <is>
          <t>Estimación</t>
        </is>
      </c>
      <c r="L528" s="24" t="inlineStr">
        <is>
          <t>Historia de usuario</t>
        </is>
      </c>
      <c r="M528" s="8" t="n"/>
      <c r="N528" s="25" t="inlineStr">
        <is>
          <t>Prioridad</t>
        </is>
      </c>
      <c r="O528" s="26" t="inlineStr">
        <is>
          <t>Estimación</t>
        </is>
      </c>
    </row>
    <row r="529" ht="30" customHeight="1">
      <c r="B529" s="27" t="inlineStr">
        <is>
          <t>HU-21 · Avisar exceso del requerimiento</t>
        </is>
      </c>
      <c r="C529" s="8" t="n"/>
      <c r="D529" s="9" t="inlineStr">
        <is>
          <t>Alta</t>
        </is>
      </c>
      <c r="E529" s="28" t="inlineStr">
        <is>
          <t>3 pts</t>
        </is>
      </c>
      <c r="G529" s="27" t="inlineStr">
        <is>
          <t>HU-21 · Avisar exceso del requerimiento</t>
        </is>
      </c>
      <c r="H529" s="8" t="n"/>
      <c r="I529" s="9" t="inlineStr">
        <is>
          <t>Alta</t>
        </is>
      </c>
      <c r="J529" s="28" t="inlineStr">
        <is>
          <t>3 pts</t>
        </is>
      </c>
      <c r="L529" s="27" t="inlineStr">
        <is>
          <t>HU-21 · Avisar exceso del requerimiento</t>
        </is>
      </c>
      <c r="M529" s="8" t="n"/>
      <c r="N529" s="9" t="inlineStr">
        <is>
          <t>Alta</t>
        </is>
      </c>
      <c r="O529" s="28" t="inlineStr">
        <is>
          <t>3 pts</t>
        </is>
      </c>
    </row>
    <row r="530">
      <c r="B530" s="29" t="inlineStr">
        <is>
          <t>Descripción:</t>
        </is>
      </c>
      <c r="C530" s="8" t="n"/>
      <c r="D530" s="8" t="n"/>
      <c r="E530" s="23" t="n"/>
      <c r="G530" s="29" t="inlineStr">
        <is>
          <t>Descripción:</t>
        </is>
      </c>
      <c r="H530" s="8" t="n"/>
      <c r="I530" s="8" t="n"/>
      <c r="J530" s="23" t="n"/>
      <c r="L530" s="29" t="inlineStr">
        <is>
          <t>Descripción:</t>
        </is>
      </c>
      <c r="M530" s="8" t="n"/>
      <c r="N530" s="8" t="n"/>
      <c r="O530" s="23" t="n"/>
    </row>
    <row r="531" ht="28" customHeight="1">
      <c r="B531" s="30" t="inlineStr">
        <is>
          <t>Como residente de obra, quiero recibir un aviso cuando los parciales superen el total, para frenar un pedido que excede el presupuesto.</t>
        </is>
      </c>
      <c r="C531" s="8" t="n"/>
      <c r="D531" s="8" t="n"/>
      <c r="E531" s="23" t="n"/>
      <c r="G531" s="30" t="inlineStr">
        <is>
          <t>Como residente de obra, quiero recibir un aviso cuando los parciales superen el total, para frenar un pedido que excede el presupuesto.</t>
        </is>
      </c>
      <c r="H531" s="8" t="n"/>
      <c r="I531" s="8" t="n"/>
      <c r="J531" s="23" t="n"/>
      <c r="L531" s="30" t="inlineStr">
        <is>
          <t>Como residente de obra, quiero recibir un aviso cuando los parciales superen el total, para frenar un pedido que excede el presupuesto.</t>
        </is>
      </c>
      <c r="M531" s="8" t="n"/>
      <c r="N531" s="8" t="n"/>
      <c r="O531" s="23" t="n"/>
    </row>
    <row r="532" ht="28" customHeight="1">
      <c r="B532" s="31" t="n"/>
      <c r="C532" s="8" t="n"/>
      <c r="D532" s="8" t="n"/>
      <c r="E532" s="23" t="n"/>
      <c r="G532" s="31" t="n"/>
      <c r="H532" s="8" t="n"/>
      <c r="I532" s="8" t="n"/>
      <c r="J532" s="23" t="n"/>
      <c r="L532" s="31" t="n"/>
      <c r="M532" s="8" t="n"/>
      <c r="N532" s="8" t="n"/>
      <c r="O532" s="23" t="n"/>
    </row>
    <row r="533">
      <c r="B533" s="29" t="inlineStr">
        <is>
          <t>Ficha de la historia</t>
        </is>
      </c>
      <c r="C533" s="8" t="n"/>
      <c r="D533" s="8" t="n"/>
      <c r="E533" s="23" t="n"/>
      <c r="G533" s="29" t="inlineStr">
        <is>
          <t>Criterios de listo:</t>
        </is>
      </c>
      <c r="H533" s="8" t="n"/>
      <c r="I533" s="8" t="n"/>
      <c r="J533" s="23" t="n"/>
      <c r="L533" s="29" t="inlineStr">
        <is>
          <t>Condiciones finales (se marcan cuando el PO acepta la HU en la Review):</t>
        </is>
      </c>
      <c r="M533" s="8" t="n"/>
      <c r="N533" s="8" t="n"/>
      <c r="O533" s="23" t="n"/>
    </row>
    <row r="534" ht="30" customHeight="1">
      <c r="B534" s="32" t="inlineStr">
        <is>
          <t>Épica: E2. Planificar el requerimiento y la reposición de recursos</t>
        </is>
      </c>
      <c r="C534" s="8" t="n"/>
      <c r="D534" s="8" t="n"/>
      <c r="E534" s="23" t="n"/>
      <c r="G534" s="33" t="inlineStr">
        <is>
          <t>( x )</t>
        </is>
      </c>
      <c r="H534" s="34" t="inlineStr">
        <is>
          <t>L1 · Redactada en el formato acordado — Cumple</t>
        </is>
      </c>
      <c r="I534" s="8" t="n"/>
      <c r="J534" s="23" t="n"/>
      <c r="L534" s="35" t="inlineStr">
        <is>
          <t>(    )</t>
        </is>
      </c>
      <c r="M534" s="34" t="inlineStr">
        <is>
          <t>Al guardar un parcial que excede el total, se ha mostrado el aviso</t>
        </is>
      </c>
      <c r="N534" s="8" t="n"/>
      <c r="O534" s="23" t="n"/>
    </row>
    <row r="535" ht="30" customHeight="1">
      <c r="B535" s="32" t="inlineStr">
        <is>
          <t>Módulo: Reposición / Planificación</t>
        </is>
      </c>
      <c r="C535" s="8" t="n"/>
      <c r="D535" s="8" t="n"/>
      <c r="E535" s="23" t="n"/>
      <c r="G535" s="33" t="inlineStr">
        <is>
          <t>( x )</t>
        </is>
      </c>
      <c r="H535" s="34" t="inlineStr">
        <is>
          <t>L2 · Nombre corto en forma de acción — Cumple</t>
        </is>
      </c>
      <c r="I535" s="8" t="n"/>
      <c r="J535" s="23" t="n"/>
      <c r="L535" s="35" t="inlineStr">
        <is>
          <t>(    )</t>
        </is>
      </c>
      <c r="M535" s="34" t="inlineStr">
        <is>
          <t>El aviso ha indicado insumo, total, acumulado y exceso</t>
        </is>
      </c>
      <c r="N535" s="8" t="n"/>
      <c r="O535" s="23" t="n"/>
    </row>
    <row r="536" ht="30" customHeight="1">
      <c r="B536" s="32" t="inlineStr">
        <is>
          <t>Responsable técnico: Backend · Henry Ticona</t>
        </is>
      </c>
      <c r="C536" s="8" t="n"/>
      <c r="D536" s="8" t="n"/>
      <c r="E536" s="23" t="n"/>
      <c r="G536" s="33" t="inlineStr">
        <is>
          <t>( x )</t>
        </is>
      </c>
      <c r="H536" s="34" t="inlineStr">
        <is>
          <t>L3 · Criterios de aceptación escritos — Cumple</t>
        </is>
      </c>
      <c r="I536" s="8" t="n"/>
      <c r="J536" s="23" t="n"/>
      <c r="L536" s="35" t="inlineStr">
        <is>
          <t>(    )</t>
        </is>
      </c>
      <c r="M536" s="34" t="inlineStr">
        <is>
          <t>El residente ha continuado y su motivo ha quedado registrado</t>
        </is>
      </c>
      <c r="N536" s="8" t="n"/>
      <c r="O536" s="23" t="n"/>
    </row>
    <row r="537" ht="36" customHeight="1">
      <c r="B537" s="36" t="inlineStr">
        <is>
          <t>Depende de: HU-20</t>
        </is>
      </c>
      <c r="C537" s="37" t="n"/>
      <c r="D537" s="37" t="n"/>
      <c r="E537" s="38" t="n"/>
      <c r="G537" s="33" t="inlineStr">
        <is>
          <t>( x )</t>
        </is>
      </c>
      <c r="H537" s="34" t="inlineStr">
        <is>
          <t>L4 · Dependencias resueltas — Cumple</t>
        </is>
      </c>
      <c r="I537" s="8" t="n"/>
      <c r="J537" s="23" t="n"/>
      <c r="L537" s="36" t="inlineStr">
        <is>
          <t>Mitad técnica: Además, los diez criterios T1 a T10 de la hoja «3. Criterios DoR y DoD», sin excepción</t>
        </is>
      </c>
      <c r="M537" s="37" t="n"/>
      <c r="N537" s="37" t="n"/>
      <c r="O537" s="38" t="n"/>
    </row>
    <row r="538" ht="30" customHeight="1">
      <c r="G538" s="33" t="inlineStr">
        <is>
          <t>( x )</t>
        </is>
      </c>
      <c r="H538" s="34" t="inlineStr">
        <is>
          <t>L5 · Estimada por los Developers — Cumple</t>
        </is>
      </c>
      <c r="I538" s="8" t="n"/>
      <c r="J538" s="23" t="n"/>
    </row>
    <row r="539" ht="30" customHeight="1">
      <c r="G539" s="33" t="inlineStr">
        <is>
          <t>( x )</t>
        </is>
      </c>
      <c r="H539" s="34" t="inlineStr">
        <is>
          <t>L6 · Cabe en un sprint (8 puntos o menos) — Cumple</t>
        </is>
      </c>
      <c r="I539" s="8" t="n"/>
      <c r="J539" s="23" t="n"/>
    </row>
    <row r="540" ht="30" customHeight="1">
      <c r="G540" s="33" t="inlineStr">
        <is>
          <t>( x )</t>
        </is>
      </c>
      <c r="H540" s="34" t="inlineStr">
        <is>
          <t>L7 · Reglas de dominio identificadas — Cumple</t>
        </is>
      </c>
      <c r="I540" s="8" t="n"/>
      <c r="J540" s="23" t="n"/>
    </row>
    <row r="541" ht="30" customHeight="1">
      <c r="G541" s="33" t="inlineStr">
        <is>
          <t>( x )</t>
        </is>
      </c>
      <c r="H541" s="34" t="inlineStr">
        <is>
          <t>L8 · Datos de prueba disponibles — Cumple</t>
        </is>
      </c>
      <c r="I541" s="8" t="n"/>
      <c r="J541" s="23" t="n"/>
    </row>
    <row r="542" ht="30" customHeight="1">
      <c r="G542" s="33" t="inlineStr">
        <is>
          <t>( x )</t>
        </is>
      </c>
      <c r="H542" s="34" t="inlineStr">
        <is>
          <t>L9 · Responsable técnico asignado — Cumple</t>
        </is>
      </c>
      <c r="I542" s="8" t="n"/>
      <c r="J542" s="23" t="n"/>
    </row>
    <row r="543" ht="30" customHeight="1">
      <c r="G543" s="33" t="inlineStr">
        <is>
          <t>( x )</t>
        </is>
      </c>
      <c r="H543" s="34" t="inlineStr">
        <is>
          <t>L10 · Recursos identificados — Cumple: Henry Ticona + equipo de desarrollo y datos de prueba</t>
        </is>
      </c>
      <c r="I543" s="8" t="n"/>
      <c r="J543" s="23" t="n"/>
    </row>
    <row r="544" ht="30" customHeight="1">
      <c r="G544" s="33" t="inlineStr">
        <is>
          <t>( x )</t>
        </is>
      </c>
      <c r="H544" s="34" t="inlineStr">
        <is>
          <t>L11 · Requisitos técnicos de programación definidos — Cumple: FastAPI, SQLAlchemy 2, Alembic y PostgreSQL 16</t>
        </is>
      </c>
      <c r="I544" s="8" t="n"/>
      <c r="J544" s="23" t="n"/>
    </row>
    <row r="545" ht="30" customHeight="1">
      <c r="G545" s="33" t="inlineStr">
        <is>
          <t>( x )</t>
        </is>
      </c>
      <c r="H545" s="34" t="inlineStr">
        <is>
          <t>L12 · Accesos de red disponibles — Cumple: GitHub (repositorio privado), API y PostgreSQL en docker compose</t>
        </is>
      </c>
      <c r="I545" s="8" t="n"/>
      <c r="J545" s="23" t="n"/>
    </row>
    <row r="546" ht="36" customHeight="1">
      <c r="G546" s="39" t="inlineStr">
        <is>
          <t>Riesgos: Que el aviso bloquee la obra · avisa y deja continuar con motivo (regla 7)</t>
        </is>
      </c>
      <c r="H546" s="8" t="n"/>
      <c r="I546" s="8" t="n"/>
      <c r="J546" s="23" t="n"/>
    </row>
    <row r="547" ht="36" customHeight="1">
      <c r="G547" s="32" t="inlineStr">
        <is>
          <t>Proveedores de servicio: PostgreSQL gestionado en la nube (capa gratuita) · GitHub</t>
        </is>
      </c>
      <c r="H547" s="8" t="n"/>
      <c r="I547" s="8" t="n"/>
      <c r="J547" s="23" t="n"/>
    </row>
    <row r="548" ht="36" customHeight="1">
      <c r="G548" s="36" t="inlineStr">
        <is>
          <t>Costos: 3 pts ≈ 6 horas-persona (1 punto ≈ 2 h) · servicios externos: S/ 0 (planes gratuitos)</t>
        </is>
      </c>
      <c r="H548" s="37" t="n"/>
      <c r="I548" s="37" t="n"/>
      <c r="J548" s="38" t="n"/>
    </row>
    <row r="551">
      <c r="B551" s="18" t="inlineStr">
        <is>
          <t>HU-22 · Agregar insumo no presupuestado</t>
        </is>
      </c>
    </row>
    <row r="552" ht="18" customHeight="1">
      <c r="B552" s="19" t="inlineStr">
        <is>
          <t>TARJETA 1 · Historia de usuario</t>
        </is>
      </c>
      <c r="C552" s="20" t="n"/>
      <c r="D552" s="20" t="n"/>
      <c r="E552" s="21" t="n"/>
      <c r="G552" s="19" t="inlineStr">
        <is>
          <t>TARJETA 2 · Definición de Listo</t>
        </is>
      </c>
      <c r="H552" s="20" t="n"/>
      <c r="I552" s="20" t="n"/>
      <c r="J552" s="21" t="n"/>
      <c r="L552" s="19" t="inlineStr">
        <is>
          <t>TARJETA 3 · Definición de Terminado</t>
        </is>
      </c>
      <c r="M552" s="20" t="n"/>
      <c r="N552" s="20" t="n"/>
      <c r="O552" s="21" t="n"/>
    </row>
    <row r="553" ht="28" customHeight="1">
      <c r="B553" s="22" t="inlineStr">
        <is>
          <t>La unidad con la que se planifica, se estima y se acepta el trabajo</t>
        </is>
      </c>
      <c r="C553" s="8" t="n"/>
      <c r="D553" s="8" t="n"/>
      <c r="E553" s="23" t="n"/>
      <c r="G553" s="22" t="inlineStr">
        <is>
          <t>El enfoque está en la consideración del equipo de desarrollo sobre si la historia está lista para un Sprint</t>
        </is>
      </c>
      <c r="H553" s="8" t="n"/>
      <c r="I553" s="8" t="n"/>
      <c r="J553" s="23" t="n"/>
      <c r="L553" s="22" t="inlineStr">
        <is>
          <t>El enfoque está en la aceptación del cliente cuando se le entregue el producto</t>
        </is>
      </c>
      <c r="M553" s="8" t="n"/>
      <c r="N553" s="8" t="n"/>
      <c r="O553" s="23" t="n"/>
    </row>
    <row r="554">
      <c r="B554" s="24" t="inlineStr">
        <is>
          <t>Historia de usuario</t>
        </is>
      </c>
      <c r="C554" s="8" t="n"/>
      <c r="D554" s="25" t="inlineStr">
        <is>
          <t>Prioridad</t>
        </is>
      </c>
      <c r="E554" s="26" t="inlineStr">
        <is>
          <t>Estimación</t>
        </is>
      </c>
      <c r="G554" s="24" t="inlineStr">
        <is>
          <t>Historia de usuario</t>
        </is>
      </c>
      <c r="H554" s="8" t="n"/>
      <c r="I554" s="25" t="inlineStr">
        <is>
          <t>Prioridad</t>
        </is>
      </c>
      <c r="J554" s="26" t="inlineStr">
        <is>
          <t>Estimación</t>
        </is>
      </c>
      <c r="L554" s="24" t="inlineStr">
        <is>
          <t>Historia de usuario</t>
        </is>
      </c>
      <c r="M554" s="8" t="n"/>
      <c r="N554" s="25" t="inlineStr">
        <is>
          <t>Prioridad</t>
        </is>
      </c>
      <c r="O554" s="26" t="inlineStr">
        <is>
          <t>Estimación</t>
        </is>
      </c>
    </row>
    <row r="555" ht="30" customHeight="1">
      <c r="B555" s="27" t="inlineStr">
        <is>
          <t>HU-22 · Agregar insumo no presupuestado</t>
        </is>
      </c>
      <c r="C555" s="8" t="n"/>
      <c r="D555" s="9" t="inlineStr">
        <is>
          <t>Media</t>
        </is>
      </c>
      <c r="E555" s="28" t="inlineStr">
        <is>
          <t>3 pts</t>
        </is>
      </c>
      <c r="G555" s="27" t="inlineStr">
        <is>
          <t>HU-22 · Agregar insumo no presupuestado</t>
        </is>
      </c>
      <c r="H555" s="8" t="n"/>
      <c r="I555" s="9" t="inlineStr">
        <is>
          <t>Media</t>
        </is>
      </c>
      <c r="J555" s="28" t="inlineStr">
        <is>
          <t>3 pts</t>
        </is>
      </c>
      <c r="L555" s="27" t="inlineStr">
        <is>
          <t>HU-22 · Agregar insumo no presupuestado</t>
        </is>
      </c>
      <c r="M555" s="8" t="n"/>
      <c r="N555" s="9" t="inlineStr">
        <is>
          <t>Media</t>
        </is>
      </c>
      <c r="O555" s="28" t="inlineStr">
        <is>
          <t>3 pts</t>
        </is>
      </c>
    </row>
    <row r="556">
      <c r="B556" s="29" t="inlineStr">
        <is>
          <t>Descripción:</t>
        </is>
      </c>
      <c r="C556" s="8" t="n"/>
      <c r="D556" s="8" t="n"/>
      <c r="E556" s="23" t="n"/>
      <c r="G556" s="29" t="inlineStr">
        <is>
          <t>Descripción:</t>
        </is>
      </c>
      <c r="H556" s="8" t="n"/>
      <c r="I556" s="8" t="n"/>
      <c r="J556" s="23" t="n"/>
      <c r="L556" s="29" t="inlineStr">
        <is>
          <t>Descripción:</t>
        </is>
      </c>
      <c r="M556" s="8" t="n"/>
      <c r="N556" s="8" t="n"/>
      <c r="O556" s="23" t="n"/>
    </row>
    <row r="557" ht="28" customHeight="1">
      <c r="B557" s="30" t="inlineStr">
        <is>
          <t>Como residente de obra, quiero agregar insumos que el presupuesto no contempló, para cubrir lo que las instalaciones exigen en obra.</t>
        </is>
      </c>
      <c r="C557" s="8" t="n"/>
      <c r="D557" s="8" t="n"/>
      <c r="E557" s="23" t="n"/>
      <c r="G557" s="30" t="inlineStr">
        <is>
          <t>Como residente de obra, quiero agregar insumos que el presupuesto no contempló, para cubrir lo que las instalaciones exigen en obra.</t>
        </is>
      </c>
      <c r="H557" s="8" t="n"/>
      <c r="I557" s="8" t="n"/>
      <c r="J557" s="23" t="n"/>
      <c r="L557" s="30" t="inlineStr">
        <is>
          <t>Como residente de obra, quiero agregar insumos que el presupuesto no contempló, para cubrir lo que las instalaciones exigen en obra.</t>
        </is>
      </c>
      <c r="M557" s="8" t="n"/>
      <c r="N557" s="8" t="n"/>
      <c r="O557" s="23" t="n"/>
    </row>
    <row r="558" ht="28" customHeight="1">
      <c r="B558" s="31" t="n"/>
      <c r="C558" s="8" t="n"/>
      <c r="D558" s="8" t="n"/>
      <c r="E558" s="23" t="n"/>
      <c r="G558" s="31" t="n"/>
      <c r="H558" s="8" t="n"/>
      <c r="I558" s="8" t="n"/>
      <c r="J558" s="23" t="n"/>
      <c r="L558" s="31" t="n"/>
      <c r="M558" s="8" t="n"/>
      <c r="N558" s="8" t="n"/>
      <c r="O558" s="23" t="n"/>
    </row>
    <row r="559">
      <c r="B559" s="29" t="inlineStr">
        <is>
          <t>Ficha de la historia</t>
        </is>
      </c>
      <c r="C559" s="8" t="n"/>
      <c r="D559" s="8" t="n"/>
      <c r="E559" s="23" t="n"/>
      <c r="G559" s="29" t="inlineStr">
        <is>
          <t>Criterios de listo:</t>
        </is>
      </c>
      <c r="H559" s="8" t="n"/>
      <c r="I559" s="8" t="n"/>
      <c r="J559" s="23" t="n"/>
      <c r="L559" s="29" t="inlineStr">
        <is>
          <t>Condiciones finales (se marcan cuando el PO acepta la HU en la Review):</t>
        </is>
      </c>
      <c r="M559" s="8" t="n"/>
      <c r="N559" s="8" t="n"/>
      <c r="O559" s="23" t="n"/>
    </row>
    <row r="560" ht="30" customHeight="1">
      <c r="B560" s="32" t="inlineStr">
        <is>
          <t>Épica: E2. Planificar el requerimiento y la reposición de recursos</t>
        </is>
      </c>
      <c r="C560" s="8" t="n"/>
      <c r="D560" s="8" t="n"/>
      <c r="E560" s="23" t="n"/>
      <c r="G560" s="33" t="inlineStr">
        <is>
          <t>( x )</t>
        </is>
      </c>
      <c r="H560" s="34" t="inlineStr">
        <is>
          <t>L1 · Redactada en el formato acordado — Cumple</t>
        </is>
      </c>
      <c r="I560" s="8" t="n"/>
      <c r="J560" s="23" t="n"/>
      <c r="L560" s="35" t="inlineStr">
        <is>
          <t>(    )</t>
        </is>
      </c>
      <c r="M560" s="34" t="inlineStr">
        <is>
          <t>El insumo no presupuestado se ha agregado con su motivo y quién lo agregó</t>
        </is>
      </c>
      <c r="N560" s="8" t="n"/>
      <c r="O560" s="23" t="n"/>
    </row>
    <row r="561" ht="30" customHeight="1">
      <c r="B561" s="32" t="inlineStr">
        <is>
          <t>Módulo: Reposición / Planificación</t>
        </is>
      </c>
      <c r="C561" s="8" t="n"/>
      <c r="D561" s="8" t="n"/>
      <c r="E561" s="23" t="n"/>
      <c r="G561" s="33" t="inlineStr">
        <is>
          <t>( x )</t>
        </is>
      </c>
      <c r="H561" s="34" t="inlineStr">
        <is>
          <t>L2 · Nombre corto en forma de acción — Cumple</t>
        </is>
      </c>
      <c r="I561" s="8" t="n"/>
      <c r="J561" s="23" t="n"/>
      <c r="L561" s="35" t="inlineStr">
        <is>
          <t>(    )</t>
        </is>
      </c>
      <c r="M561" s="34" t="inlineStr">
        <is>
          <t>Ha quedado marcado como «no presupuestado»</t>
        </is>
      </c>
      <c r="N561" s="8" t="n"/>
      <c r="O561" s="23" t="n"/>
    </row>
    <row r="562" ht="30" customHeight="1">
      <c r="B562" s="32" t="inlineStr">
        <is>
          <t>Responsable técnico: Backend · Henry Ticona</t>
        </is>
      </c>
      <c r="C562" s="8" t="n"/>
      <c r="D562" s="8" t="n"/>
      <c r="E562" s="23" t="n"/>
      <c r="G562" s="33" t="inlineStr">
        <is>
          <t>( x )</t>
        </is>
      </c>
      <c r="H562" s="34" t="inlineStr">
        <is>
          <t>L3 · Criterios de aceptación escritos — Cumple</t>
        </is>
      </c>
      <c r="I562" s="8" t="n"/>
      <c r="J562" s="23" t="n"/>
      <c r="L562" s="35" t="inlineStr">
        <is>
          <t>(    )</t>
        </is>
      </c>
      <c r="M562" s="34" t="inlineStr">
        <is>
          <t>Se ha informado aparte, sin alterar la desviación contra lo planificado</t>
        </is>
      </c>
      <c r="N562" s="8" t="n"/>
      <c r="O562" s="23" t="n"/>
    </row>
    <row r="563" ht="36" customHeight="1">
      <c r="B563" s="36" t="inlineStr">
        <is>
          <t>Depende de: HU-19</t>
        </is>
      </c>
      <c r="C563" s="37" t="n"/>
      <c r="D563" s="37" t="n"/>
      <c r="E563" s="38" t="n"/>
      <c r="G563" s="33" t="inlineStr">
        <is>
          <t>( x )</t>
        </is>
      </c>
      <c r="H563" s="34" t="inlineStr">
        <is>
          <t>L4 · Dependencias resueltas — Cumple</t>
        </is>
      </c>
      <c r="I563" s="8" t="n"/>
      <c r="J563" s="23" t="n"/>
      <c r="L563" s="36" t="inlineStr">
        <is>
          <t>Mitad técnica: Además, los diez criterios T1 a T10 de la hoja «3. Criterios DoR y DoD», sin excepción</t>
        </is>
      </c>
      <c r="M563" s="37" t="n"/>
      <c r="N563" s="37" t="n"/>
      <c r="O563" s="38" t="n"/>
    </row>
    <row r="564" ht="30" customHeight="1">
      <c r="G564" s="33" t="inlineStr">
        <is>
          <t>( x )</t>
        </is>
      </c>
      <c r="H564" s="34" t="inlineStr">
        <is>
          <t>L5 · Estimada por los Developers — Cumple</t>
        </is>
      </c>
      <c r="I564" s="8" t="n"/>
      <c r="J564" s="23" t="n"/>
    </row>
    <row r="565" ht="30" customHeight="1">
      <c r="G565" s="33" t="inlineStr">
        <is>
          <t>( x )</t>
        </is>
      </c>
      <c r="H565" s="34" t="inlineStr">
        <is>
          <t>L6 · Cabe en un sprint (8 puntos o menos) — Cumple</t>
        </is>
      </c>
      <c r="I565" s="8" t="n"/>
      <c r="J565" s="23" t="n"/>
    </row>
    <row r="566" ht="30" customHeight="1">
      <c r="G566" s="33" t="inlineStr">
        <is>
          <t>( x )</t>
        </is>
      </c>
      <c r="H566" s="34" t="inlineStr">
        <is>
          <t>L7 · Reglas de dominio identificadas — Cumple</t>
        </is>
      </c>
      <c r="I566" s="8" t="n"/>
      <c r="J566" s="23" t="n"/>
    </row>
    <row r="567" ht="30" customHeight="1">
      <c r="G567" s="33" t="inlineStr">
        <is>
          <t>( x )</t>
        </is>
      </c>
      <c r="H567" s="34" t="inlineStr">
        <is>
          <t>L8 · Datos de prueba disponibles — Cumple</t>
        </is>
      </c>
      <c r="I567" s="8" t="n"/>
      <c r="J567" s="23" t="n"/>
    </row>
    <row r="568" ht="30" customHeight="1">
      <c r="G568" s="33" t="inlineStr">
        <is>
          <t>( x )</t>
        </is>
      </c>
      <c r="H568" s="34" t="inlineStr">
        <is>
          <t>L9 · Responsable técnico asignado — Cumple</t>
        </is>
      </c>
      <c r="I568" s="8" t="n"/>
      <c r="J568" s="23" t="n"/>
    </row>
    <row r="569" ht="30" customHeight="1">
      <c r="G569" s="33" t="inlineStr">
        <is>
          <t>( x )</t>
        </is>
      </c>
      <c r="H569" s="34" t="inlineStr">
        <is>
          <t>L10 · Recursos identificados — Cumple: Henry Ticona + equipo de desarrollo y datos de prueba</t>
        </is>
      </c>
      <c r="I569" s="8" t="n"/>
      <c r="J569" s="23" t="n"/>
    </row>
    <row r="570" ht="30" customHeight="1">
      <c r="G570" s="33" t="inlineStr">
        <is>
          <t>( x )</t>
        </is>
      </c>
      <c r="H570" s="34" t="inlineStr">
        <is>
          <t>L11 · Requisitos técnicos de programación definidos — Cumple: FastAPI, SQLAlchemy 2, Alembic y PostgreSQL 16</t>
        </is>
      </c>
      <c r="I570" s="8" t="n"/>
      <c r="J570" s="23" t="n"/>
    </row>
    <row r="571" ht="30" customHeight="1">
      <c r="G571" s="33" t="inlineStr">
        <is>
          <t>( x )</t>
        </is>
      </c>
      <c r="H571" s="34" t="inlineStr">
        <is>
          <t>L12 · Accesos de red disponibles — Cumple: GitHub (repositorio privado), API y PostgreSQL en docker compose</t>
        </is>
      </c>
      <c r="I571" s="8" t="n"/>
      <c r="J571" s="23" t="n"/>
    </row>
    <row r="572" ht="36" customHeight="1">
      <c r="G572" s="39" t="inlineStr">
        <is>
          <t>Riesgos: Distorsionar la desviación contra lo planificado · se informa aparte como no presupuestado</t>
        </is>
      </c>
      <c r="H572" s="8" t="n"/>
      <c r="I572" s="8" t="n"/>
      <c r="J572" s="23" t="n"/>
    </row>
    <row r="573" ht="36" customHeight="1">
      <c r="G573" s="32" t="inlineStr">
        <is>
          <t>Proveedores de servicio: PostgreSQL gestionado en la nube (capa gratuita) · GitHub</t>
        </is>
      </c>
      <c r="H573" s="8" t="n"/>
      <c r="I573" s="8" t="n"/>
      <c r="J573" s="23" t="n"/>
    </row>
    <row r="574" ht="36" customHeight="1">
      <c r="G574" s="36" t="inlineStr">
        <is>
          <t>Costos: 3 pts ≈ 6 horas-persona (1 punto ≈ 2 h) · servicios externos: S/ 0 (planes gratuitos)</t>
        </is>
      </c>
      <c r="H574" s="37" t="n"/>
      <c r="I574" s="37" t="n"/>
      <c r="J574" s="38" t="n"/>
    </row>
    <row r="577">
      <c r="B577" s="18" t="inlineStr">
        <is>
          <t>HU-23 · Consultar cuánto se compró y consumió</t>
        </is>
      </c>
    </row>
    <row r="578" ht="18" customHeight="1">
      <c r="B578" s="19" t="inlineStr">
        <is>
          <t>TARJETA 1 · Historia de usuario</t>
        </is>
      </c>
      <c r="C578" s="20" t="n"/>
      <c r="D578" s="20" t="n"/>
      <c r="E578" s="21" t="n"/>
      <c r="G578" s="19" t="inlineStr">
        <is>
          <t>TARJETA 2 · Definición de Listo</t>
        </is>
      </c>
      <c r="H578" s="20" t="n"/>
      <c r="I578" s="20" t="n"/>
      <c r="J578" s="21" t="n"/>
      <c r="L578" s="19" t="inlineStr">
        <is>
          <t>TARJETA 3 · Definición de Terminado</t>
        </is>
      </c>
      <c r="M578" s="20" t="n"/>
      <c r="N578" s="20" t="n"/>
      <c r="O578" s="21" t="n"/>
    </row>
    <row r="579" ht="28" customHeight="1">
      <c r="B579" s="22" t="inlineStr">
        <is>
          <t>La unidad con la que se planifica, se estima y se acepta el trabajo</t>
        </is>
      </c>
      <c r="C579" s="8" t="n"/>
      <c r="D579" s="8" t="n"/>
      <c r="E579" s="23" t="n"/>
      <c r="G579" s="22" t="inlineStr">
        <is>
          <t>El enfoque está en la consideración del equipo de desarrollo sobre si la historia está lista para un Sprint</t>
        </is>
      </c>
      <c r="H579" s="8" t="n"/>
      <c r="I579" s="8" t="n"/>
      <c r="J579" s="23" t="n"/>
      <c r="L579" s="22" t="inlineStr">
        <is>
          <t>El enfoque está en la aceptación del cliente cuando se le entregue el producto</t>
        </is>
      </c>
      <c r="M579" s="8" t="n"/>
      <c r="N579" s="8" t="n"/>
      <c r="O579" s="23" t="n"/>
    </row>
    <row r="580">
      <c r="B580" s="24" t="inlineStr">
        <is>
          <t>Historia de usuario</t>
        </is>
      </c>
      <c r="C580" s="8" t="n"/>
      <c r="D580" s="25" t="inlineStr">
        <is>
          <t>Prioridad</t>
        </is>
      </c>
      <c r="E580" s="26" t="inlineStr">
        <is>
          <t>Estimación</t>
        </is>
      </c>
      <c r="G580" s="24" t="inlineStr">
        <is>
          <t>Historia de usuario</t>
        </is>
      </c>
      <c r="H580" s="8" t="n"/>
      <c r="I580" s="25" t="inlineStr">
        <is>
          <t>Prioridad</t>
        </is>
      </c>
      <c r="J580" s="26" t="inlineStr">
        <is>
          <t>Estimación</t>
        </is>
      </c>
      <c r="L580" s="24" t="inlineStr">
        <is>
          <t>Historia de usuario</t>
        </is>
      </c>
      <c r="M580" s="8" t="n"/>
      <c r="N580" s="25" t="inlineStr">
        <is>
          <t>Prioridad</t>
        </is>
      </c>
      <c r="O580" s="26" t="inlineStr">
        <is>
          <t>Estimación</t>
        </is>
      </c>
    </row>
    <row r="581" ht="30" customHeight="1">
      <c r="B581" s="27" t="inlineStr">
        <is>
          <t>HU-23 · Consultar cuánto se compró y consumió</t>
        </is>
      </c>
      <c r="C581" s="8" t="n"/>
      <c r="D581" s="9" t="inlineStr">
        <is>
          <t>Alta</t>
        </is>
      </c>
      <c r="E581" s="28" t="inlineStr">
        <is>
          <t>5 pts</t>
        </is>
      </c>
      <c r="G581" s="27" t="inlineStr">
        <is>
          <t>HU-23 · Consultar cuánto se compró y consumió</t>
        </is>
      </c>
      <c r="H581" s="8" t="n"/>
      <c r="I581" s="9" t="inlineStr">
        <is>
          <t>Alta</t>
        </is>
      </c>
      <c r="J581" s="28" t="inlineStr">
        <is>
          <t>5 pts</t>
        </is>
      </c>
      <c r="L581" s="27" t="inlineStr">
        <is>
          <t>HU-23 · Consultar cuánto se compró y consumió</t>
        </is>
      </c>
      <c r="M581" s="8" t="n"/>
      <c r="N581" s="9" t="inlineStr">
        <is>
          <t>Alta</t>
        </is>
      </c>
      <c r="O581" s="28" t="inlineStr">
        <is>
          <t>5 pts</t>
        </is>
      </c>
    </row>
    <row r="582">
      <c r="B582" s="29" t="inlineStr">
        <is>
          <t>Descripción:</t>
        </is>
      </c>
      <c r="C582" s="8" t="n"/>
      <c r="D582" s="8" t="n"/>
      <c r="E582" s="23" t="n"/>
      <c r="G582" s="29" t="inlineStr">
        <is>
          <t>Descripción:</t>
        </is>
      </c>
      <c r="H582" s="8" t="n"/>
      <c r="I582" s="8" t="n"/>
      <c r="J582" s="23" t="n"/>
      <c r="L582" s="29" t="inlineStr">
        <is>
          <t>Descripción:</t>
        </is>
      </c>
      <c r="M582" s="8" t="n"/>
      <c r="N582" s="8" t="n"/>
      <c r="O582" s="23" t="n"/>
    </row>
    <row r="583" ht="28" customHeight="1">
      <c r="B583" s="30" t="inlineStr">
        <is>
          <t>Como residente de obra, quiero consultar qué porcentaje de cada insumo se compró y se consumió, para distinguir lo que ingresó de lo que se usó.</t>
        </is>
      </c>
      <c r="C583" s="8" t="n"/>
      <c r="D583" s="8" t="n"/>
      <c r="E583" s="23" t="n"/>
      <c r="G583" s="30" t="inlineStr">
        <is>
          <t>Como residente de obra, quiero consultar qué porcentaje de cada insumo se compró y se consumió, para distinguir lo que ingresó de lo que se usó.</t>
        </is>
      </c>
      <c r="H583" s="8" t="n"/>
      <c r="I583" s="8" t="n"/>
      <c r="J583" s="23" t="n"/>
      <c r="L583" s="30" t="inlineStr">
        <is>
          <t>Como residente de obra, quiero consultar qué porcentaje de cada insumo se compró y se consumió, para distinguir lo que ingresó de lo que se usó.</t>
        </is>
      </c>
      <c r="M583" s="8" t="n"/>
      <c r="N583" s="8" t="n"/>
      <c r="O583" s="23" t="n"/>
    </row>
    <row r="584" ht="28" customHeight="1">
      <c r="B584" s="31" t="n"/>
      <c r="C584" s="8" t="n"/>
      <c r="D584" s="8" t="n"/>
      <c r="E584" s="23" t="n"/>
      <c r="G584" s="31" t="n"/>
      <c r="H584" s="8" t="n"/>
      <c r="I584" s="8" t="n"/>
      <c r="J584" s="23" t="n"/>
      <c r="L584" s="31" t="n"/>
      <c r="M584" s="8" t="n"/>
      <c r="N584" s="8" t="n"/>
      <c r="O584" s="23" t="n"/>
    </row>
    <row r="585">
      <c r="B585" s="29" t="inlineStr">
        <is>
          <t>Ficha de la historia</t>
        </is>
      </c>
      <c r="C585" s="8" t="n"/>
      <c r="D585" s="8" t="n"/>
      <c r="E585" s="23" t="n"/>
      <c r="G585" s="29" t="inlineStr">
        <is>
          <t>Criterios de listo:</t>
        </is>
      </c>
      <c r="H585" s="8" t="n"/>
      <c r="I585" s="8" t="n"/>
      <c r="J585" s="23" t="n"/>
      <c r="L585" s="29" t="inlineStr">
        <is>
          <t>Condiciones finales (se marcan cuando el PO acepta la HU en la Review):</t>
        </is>
      </c>
      <c r="M585" s="8" t="n"/>
      <c r="N585" s="8" t="n"/>
      <c r="O585" s="23" t="n"/>
    </row>
    <row r="586" ht="30" customHeight="1">
      <c r="B586" s="32" t="inlineStr">
        <is>
          <t>Épica: E2. Planificar el requerimiento y la reposición de recursos</t>
        </is>
      </c>
      <c r="C586" s="8" t="n"/>
      <c r="D586" s="8" t="n"/>
      <c r="E586" s="23" t="n"/>
      <c r="G586" s="33" t="inlineStr">
        <is>
          <t>( x )</t>
        </is>
      </c>
      <c r="H586" s="34" t="inlineStr">
        <is>
          <t>L1 · Redactada en el formato acordado — Cumple</t>
        </is>
      </c>
      <c r="I586" s="8" t="n"/>
      <c r="J586" s="23" t="n"/>
      <c r="L586" s="35" t="inlineStr">
        <is>
          <t>(    )</t>
        </is>
      </c>
      <c r="M586" s="34" t="inlineStr">
        <is>
          <t>Se ha consultado, por insumo, lo requerido, comprado, recibido, consumido y el saldo por comprar</t>
        </is>
      </c>
      <c r="N586" s="8" t="n"/>
      <c r="O586" s="23" t="n"/>
    </row>
    <row r="587" ht="30" customHeight="1">
      <c r="B587" s="32" t="inlineStr">
        <is>
          <t>Módulo: Reposición / Planificación</t>
        </is>
      </c>
      <c r="C587" s="8" t="n"/>
      <c r="D587" s="8" t="n"/>
      <c r="E587" s="23" t="n"/>
      <c r="G587" s="33" t="inlineStr">
        <is>
          <t>( x )</t>
        </is>
      </c>
      <c r="H587" s="34" t="inlineStr">
        <is>
          <t>L2 · Nombre corto en forma de acción — Cumple</t>
        </is>
      </c>
      <c r="I587" s="8" t="n"/>
      <c r="J587" s="23" t="n"/>
      <c r="L587" s="35" t="inlineStr">
        <is>
          <t>(    )</t>
        </is>
      </c>
      <c r="M587" s="34" t="inlineStr">
        <is>
          <t>Los porcentajes se han calculado sobre el requerimiento total</t>
        </is>
      </c>
      <c r="N587" s="8" t="n"/>
      <c r="O587" s="23" t="n"/>
    </row>
    <row r="588" ht="30" customHeight="1">
      <c r="B588" s="32" t="inlineStr">
        <is>
          <t>Responsable técnico: Web · Víctor Luján</t>
        </is>
      </c>
      <c r="C588" s="8" t="n"/>
      <c r="D588" s="8" t="n"/>
      <c r="E588" s="23" t="n"/>
      <c r="G588" s="33" t="inlineStr">
        <is>
          <t>( x )</t>
        </is>
      </c>
      <c r="H588" s="34" t="inlineStr">
        <is>
          <t>L3 · Criterios de aceptación escritos — Cumple</t>
        </is>
      </c>
      <c r="I588" s="8" t="n"/>
      <c r="J588" s="23" t="n"/>
      <c r="L588" s="35" t="inlineStr">
        <is>
          <t>(    )</t>
        </is>
      </c>
      <c r="M588" s="34" t="inlineStr">
        <is>
          <t>Todo se ha expresado en la unidad de compra</t>
        </is>
      </c>
      <c r="N588" s="8" t="n"/>
      <c r="O588" s="23" t="n"/>
    </row>
    <row r="589" ht="36" customHeight="1">
      <c r="B589" s="36" t="inlineStr">
        <is>
          <t>Depende de: HU-19, HU-35, HU-40</t>
        </is>
      </c>
      <c r="C589" s="37" t="n"/>
      <c r="D589" s="37" t="n"/>
      <c r="E589" s="38" t="n"/>
      <c r="G589" s="33" t="inlineStr">
        <is>
          <t>( x )</t>
        </is>
      </c>
      <c r="H589" s="34" t="inlineStr">
        <is>
          <t>L4 · Dependencias resueltas — Cumple</t>
        </is>
      </c>
      <c r="I589" s="8" t="n"/>
      <c r="J589" s="23" t="n"/>
      <c r="L589" s="36" t="inlineStr">
        <is>
          <t>Mitad técnica: Además, los diez criterios T1 a T10 de la hoja «3. Criterios DoR y DoD», sin excepción</t>
        </is>
      </c>
      <c r="M589" s="37" t="n"/>
      <c r="N589" s="37" t="n"/>
      <c r="O589" s="38" t="n"/>
    </row>
    <row r="590" ht="30" customHeight="1">
      <c r="G590" s="33" t="inlineStr">
        <is>
          <t>( x )</t>
        </is>
      </c>
      <c r="H590" s="34" t="inlineStr">
        <is>
          <t>L5 · Estimada por los Developers — Cumple</t>
        </is>
      </c>
      <c r="I590" s="8" t="n"/>
      <c r="J590" s="23" t="n"/>
    </row>
    <row r="591" ht="30" customHeight="1">
      <c r="G591" s="33" t="inlineStr">
        <is>
          <t>( x )</t>
        </is>
      </c>
      <c r="H591" s="34" t="inlineStr">
        <is>
          <t>L6 · Cabe en un sprint (8 puntos o menos) — Cumple</t>
        </is>
      </c>
      <c r="I591" s="8" t="n"/>
      <c r="J591" s="23" t="n"/>
    </row>
    <row r="592" ht="30" customHeight="1">
      <c r="G592" s="33" t="inlineStr">
        <is>
          <t>( x )</t>
        </is>
      </c>
      <c r="H592" s="34" t="inlineStr">
        <is>
          <t>L7 · Reglas de dominio identificadas — Cumple</t>
        </is>
      </c>
      <c r="I592" s="8" t="n"/>
      <c r="J592" s="23" t="n"/>
    </row>
    <row r="593" ht="30" customHeight="1">
      <c r="G593" s="33" t="inlineStr">
        <is>
          <t>( x )</t>
        </is>
      </c>
      <c r="H593" s="34" t="inlineStr">
        <is>
          <t>L8 · Datos de prueba disponibles — Cumple</t>
        </is>
      </c>
      <c r="I593" s="8" t="n"/>
      <c r="J593" s="23" t="n"/>
    </row>
    <row r="594" ht="30" customHeight="1">
      <c r="G594" s="33" t="inlineStr">
        <is>
          <t>( x )</t>
        </is>
      </c>
      <c r="H594" s="34" t="inlineStr">
        <is>
          <t>L9 · Responsable técnico asignado — Cumple</t>
        </is>
      </c>
      <c r="I594" s="8" t="n"/>
      <c r="J594" s="23" t="n"/>
    </row>
    <row r="595" ht="30" customHeight="1">
      <c r="G595" s="33" t="inlineStr">
        <is>
          <t>( x )</t>
        </is>
      </c>
      <c r="H595" s="34" t="inlineStr">
        <is>
          <t>L10 · Recursos identificados — Cumple: Víctor Luján + equipo de desarrollo y datos de prueba</t>
        </is>
      </c>
      <c r="I595" s="8" t="n"/>
      <c r="J595" s="23" t="n"/>
    </row>
    <row r="596" ht="30" customHeight="1">
      <c r="G596" s="33" t="inlineStr">
        <is>
          <t>( x )</t>
        </is>
      </c>
      <c r="H596" s="34" t="inlineStr">
        <is>
          <t>L11 · Requisitos técnicos de programación definidos — Cumple: React 18, TypeScript y Vite</t>
        </is>
      </c>
      <c r="I596" s="8" t="n"/>
      <c r="J596" s="23" t="n"/>
    </row>
    <row r="597" ht="30" customHeight="1">
      <c r="G597" s="33" t="inlineStr">
        <is>
          <t>( x )</t>
        </is>
      </c>
      <c r="H597" s="34" t="inlineStr">
        <is>
          <t>L12 · Accesos de red disponibles — Cumple: GitHub (repositorio privado), API y PostgreSQL en docker compose</t>
        </is>
      </c>
      <c r="I597" s="8" t="n"/>
      <c r="J597" s="23" t="n"/>
    </row>
    <row r="598" ht="36" customHeight="1">
      <c r="G598" s="39" t="inlineStr">
        <is>
          <t>Riesgos: Mezclar unidades del S10 y de compra · todo se expresa en unidad de compra</t>
        </is>
      </c>
      <c r="H598" s="8" t="n"/>
      <c r="I598" s="8" t="n"/>
      <c r="J598" s="23" t="n"/>
    </row>
    <row r="599" ht="36" customHeight="1">
      <c r="G599" s="32" t="inlineStr">
        <is>
          <t>Proveedores de servicio: Navegador · API en la nube (PostgreSQL gestionado, capa gratuita)</t>
        </is>
      </c>
      <c r="H599" s="8" t="n"/>
      <c r="I599" s="8" t="n"/>
      <c r="J599" s="23" t="n"/>
    </row>
    <row r="600" ht="36" customHeight="1">
      <c r="G600" s="36" t="inlineStr">
        <is>
          <t>Costos: 5 pts ≈ 10 horas-persona (1 punto ≈ 2 h) · servicios externos: S/ 0 (planes gratuitos)</t>
        </is>
      </c>
      <c r="H600" s="37" t="n"/>
      <c r="I600" s="37" t="n"/>
      <c r="J600" s="38" t="n"/>
    </row>
    <row r="603">
      <c r="B603" s="18" t="inlineStr">
        <is>
          <t>HU-24 · Consultar cuánto falta comprar</t>
        </is>
      </c>
    </row>
    <row r="604" ht="18" customHeight="1">
      <c r="B604" s="19" t="inlineStr">
        <is>
          <t>TARJETA 1 · Historia de usuario</t>
        </is>
      </c>
      <c r="C604" s="20" t="n"/>
      <c r="D604" s="20" t="n"/>
      <c r="E604" s="21" t="n"/>
      <c r="G604" s="19" t="inlineStr">
        <is>
          <t>TARJETA 2 · Definición de Listo</t>
        </is>
      </c>
      <c r="H604" s="20" t="n"/>
      <c r="I604" s="20" t="n"/>
      <c r="J604" s="21" t="n"/>
      <c r="L604" s="19" t="inlineStr">
        <is>
          <t>TARJETA 3 · Definición de Terminado</t>
        </is>
      </c>
      <c r="M604" s="20" t="n"/>
      <c r="N604" s="20" t="n"/>
      <c r="O604" s="21" t="n"/>
    </row>
    <row r="605" ht="28" customHeight="1">
      <c r="B605" s="22" t="inlineStr">
        <is>
          <t>La unidad con la que se planifica, se estima y se acepta el trabajo</t>
        </is>
      </c>
      <c r="C605" s="8" t="n"/>
      <c r="D605" s="8" t="n"/>
      <c r="E605" s="23" t="n"/>
      <c r="G605" s="22" t="inlineStr">
        <is>
          <t>El enfoque está en la consideración del equipo de desarrollo sobre si la historia está lista para un Sprint</t>
        </is>
      </c>
      <c r="H605" s="8" t="n"/>
      <c r="I605" s="8" t="n"/>
      <c r="J605" s="23" t="n"/>
      <c r="L605" s="22" t="inlineStr">
        <is>
          <t>El enfoque está en la aceptación del cliente cuando se le entregue el producto</t>
        </is>
      </c>
      <c r="M605" s="8" t="n"/>
      <c r="N605" s="8" t="n"/>
      <c r="O605" s="23" t="n"/>
    </row>
    <row r="606">
      <c r="B606" s="24" t="inlineStr">
        <is>
          <t>Historia de usuario</t>
        </is>
      </c>
      <c r="C606" s="8" t="n"/>
      <c r="D606" s="25" t="inlineStr">
        <is>
          <t>Prioridad</t>
        </is>
      </c>
      <c r="E606" s="26" t="inlineStr">
        <is>
          <t>Estimación</t>
        </is>
      </c>
      <c r="G606" s="24" t="inlineStr">
        <is>
          <t>Historia de usuario</t>
        </is>
      </c>
      <c r="H606" s="8" t="n"/>
      <c r="I606" s="25" t="inlineStr">
        <is>
          <t>Prioridad</t>
        </is>
      </c>
      <c r="J606" s="26" t="inlineStr">
        <is>
          <t>Estimación</t>
        </is>
      </c>
      <c r="L606" s="24" t="inlineStr">
        <is>
          <t>Historia de usuario</t>
        </is>
      </c>
      <c r="M606" s="8" t="n"/>
      <c r="N606" s="25" t="inlineStr">
        <is>
          <t>Prioridad</t>
        </is>
      </c>
      <c r="O606" s="26" t="inlineStr">
        <is>
          <t>Estimación</t>
        </is>
      </c>
    </row>
    <row r="607" ht="30" customHeight="1">
      <c r="B607" s="27" t="inlineStr">
        <is>
          <t>HU-24 · Consultar cuánto falta comprar</t>
        </is>
      </c>
      <c r="C607" s="8" t="n"/>
      <c r="D607" s="9" t="inlineStr">
        <is>
          <t>Alta</t>
        </is>
      </c>
      <c r="E607" s="28" t="inlineStr">
        <is>
          <t>3 pts</t>
        </is>
      </c>
      <c r="G607" s="27" t="inlineStr">
        <is>
          <t>HU-24 · Consultar cuánto falta comprar</t>
        </is>
      </c>
      <c r="H607" s="8" t="n"/>
      <c r="I607" s="9" t="inlineStr">
        <is>
          <t>Alta</t>
        </is>
      </c>
      <c r="J607" s="28" t="inlineStr">
        <is>
          <t>3 pts</t>
        </is>
      </c>
      <c r="L607" s="27" t="inlineStr">
        <is>
          <t>HU-24 · Consultar cuánto falta comprar</t>
        </is>
      </c>
      <c r="M607" s="8" t="n"/>
      <c r="N607" s="9" t="inlineStr">
        <is>
          <t>Alta</t>
        </is>
      </c>
      <c r="O607" s="28" t="inlineStr">
        <is>
          <t>3 pts</t>
        </is>
      </c>
    </row>
    <row r="608">
      <c r="B608" s="29" t="inlineStr">
        <is>
          <t>Descripción:</t>
        </is>
      </c>
      <c r="C608" s="8" t="n"/>
      <c r="D608" s="8" t="n"/>
      <c r="E608" s="23" t="n"/>
      <c r="G608" s="29" t="inlineStr">
        <is>
          <t>Descripción:</t>
        </is>
      </c>
      <c r="H608" s="8" t="n"/>
      <c r="I608" s="8" t="n"/>
      <c r="J608" s="23" t="n"/>
      <c r="L608" s="29" t="inlineStr">
        <is>
          <t>Descripción:</t>
        </is>
      </c>
      <c r="M608" s="8" t="n"/>
      <c r="N608" s="8" t="n"/>
      <c r="O608" s="23" t="n"/>
    </row>
    <row r="609" ht="28" customHeight="1">
      <c r="B609" s="30" t="inlineStr">
        <is>
          <t>Como residente de obra, quiero consultar cuánto falta comprar de cada insumo, para formular el siguiente requerimiento sobre una base cierta.</t>
        </is>
      </c>
      <c r="C609" s="8" t="n"/>
      <c r="D609" s="8" t="n"/>
      <c r="E609" s="23" t="n"/>
      <c r="G609" s="30" t="inlineStr">
        <is>
          <t>Como residente de obra, quiero consultar cuánto falta comprar de cada insumo, para formular el siguiente requerimiento sobre una base cierta.</t>
        </is>
      </c>
      <c r="H609" s="8" t="n"/>
      <c r="I609" s="8" t="n"/>
      <c r="J609" s="23" t="n"/>
      <c r="L609" s="30" t="inlineStr">
        <is>
          <t>Como residente de obra, quiero consultar cuánto falta comprar de cada insumo, para formular el siguiente requerimiento sobre una base cierta.</t>
        </is>
      </c>
      <c r="M609" s="8" t="n"/>
      <c r="N609" s="8" t="n"/>
      <c r="O609" s="23" t="n"/>
    </row>
    <row r="610" ht="28" customHeight="1">
      <c r="B610" s="31" t="n"/>
      <c r="C610" s="8" t="n"/>
      <c r="D610" s="8" t="n"/>
      <c r="E610" s="23" t="n"/>
      <c r="G610" s="31" t="n"/>
      <c r="H610" s="8" t="n"/>
      <c r="I610" s="8" t="n"/>
      <c r="J610" s="23" t="n"/>
      <c r="L610" s="31" t="n"/>
      <c r="M610" s="8" t="n"/>
      <c r="N610" s="8" t="n"/>
      <c r="O610" s="23" t="n"/>
    </row>
    <row r="611">
      <c r="B611" s="29" t="inlineStr">
        <is>
          <t>Ficha de la historia</t>
        </is>
      </c>
      <c r="C611" s="8" t="n"/>
      <c r="D611" s="8" t="n"/>
      <c r="E611" s="23" t="n"/>
      <c r="G611" s="29" t="inlineStr">
        <is>
          <t>Criterios de listo:</t>
        </is>
      </c>
      <c r="H611" s="8" t="n"/>
      <c r="I611" s="8" t="n"/>
      <c r="J611" s="23" t="n"/>
      <c r="L611" s="29" t="inlineStr">
        <is>
          <t>Condiciones finales (se marcan cuando el PO acepta la HU en la Review):</t>
        </is>
      </c>
      <c r="M611" s="8" t="n"/>
      <c r="N611" s="8" t="n"/>
      <c r="O611" s="23" t="n"/>
    </row>
    <row r="612" ht="30" customHeight="1">
      <c r="B612" s="32" t="inlineStr">
        <is>
          <t>Épica: E2. Planificar el requerimiento y la reposición de recursos</t>
        </is>
      </c>
      <c r="C612" s="8" t="n"/>
      <c r="D612" s="8" t="n"/>
      <c r="E612" s="23" t="n"/>
      <c r="G612" s="33" t="inlineStr">
        <is>
          <t>( x )</t>
        </is>
      </c>
      <c r="H612" s="34" t="inlineStr">
        <is>
          <t>L1 · Redactada en el formato acordado — Cumple</t>
        </is>
      </c>
      <c r="I612" s="8" t="n"/>
      <c r="J612" s="23" t="n"/>
      <c r="L612" s="35" t="inlineStr">
        <is>
          <t>(    )</t>
        </is>
      </c>
      <c r="M612" s="34" t="inlineStr">
        <is>
          <t>Se ha consultado lo que falta comprar de cada insumo (requerido − comprado)</t>
        </is>
      </c>
      <c r="N612" s="8" t="n"/>
      <c r="O612" s="23" t="n"/>
    </row>
    <row r="613" ht="30" customHeight="1">
      <c r="B613" s="32" t="inlineStr">
        <is>
          <t>Módulo: Reposición / Planificación</t>
        </is>
      </c>
      <c r="C613" s="8" t="n"/>
      <c r="D613" s="8" t="n"/>
      <c r="E613" s="23" t="n"/>
      <c r="G613" s="33" t="inlineStr">
        <is>
          <t>( x )</t>
        </is>
      </c>
      <c r="H613" s="34" t="inlineStr">
        <is>
          <t>L2 · Nombre corto en forma de acción — Cumple</t>
        </is>
      </c>
      <c r="I613" s="8" t="n"/>
      <c r="J613" s="23" t="n"/>
      <c r="L613" s="35" t="inlineStr">
        <is>
          <t>(    )</t>
        </is>
      </c>
      <c r="M613" s="34" t="inlineStr">
        <is>
          <t>La consulta se ha filtrado por fase y por insumo crítico</t>
        </is>
      </c>
      <c r="N613" s="8" t="n"/>
      <c r="O613" s="23" t="n"/>
    </row>
    <row r="614" ht="30" customHeight="1">
      <c r="B614" s="32" t="inlineStr">
        <is>
          <t>Responsable técnico: Web · Víctor Luján</t>
        </is>
      </c>
      <c r="C614" s="8" t="n"/>
      <c r="D614" s="8" t="n"/>
      <c r="E614" s="23" t="n"/>
      <c r="G614" s="33" t="inlineStr">
        <is>
          <t>( x )</t>
        </is>
      </c>
      <c r="H614" s="34" t="inlineStr">
        <is>
          <t>L3 · Criterios de aceptación escritos — Cumple</t>
        </is>
      </c>
      <c r="I614" s="8" t="n"/>
      <c r="J614" s="23" t="n"/>
      <c r="L614" s="35" t="inlineStr">
        <is>
          <t>(    )</t>
        </is>
      </c>
      <c r="M614" s="34" t="inlineStr">
        <is>
          <t>La consulta se ha exportado para armar el pedido</t>
        </is>
      </c>
      <c r="N614" s="8" t="n"/>
      <c r="O614" s="23" t="n"/>
    </row>
    <row r="615" ht="36" customHeight="1">
      <c r="B615" s="36" t="inlineStr">
        <is>
          <t>Depende de: HU-23</t>
        </is>
      </c>
      <c r="C615" s="37" t="n"/>
      <c r="D615" s="37" t="n"/>
      <c r="E615" s="38" t="n"/>
      <c r="G615" s="33" t="inlineStr">
        <is>
          <t>( x )</t>
        </is>
      </c>
      <c r="H615" s="34" t="inlineStr">
        <is>
          <t>L4 · Dependencias resueltas — Cumple</t>
        </is>
      </c>
      <c r="I615" s="8" t="n"/>
      <c r="J615" s="23" t="n"/>
      <c r="L615" s="36" t="inlineStr">
        <is>
          <t>Mitad técnica: Además, los diez criterios T1 a T10 de la hoja «3. Criterios DoR y DoD», sin excepción</t>
        </is>
      </c>
      <c r="M615" s="37" t="n"/>
      <c r="N615" s="37" t="n"/>
      <c r="O615" s="38" t="n"/>
    </row>
    <row r="616" ht="30" customHeight="1">
      <c r="G616" s="33" t="inlineStr">
        <is>
          <t>( x )</t>
        </is>
      </c>
      <c r="H616" s="34" t="inlineStr">
        <is>
          <t>L5 · Estimada por los Developers — Cumple</t>
        </is>
      </c>
      <c r="I616" s="8" t="n"/>
      <c r="J616" s="23" t="n"/>
    </row>
    <row r="617" ht="30" customHeight="1">
      <c r="G617" s="33" t="inlineStr">
        <is>
          <t>( x )</t>
        </is>
      </c>
      <c r="H617" s="34" t="inlineStr">
        <is>
          <t>L6 · Cabe en un sprint (8 puntos o menos) — Cumple</t>
        </is>
      </c>
      <c r="I617" s="8" t="n"/>
      <c r="J617" s="23" t="n"/>
    </row>
    <row r="618" ht="30" customHeight="1">
      <c r="G618" s="33" t="inlineStr">
        <is>
          <t>( x )</t>
        </is>
      </c>
      <c r="H618" s="34" t="inlineStr">
        <is>
          <t>L7 · Reglas de dominio identificadas — Cumple</t>
        </is>
      </c>
      <c r="I618" s="8" t="n"/>
      <c r="J618" s="23" t="n"/>
    </row>
    <row r="619" ht="30" customHeight="1">
      <c r="G619" s="33" t="inlineStr">
        <is>
          <t>( x )</t>
        </is>
      </c>
      <c r="H619" s="34" t="inlineStr">
        <is>
          <t>L8 · Datos de prueba disponibles — Cumple</t>
        </is>
      </c>
      <c r="I619" s="8" t="n"/>
      <c r="J619" s="23" t="n"/>
    </row>
    <row r="620" ht="30" customHeight="1">
      <c r="G620" s="33" t="inlineStr">
        <is>
          <t>( x )</t>
        </is>
      </c>
      <c r="H620" s="34" t="inlineStr">
        <is>
          <t>L9 · Responsable técnico asignado — Cumple</t>
        </is>
      </c>
      <c r="I620" s="8" t="n"/>
      <c r="J620" s="23" t="n"/>
    </row>
    <row r="621" ht="30" customHeight="1">
      <c r="G621" s="33" t="inlineStr">
        <is>
          <t>( x )</t>
        </is>
      </c>
      <c r="H621" s="34" t="inlineStr">
        <is>
          <t>L10 · Recursos identificados — Cumple: Víctor Luján + equipo de desarrollo y datos de prueba</t>
        </is>
      </c>
      <c r="I621" s="8" t="n"/>
      <c r="J621" s="23" t="n"/>
    </row>
    <row r="622" ht="30" customHeight="1">
      <c r="G622" s="33" t="inlineStr">
        <is>
          <t>( x )</t>
        </is>
      </c>
      <c r="H622" s="34" t="inlineStr">
        <is>
          <t>L11 · Requisitos técnicos de programación definidos — Cumple: React 18, TypeScript y Vite</t>
        </is>
      </c>
      <c r="I622" s="8" t="n"/>
      <c r="J622" s="23" t="n"/>
    </row>
    <row r="623" ht="30" customHeight="1">
      <c r="G623" s="33" t="inlineStr">
        <is>
          <t>( x )</t>
        </is>
      </c>
      <c r="H623" s="34" t="inlineStr">
        <is>
          <t>L12 · Accesos de red disponibles — Cumple: GitHub (repositorio privado), API y PostgreSQL en docker compose</t>
        </is>
      </c>
      <c r="I623" s="8" t="n"/>
      <c r="J623" s="23" t="n"/>
    </row>
    <row r="624" ht="36" customHeight="1">
      <c r="G624" s="39" t="inlineStr">
        <is>
          <t>Riesgos: Faltante negativo confunde al residente · nunca menor que cero</t>
        </is>
      </c>
      <c r="H624" s="8" t="n"/>
      <c r="I624" s="8" t="n"/>
      <c r="J624" s="23" t="n"/>
    </row>
    <row r="625" ht="36" customHeight="1">
      <c r="G625" s="32" t="inlineStr">
        <is>
          <t>Proveedores de servicio: Navegador · API en la nube (PostgreSQL gestionado, capa gratuita)</t>
        </is>
      </c>
      <c r="H625" s="8" t="n"/>
      <c r="I625" s="8" t="n"/>
      <c r="J625" s="23" t="n"/>
    </row>
    <row r="626" ht="36" customHeight="1">
      <c r="G626" s="36" t="inlineStr">
        <is>
          <t>Costos: 3 pts ≈ 6 horas-persona (1 punto ≈ 2 h) · servicios externos: S/ 0 (planes gratuitos)</t>
        </is>
      </c>
      <c r="H626" s="37" t="n"/>
      <c r="I626" s="37" t="n"/>
      <c r="J626" s="38" t="n"/>
    </row>
    <row r="629">
      <c r="B629" s="18" t="inlineStr">
        <is>
          <t>HU-25 · Definir punto de reposición</t>
        </is>
      </c>
    </row>
    <row r="630" ht="18" customHeight="1">
      <c r="B630" s="19" t="inlineStr">
        <is>
          <t>TARJETA 1 · Historia de usuario</t>
        </is>
      </c>
      <c r="C630" s="20" t="n"/>
      <c r="D630" s="20" t="n"/>
      <c r="E630" s="21" t="n"/>
      <c r="G630" s="19" t="inlineStr">
        <is>
          <t>TARJETA 2 · Definición de Listo</t>
        </is>
      </c>
      <c r="H630" s="20" t="n"/>
      <c r="I630" s="20" t="n"/>
      <c r="J630" s="21" t="n"/>
      <c r="L630" s="19" t="inlineStr">
        <is>
          <t>TARJETA 3 · Definición de Terminado</t>
        </is>
      </c>
      <c r="M630" s="20" t="n"/>
      <c r="N630" s="20" t="n"/>
      <c r="O630" s="21" t="n"/>
    </row>
    <row r="631" ht="28" customHeight="1">
      <c r="B631" s="22" t="inlineStr">
        <is>
          <t>La unidad con la que se planifica, se estima y se acepta el trabajo</t>
        </is>
      </c>
      <c r="C631" s="8" t="n"/>
      <c r="D631" s="8" t="n"/>
      <c r="E631" s="23" t="n"/>
      <c r="G631" s="22" t="inlineStr">
        <is>
          <t>El enfoque está en la consideración del equipo de desarrollo sobre si la historia está lista para un Sprint</t>
        </is>
      </c>
      <c r="H631" s="8" t="n"/>
      <c r="I631" s="8" t="n"/>
      <c r="J631" s="23" t="n"/>
      <c r="L631" s="22" t="inlineStr">
        <is>
          <t>El enfoque está en la aceptación del cliente cuando se le entregue el producto</t>
        </is>
      </c>
      <c r="M631" s="8" t="n"/>
      <c r="N631" s="8" t="n"/>
      <c r="O631" s="23" t="n"/>
    </row>
    <row r="632">
      <c r="B632" s="24" t="inlineStr">
        <is>
          <t>Historia de usuario</t>
        </is>
      </c>
      <c r="C632" s="8" t="n"/>
      <c r="D632" s="25" t="inlineStr">
        <is>
          <t>Prioridad</t>
        </is>
      </c>
      <c r="E632" s="26" t="inlineStr">
        <is>
          <t>Estimación</t>
        </is>
      </c>
      <c r="G632" s="24" t="inlineStr">
        <is>
          <t>Historia de usuario</t>
        </is>
      </c>
      <c r="H632" s="8" t="n"/>
      <c r="I632" s="25" t="inlineStr">
        <is>
          <t>Prioridad</t>
        </is>
      </c>
      <c r="J632" s="26" t="inlineStr">
        <is>
          <t>Estimación</t>
        </is>
      </c>
      <c r="L632" s="24" t="inlineStr">
        <is>
          <t>Historia de usuario</t>
        </is>
      </c>
      <c r="M632" s="8" t="n"/>
      <c r="N632" s="25" t="inlineStr">
        <is>
          <t>Prioridad</t>
        </is>
      </c>
      <c r="O632" s="26" t="inlineStr">
        <is>
          <t>Estimación</t>
        </is>
      </c>
    </row>
    <row r="633" ht="30" customHeight="1">
      <c r="B633" s="27" t="inlineStr">
        <is>
          <t>HU-25 · Definir punto de reposición</t>
        </is>
      </c>
      <c r="C633" s="8" t="n"/>
      <c r="D633" s="9" t="inlineStr">
        <is>
          <t>Crítica</t>
        </is>
      </c>
      <c r="E633" s="28" t="inlineStr">
        <is>
          <t>5 pts</t>
        </is>
      </c>
      <c r="G633" s="27" t="inlineStr">
        <is>
          <t>HU-25 · Definir punto de reposición</t>
        </is>
      </c>
      <c r="H633" s="8" t="n"/>
      <c r="I633" s="9" t="inlineStr">
        <is>
          <t>Crítica</t>
        </is>
      </c>
      <c r="J633" s="28" t="inlineStr">
        <is>
          <t>5 pts</t>
        </is>
      </c>
      <c r="L633" s="27" t="inlineStr">
        <is>
          <t>HU-25 · Definir punto de reposición</t>
        </is>
      </c>
      <c r="M633" s="8" t="n"/>
      <c r="N633" s="9" t="inlineStr">
        <is>
          <t>Crítica</t>
        </is>
      </c>
      <c r="O633" s="28" t="inlineStr">
        <is>
          <t>5 pts</t>
        </is>
      </c>
    </row>
    <row r="634">
      <c r="B634" s="29" t="inlineStr">
        <is>
          <t>Descripción:</t>
        </is>
      </c>
      <c r="C634" s="8" t="n"/>
      <c r="D634" s="8" t="n"/>
      <c r="E634" s="23" t="n"/>
      <c r="G634" s="29" t="inlineStr">
        <is>
          <t>Descripción:</t>
        </is>
      </c>
      <c r="H634" s="8" t="n"/>
      <c r="I634" s="8" t="n"/>
      <c r="J634" s="23" t="n"/>
      <c r="L634" s="29" t="inlineStr">
        <is>
          <t>Descripción:</t>
        </is>
      </c>
      <c r="M634" s="8" t="n"/>
      <c r="N634" s="8" t="n"/>
      <c r="O634" s="23" t="n"/>
    </row>
    <row r="635" ht="28" customHeight="1">
      <c r="B635" s="30" t="inlineStr">
        <is>
          <t>Como residente de obra, quiero definir para cada insumo su stock de seguridad y su punto de reposición, para saber cuándo reponer y con cuánto colchón frente a la demora del proveedor.</t>
        </is>
      </c>
      <c r="C635" s="8" t="n"/>
      <c r="D635" s="8" t="n"/>
      <c r="E635" s="23" t="n"/>
      <c r="G635" s="30" t="inlineStr">
        <is>
          <t>Como residente de obra, quiero definir para cada insumo su stock de seguridad y su punto de reposición, para saber cuándo reponer y con cuánto colchón frente a la demora del proveedor.</t>
        </is>
      </c>
      <c r="H635" s="8" t="n"/>
      <c r="I635" s="8" t="n"/>
      <c r="J635" s="23" t="n"/>
      <c r="L635" s="30" t="inlineStr">
        <is>
          <t>Como residente de obra, quiero definir para cada insumo su stock de seguridad y su punto de reposición, para saber cuándo reponer y con cuánto colchón frente a la demora del proveedor.</t>
        </is>
      </c>
      <c r="M635" s="8" t="n"/>
      <c r="N635" s="8" t="n"/>
      <c r="O635" s="23" t="n"/>
    </row>
    <row r="636" ht="28" customHeight="1">
      <c r="B636" s="31" t="n"/>
      <c r="C636" s="8" t="n"/>
      <c r="D636" s="8" t="n"/>
      <c r="E636" s="23" t="n"/>
      <c r="G636" s="31" t="n"/>
      <c r="H636" s="8" t="n"/>
      <c r="I636" s="8" t="n"/>
      <c r="J636" s="23" t="n"/>
      <c r="L636" s="31" t="n"/>
      <c r="M636" s="8" t="n"/>
      <c r="N636" s="8" t="n"/>
      <c r="O636" s="23" t="n"/>
    </row>
    <row r="637">
      <c r="B637" s="29" t="inlineStr">
        <is>
          <t>Ficha de la historia</t>
        </is>
      </c>
      <c r="C637" s="8" t="n"/>
      <c r="D637" s="8" t="n"/>
      <c r="E637" s="23" t="n"/>
      <c r="G637" s="29" t="inlineStr">
        <is>
          <t>Criterios de listo:</t>
        </is>
      </c>
      <c r="H637" s="8" t="n"/>
      <c r="I637" s="8" t="n"/>
      <c r="J637" s="23" t="n"/>
      <c r="L637" s="29" t="inlineStr">
        <is>
          <t>Condiciones finales (se marcan cuando el PO acepta la HU en la Review):</t>
        </is>
      </c>
      <c r="M637" s="8" t="n"/>
      <c r="N637" s="8" t="n"/>
      <c r="O637" s="23" t="n"/>
    </row>
    <row r="638" ht="30" customHeight="1">
      <c r="B638" s="32" t="inlineStr">
        <is>
          <t>Épica: E2. Planificar el requerimiento y la reposición de recursos</t>
        </is>
      </c>
      <c r="C638" s="8" t="n"/>
      <c r="D638" s="8" t="n"/>
      <c r="E638" s="23" t="n"/>
      <c r="G638" s="33" t="inlineStr">
        <is>
          <t>( x )</t>
        </is>
      </c>
      <c r="H638" s="34" t="inlineStr">
        <is>
          <t>L1 · Redactada en el formato acordado — Cumple</t>
        </is>
      </c>
      <c r="I638" s="8" t="n"/>
      <c r="J638" s="23" t="n"/>
      <c r="L638" s="35" t="inlineStr">
        <is>
          <t>(    )</t>
        </is>
      </c>
      <c r="M638" s="34" t="inlineStr">
        <is>
          <t>El stock de seguridad y el punto de reposición de cada insumo se han registrado en unidad de compra</t>
        </is>
      </c>
      <c r="N638" s="8" t="n"/>
      <c r="O638" s="23" t="n"/>
    </row>
    <row r="639" ht="30" customHeight="1">
      <c r="B639" s="32" t="inlineStr">
        <is>
          <t>Módulo: Reposición / Planificación</t>
        </is>
      </c>
      <c r="C639" s="8" t="n"/>
      <c r="D639" s="8" t="n"/>
      <c r="E639" s="23" t="n"/>
      <c r="G639" s="33" t="inlineStr">
        <is>
          <t>( x )</t>
        </is>
      </c>
      <c r="H639" s="34" t="inlineStr">
        <is>
          <t>L2 · Nombre corto en forma de acción — Cumple</t>
        </is>
      </c>
      <c r="I639" s="8" t="n"/>
      <c r="J639" s="23" t="n"/>
      <c r="L639" s="35" t="inlineStr">
        <is>
          <t>(    )</t>
        </is>
      </c>
      <c r="M639" s="34" t="inlineStr">
        <is>
          <t>Un cambio durante la obra ha quedado en el histórico</t>
        </is>
      </c>
      <c r="N639" s="8" t="n"/>
      <c r="O639" s="23" t="n"/>
    </row>
    <row r="640" ht="30" customHeight="1">
      <c r="B640" s="32" t="inlineStr">
        <is>
          <t>Responsable técnico: Backend · Henry Ticona</t>
        </is>
      </c>
      <c r="C640" s="8" t="n"/>
      <c r="D640" s="8" t="n"/>
      <c r="E640" s="23" t="n"/>
      <c r="G640" s="33" t="inlineStr">
        <is>
          <t>( x )</t>
        </is>
      </c>
      <c r="H640" s="34" t="inlineStr">
        <is>
          <t>L3 · Criterios de aceptación escritos — Cumple</t>
        </is>
      </c>
      <c r="I640" s="8" t="n"/>
      <c r="J640" s="23" t="n"/>
      <c r="L640" s="35" t="inlineStr">
        <is>
          <t>(    )</t>
        </is>
      </c>
      <c r="M640" s="34" t="inlineStr">
        <is>
          <t>Los conceptos se han mostrado por separado, nunca como un solo «mínimo»</t>
        </is>
      </c>
      <c r="N640" s="8" t="n"/>
      <c r="O640" s="23" t="n"/>
    </row>
    <row r="641" ht="36" customHeight="1">
      <c r="B641" s="36" t="inlineStr">
        <is>
          <t>Depende de: HU-08</t>
        </is>
      </c>
      <c r="C641" s="37" t="n"/>
      <c r="D641" s="37" t="n"/>
      <c r="E641" s="38" t="n"/>
      <c r="G641" s="33" t="inlineStr">
        <is>
          <t>( x )</t>
        </is>
      </c>
      <c r="H641" s="34" t="inlineStr">
        <is>
          <t>L4 · Dependencias resueltas — Cumple</t>
        </is>
      </c>
      <c r="I641" s="8" t="n"/>
      <c r="J641" s="23" t="n"/>
      <c r="L641" s="36" t="inlineStr">
        <is>
          <t>Mitad técnica: Además, los diez criterios T1 a T10 de la hoja «3. Criterios DoR y DoD», sin excepción</t>
        </is>
      </c>
      <c r="M641" s="37" t="n"/>
      <c r="N641" s="37" t="n"/>
      <c r="O641" s="38" t="n"/>
    </row>
    <row r="642" ht="30" customHeight="1">
      <c r="G642" s="33" t="inlineStr">
        <is>
          <t>( x )</t>
        </is>
      </c>
      <c r="H642" s="34" t="inlineStr">
        <is>
          <t>L5 · Estimada por los Developers — Cumple</t>
        </is>
      </c>
      <c r="I642" s="8" t="n"/>
      <c r="J642" s="23" t="n"/>
    </row>
    <row r="643" ht="30" customHeight="1">
      <c r="G643" s="33" t="inlineStr">
        <is>
          <t>( x )</t>
        </is>
      </c>
      <c r="H643" s="34" t="inlineStr">
        <is>
          <t>L6 · Cabe en un sprint (8 puntos o menos) — Cumple</t>
        </is>
      </c>
      <c r="I643" s="8" t="n"/>
      <c r="J643" s="23" t="n"/>
    </row>
    <row r="644" ht="30" customHeight="1">
      <c r="G644" s="33" t="inlineStr">
        <is>
          <t>( x )</t>
        </is>
      </c>
      <c r="H644" s="34" t="inlineStr">
        <is>
          <t>L7 · Reglas de dominio identificadas — Cumple</t>
        </is>
      </c>
      <c r="I644" s="8" t="n"/>
      <c r="J644" s="23" t="n"/>
    </row>
    <row r="645" ht="30" customHeight="1">
      <c r="G645" s="33" t="inlineStr">
        <is>
          <t>( x )</t>
        </is>
      </c>
      <c r="H645" s="34" t="inlineStr">
        <is>
          <t>L8 · Datos de prueba disponibles — Cumple</t>
        </is>
      </c>
      <c r="I645" s="8" t="n"/>
      <c r="J645" s="23" t="n"/>
    </row>
    <row r="646" ht="30" customHeight="1">
      <c r="G646" s="33" t="inlineStr">
        <is>
          <t>( x )</t>
        </is>
      </c>
      <c r="H646" s="34" t="inlineStr">
        <is>
          <t>L9 · Responsable técnico asignado — Cumple</t>
        </is>
      </c>
      <c r="I646" s="8" t="n"/>
      <c r="J646" s="23" t="n"/>
    </row>
    <row r="647" ht="30" customHeight="1">
      <c r="G647" s="33" t="inlineStr">
        <is>
          <t>( x )</t>
        </is>
      </c>
      <c r="H647" s="34" t="inlineStr">
        <is>
          <t>L10 · Recursos identificados — Cumple: Henry Ticona + equipo de desarrollo y datos de prueba</t>
        </is>
      </c>
      <c r="I647" s="8" t="n"/>
      <c r="J647" s="23" t="n"/>
    </row>
    <row r="648" ht="30" customHeight="1">
      <c r="G648" s="33" t="inlineStr">
        <is>
          <t>( x )</t>
        </is>
      </c>
      <c r="H648" s="34" t="inlineStr">
        <is>
          <t>L11 · Requisitos técnicos de programación definidos — Cumple: FastAPI, SQLAlchemy 2, Alembic y PostgreSQL 16</t>
        </is>
      </c>
      <c r="I648" s="8" t="n"/>
      <c r="J648" s="23" t="n"/>
    </row>
    <row r="649" ht="30" customHeight="1">
      <c r="G649" s="33" t="inlineStr">
        <is>
          <t>( x )</t>
        </is>
      </c>
      <c r="H649" s="34" t="inlineStr">
        <is>
          <t>L12 · Accesos de red disponibles — Cumple: GitHub (repositorio privado), API y PostgreSQL en docker compose</t>
        </is>
      </c>
      <c r="I649" s="8" t="n"/>
      <c r="J649" s="23" t="n"/>
    </row>
    <row r="650" ht="36" customHeight="1">
      <c r="G650" s="39" t="inlineStr">
        <is>
          <t>Riesgos: Punto mal calibrado: avisos de más o de menos · el criterio queda visible y editable</t>
        </is>
      </c>
      <c r="H650" s="8" t="n"/>
      <c r="I650" s="8" t="n"/>
      <c r="J650" s="23" t="n"/>
    </row>
    <row r="651" ht="36" customHeight="1">
      <c r="G651" s="32" t="inlineStr">
        <is>
          <t>Proveedores de servicio: PostgreSQL gestionado en la nube (capa gratuita) · GitHub</t>
        </is>
      </c>
      <c r="H651" s="8" t="n"/>
      <c r="I651" s="8" t="n"/>
      <c r="J651" s="23" t="n"/>
    </row>
    <row r="652" ht="36" customHeight="1">
      <c r="G652" s="36" t="inlineStr">
        <is>
          <t>Costos: 5 pts ≈ 10 horas-persona (1 punto ≈ 2 h) · servicios externos: S/ 0 (planes gratuitos)</t>
        </is>
      </c>
      <c r="H652" s="37" t="n"/>
      <c r="I652" s="37" t="n"/>
      <c r="J652" s="38" t="n"/>
    </row>
    <row r="655">
      <c r="B655" s="18" t="inlineStr">
        <is>
          <t>HU-26 · Avisar cuándo reponer</t>
        </is>
      </c>
    </row>
    <row r="656" ht="18" customHeight="1">
      <c r="B656" s="19" t="inlineStr">
        <is>
          <t>TARJETA 1 · Historia de usuario</t>
        </is>
      </c>
      <c r="C656" s="20" t="n"/>
      <c r="D656" s="20" t="n"/>
      <c r="E656" s="21" t="n"/>
      <c r="G656" s="19" t="inlineStr">
        <is>
          <t>TARJETA 2 · Definición de Listo</t>
        </is>
      </c>
      <c r="H656" s="20" t="n"/>
      <c r="I656" s="20" t="n"/>
      <c r="J656" s="21" t="n"/>
      <c r="L656" s="19" t="inlineStr">
        <is>
          <t>TARJETA 3 · Definición de Terminado</t>
        </is>
      </c>
      <c r="M656" s="20" t="n"/>
      <c r="N656" s="20" t="n"/>
      <c r="O656" s="21" t="n"/>
    </row>
    <row r="657" ht="28" customHeight="1">
      <c r="B657" s="22" t="inlineStr">
        <is>
          <t>La unidad con la que se planifica, se estima y se acepta el trabajo</t>
        </is>
      </c>
      <c r="C657" s="8" t="n"/>
      <c r="D657" s="8" t="n"/>
      <c r="E657" s="23" t="n"/>
      <c r="G657" s="22" t="inlineStr">
        <is>
          <t>El enfoque está en la consideración del equipo de desarrollo sobre si la historia está lista para un Sprint</t>
        </is>
      </c>
      <c r="H657" s="8" t="n"/>
      <c r="I657" s="8" t="n"/>
      <c r="J657" s="23" t="n"/>
      <c r="L657" s="22" t="inlineStr">
        <is>
          <t>El enfoque está en la aceptación del cliente cuando se le entregue el producto</t>
        </is>
      </c>
      <c r="M657" s="8" t="n"/>
      <c r="N657" s="8" t="n"/>
      <c r="O657" s="23" t="n"/>
    </row>
    <row r="658">
      <c r="B658" s="24" t="inlineStr">
        <is>
          <t>Historia de usuario</t>
        </is>
      </c>
      <c r="C658" s="8" t="n"/>
      <c r="D658" s="25" t="inlineStr">
        <is>
          <t>Prioridad</t>
        </is>
      </c>
      <c r="E658" s="26" t="inlineStr">
        <is>
          <t>Estimación</t>
        </is>
      </c>
      <c r="G658" s="24" t="inlineStr">
        <is>
          <t>Historia de usuario</t>
        </is>
      </c>
      <c r="H658" s="8" t="n"/>
      <c r="I658" s="25" t="inlineStr">
        <is>
          <t>Prioridad</t>
        </is>
      </c>
      <c r="J658" s="26" t="inlineStr">
        <is>
          <t>Estimación</t>
        </is>
      </c>
      <c r="L658" s="24" t="inlineStr">
        <is>
          <t>Historia de usuario</t>
        </is>
      </c>
      <c r="M658" s="8" t="n"/>
      <c r="N658" s="25" t="inlineStr">
        <is>
          <t>Prioridad</t>
        </is>
      </c>
      <c r="O658" s="26" t="inlineStr">
        <is>
          <t>Estimación</t>
        </is>
      </c>
    </row>
    <row r="659" ht="30" customHeight="1">
      <c r="B659" s="27" t="inlineStr">
        <is>
          <t>HU-26 · Avisar cuándo reponer</t>
        </is>
      </c>
      <c r="C659" s="8" t="n"/>
      <c r="D659" s="9" t="inlineStr">
        <is>
          <t>Crítica</t>
        </is>
      </c>
      <c r="E659" s="28" t="inlineStr">
        <is>
          <t>5 pts</t>
        </is>
      </c>
      <c r="G659" s="27" t="inlineStr">
        <is>
          <t>HU-26 · Avisar cuándo reponer</t>
        </is>
      </c>
      <c r="H659" s="8" t="n"/>
      <c r="I659" s="9" t="inlineStr">
        <is>
          <t>Crítica</t>
        </is>
      </c>
      <c r="J659" s="28" t="inlineStr">
        <is>
          <t>5 pts</t>
        </is>
      </c>
      <c r="L659" s="27" t="inlineStr">
        <is>
          <t>HU-26 · Avisar cuándo reponer</t>
        </is>
      </c>
      <c r="M659" s="8" t="n"/>
      <c r="N659" s="9" t="inlineStr">
        <is>
          <t>Crítica</t>
        </is>
      </c>
      <c r="O659" s="28" t="inlineStr">
        <is>
          <t>5 pts</t>
        </is>
      </c>
    </row>
    <row r="660">
      <c r="B660" s="29" t="inlineStr">
        <is>
          <t>Descripción:</t>
        </is>
      </c>
      <c r="C660" s="8" t="n"/>
      <c r="D660" s="8" t="n"/>
      <c r="E660" s="23" t="n"/>
      <c r="G660" s="29" t="inlineStr">
        <is>
          <t>Descripción:</t>
        </is>
      </c>
      <c r="H660" s="8" t="n"/>
      <c r="I660" s="8" t="n"/>
      <c r="J660" s="23" t="n"/>
      <c r="L660" s="29" t="inlineStr">
        <is>
          <t>Descripción:</t>
        </is>
      </c>
      <c r="M660" s="8" t="n"/>
      <c r="N660" s="8" t="n"/>
      <c r="O660" s="23" t="n"/>
    </row>
    <row r="661" ht="28" customHeight="1">
      <c r="B661" s="30" t="inlineStr">
        <is>
          <t>Como residente de obra, quiero recibir un aviso cuando un insumo baje de su punto de reposición, para reponer antes de que la obra se detenga.</t>
        </is>
      </c>
      <c r="C661" s="8" t="n"/>
      <c r="D661" s="8" t="n"/>
      <c r="E661" s="23" t="n"/>
      <c r="G661" s="30" t="inlineStr">
        <is>
          <t>Como residente de obra, quiero recibir un aviso cuando un insumo baje de su punto de reposición, para reponer antes de que la obra se detenga.</t>
        </is>
      </c>
      <c r="H661" s="8" t="n"/>
      <c r="I661" s="8" t="n"/>
      <c r="J661" s="23" t="n"/>
      <c r="L661" s="30" t="inlineStr">
        <is>
          <t>Como residente de obra, quiero recibir un aviso cuando un insumo baje de su punto de reposición, para reponer antes de que la obra se detenga.</t>
        </is>
      </c>
      <c r="M661" s="8" t="n"/>
      <c r="N661" s="8" t="n"/>
      <c r="O661" s="23" t="n"/>
    </row>
    <row r="662" ht="28" customHeight="1">
      <c r="B662" s="31" t="n"/>
      <c r="C662" s="8" t="n"/>
      <c r="D662" s="8" t="n"/>
      <c r="E662" s="23" t="n"/>
      <c r="G662" s="31" t="n"/>
      <c r="H662" s="8" t="n"/>
      <c r="I662" s="8" t="n"/>
      <c r="J662" s="23" t="n"/>
      <c r="L662" s="31" t="n"/>
      <c r="M662" s="8" t="n"/>
      <c r="N662" s="8" t="n"/>
      <c r="O662" s="23" t="n"/>
    </row>
    <row r="663">
      <c r="B663" s="29" t="inlineStr">
        <is>
          <t>Ficha de la historia</t>
        </is>
      </c>
      <c r="C663" s="8" t="n"/>
      <c r="D663" s="8" t="n"/>
      <c r="E663" s="23" t="n"/>
      <c r="G663" s="29" t="inlineStr">
        <is>
          <t>Criterios de listo:</t>
        </is>
      </c>
      <c r="H663" s="8" t="n"/>
      <c r="I663" s="8" t="n"/>
      <c r="J663" s="23" t="n"/>
      <c r="L663" s="29" t="inlineStr">
        <is>
          <t>Condiciones finales (se marcan cuando el PO acepta la HU en la Review):</t>
        </is>
      </c>
      <c r="M663" s="8" t="n"/>
      <c r="N663" s="8" t="n"/>
      <c r="O663" s="23" t="n"/>
    </row>
    <row r="664" ht="30" customHeight="1">
      <c r="B664" s="32" t="inlineStr">
        <is>
          <t>Épica: E2. Planificar el requerimiento y la reposición de recursos</t>
        </is>
      </c>
      <c r="C664" s="8" t="n"/>
      <c r="D664" s="8" t="n"/>
      <c r="E664" s="23" t="n"/>
      <c r="G664" s="33" t="inlineStr">
        <is>
          <t>( x )</t>
        </is>
      </c>
      <c r="H664" s="34" t="inlineStr">
        <is>
          <t>L1 · Redactada en el formato acordado — Cumple</t>
        </is>
      </c>
      <c r="I664" s="8" t="n"/>
      <c r="J664" s="23" t="n"/>
      <c r="L664" s="35" t="inlineStr">
        <is>
          <t>(    )</t>
        </is>
      </c>
      <c r="M664" s="34" t="inlineStr">
        <is>
          <t>Cuando el saldo bajó del punto de reposición, el aviso se ha generado solo</t>
        </is>
      </c>
      <c r="N664" s="8" t="n"/>
      <c r="O664" s="23" t="n"/>
    </row>
    <row r="665" ht="30" customHeight="1">
      <c r="B665" s="32" t="inlineStr">
        <is>
          <t>Módulo: Reposición / Planificación</t>
        </is>
      </c>
      <c r="C665" s="8" t="n"/>
      <c r="D665" s="8" t="n"/>
      <c r="E665" s="23" t="n"/>
      <c r="G665" s="33" t="inlineStr">
        <is>
          <t>( x )</t>
        </is>
      </c>
      <c r="H665" s="34" t="inlineStr">
        <is>
          <t>L2 · Nombre corto en forma de acción — Cumple</t>
        </is>
      </c>
      <c r="I665" s="8" t="n"/>
      <c r="J665" s="23" t="n"/>
      <c r="L665" s="35" t="inlineStr">
        <is>
          <t>(    )</t>
        </is>
      </c>
      <c r="M665" s="34" t="inlineStr">
        <is>
          <t>El aviso ha indicado insumo, saldo, punto y cuánto falta comprar</t>
        </is>
      </c>
      <c r="N665" s="8" t="n"/>
      <c r="O665" s="23" t="n"/>
    </row>
    <row r="666" ht="30" customHeight="1">
      <c r="B666" s="32" t="inlineStr">
        <is>
          <t>Responsable técnico: Backend · Henry Ticona</t>
        </is>
      </c>
      <c r="C666" s="8" t="n"/>
      <c r="D666" s="8" t="n"/>
      <c r="E666" s="23" t="n"/>
      <c r="G666" s="33" t="inlineStr">
        <is>
          <t>( x )</t>
        </is>
      </c>
      <c r="H666" s="34" t="inlineStr">
        <is>
          <t>L3 · Criterios de aceptación escritos — Cumple</t>
        </is>
      </c>
      <c r="I666" s="8" t="n"/>
      <c r="J666" s="23" t="n"/>
      <c r="L666" s="35" t="inlineStr">
        <is>
          <t>(    )</t>
        </is>
      </c>
      <c r="M666" s="34" t="inlineStr">
        <is>
          <t>No se han repetido avisos del mismo insumo mientras siguió bajo el punto</t>
        </is>
      </c>
      <c r="N666" s="8" t="n"/>
      <c r="O666" s="23" t="n"/>
    </row>
    <row r="667" ht="30" customHeight="1">
      <c r="B667" s="36" t="inlineStr">
        <is>
          <t>Depende de: HU-25, HU-43</t>
        </is>
      </c>
      <c r="C667" s="37" t="n"/>
      <c r="D667" s="37" t="n"/>
      <c r="E667" s="38" t="n"/>
      <c r="G667" s="33" t="inlineStr">
        <is>
          <t>( x )</t>
        </is>
      </c>
      <c r="H667" s="34" t="inlineStr">
        <is>
          <t>L4 · Dependencias resueltas — Cumple</t>
        </is>
      </c>
      <c r="I667" s="8" t="n"/>
      <c r="J667" s="23" t="n"/>
      <c r="L667" s="35" t="inlineStr">
        <is>
          <t>(    )</t>
        </is>
      </c>
      <c r="M667" s="34" t="inlineStr">
        <is>
          <t>Al registrarse una compra de ese insumo, el aviso se ha marcado como atendido</t>
        </is>
      </c>
      <c r="N667" s="8" t="n"/>
      <c r="O667" s="23" t="n"/>
    </row>
    <row r="668" ht="36" customHeight="1">
      <c r="G668" s="33" t="inlineStr">
        <is>
          <t>( x )</t>
        </is>
      </c>
      <c r="H668" s="34" t="inlineStr">
        <is>
          <t>L5 · Estimada por los Developers — Cumple</t>
        </is>
      </c>
      <c r="I668" s="8" t="n"/>
      <c r="J668" s="23" t="n"/>
      <c r="L668" s="36" t="inlineStr">
        <is>
          <t>Mitad técnica: Además, los diez criterios T1 a T10 de la hoja «3. Criterios DoR y DoD», sin excepción</t>
        </is>
      </c>
      <c r="M668" s="37" t="n"/>
      <c r="N668" s="37" t="n"/>
      <c r="O668" s="38" t="n"/>
    </row>
    <row r="669" ht="30" customHeight="1">
      <c r="G669" s="33" t="inlineStr">
        <is>
          <t>( x )</t>
        </is>
      </c>
      <c r="H669" s="34" t="inlineStr">
        <is>
          <t>L6 · Cabe en un sprint (8 puntos o menos) — Cumple</t>
        </is>
      </c>
      <c r="I669" s="8" t="n"/>
      <c r="J669" s="23" t="n"/>
    </row>
    <row r="670" ht="30" customHeight="1">
      <c r="G670" s="33" t="inlineStr">
        <is>
          <t>( x )</t>
        </is>
      </c>
      <c r="H670" s="34" t="inlineStr">
        <is>
          <t>L7 · Reglas de dominio identificadas — Cumple</t>
        </is>
      </c>
      <c r="I670" s="8" t="n"/>
      <c r="J670" s="23" t="n"/>
    </row>
    <row r="671" ht="30" customHeight="1">
      <c r="G671" s="33" t="inlineStr">
        <is>
          <t>( x )</t>
        </is>
      </c>
      <c r="H671" s="34" t="inlineStr">
        <is>
          <t>L8 · Datos de prueba disponibles — Cumple</t>
        </is>
      </c>
      <c r="I671" s="8" t="n"/>
      <c r="J671" s="23" t="n"/>
    </row>
    <row r="672" ht="30" customHeight="1">
      <c r="G672" s="33" t="inlineStr">
        <is>
          <t>( x )</t>
        </is>
      </c>
      <c r="H672" s="34" t="inlineStr">
        <is>
          <t>L9 · Responsable técnico asignado — Cumple</t>
        </is>
      </c>
      <c r="I672" s="8" t="n"/>
      <c r="J672" s="23" t="n"/>
    </row>
    <row r="673" ht="30" customHeight="1">
      <c r="G673" s="33" t="inlineStr">
        <is>
          <t>( x )</t>
        </is>
      </c>
      <c r="H673" s="34" t="inlineStr">
        <is>
          <t>L10 · Recursos identificados — Cumple: Henry Ticona + equipo de desarrollo y datos de prueba</t>
        </is>
      </c>
      <c r="I673" s="8" t="n"/>
      <c r="J673" s="23" t="n"/>
    </row>
    <row r="674" ht="30" customHeight="1">
      <c r="G674" s="33" t="inlineStr">
        <is>
          <t>( x )</t>
        </is>
      </c>
      <c r="H674" s="34" t="inlineStr">
        <is>
          <t>L11 · Requisitos técnicos de programación definidos — Cumple: FastAPI, SQLAlchemy 2, Alembic y PostgreSQL 16</t>
        </is>
      </c>
      <c r="I674" s="8" t="n"/>
      <c r="J674" s="23" t="n"/>
    </row>
    <row r="675" ht="30" customHeight="1">
      <c r="G675" s="33" t="inlineStr">
        <is>
          <t>( x )</t>
        </is>
      </c>
      <c r="H675" s="34" t="inlineStr">
        <is>
          <t>L12 · Accesos de red disponibles — Cumple: GitHub (repositorio privado), API y PostgreSQL en docker compose</t>
        </is>
      </c>
      <c r="I675" s="8" t="n"/>
      <c r="J675" s="23" t="n"/>
    </row>
    <row r="676" ht="36" customHeight="1">
      <c r="G676" s="39" t="inlineStr">
        <is>
          <t>Riesgos: Avisos repetidos que se ignoran · uno por insumo mientras siga bajo el punto</t>
        </is>
      </c>
      <c r="H676" s="8" t="n"/>
      <c r="I676" s="8" t="n"/>
      <c r="J676" s="23" t="n"/>
    </row>
    <row r="677" ht="36" customHeight="1">
      <c r="G677" s="32" t="inlineStr">
        <is>
          <t>Proveedores de servicio: PostgreSQL gestionado en la nube (capa gratuita) · GitHub</t>
        </is>
      </c>
      <c r="H677" s="8" t="n"/>
      <c r="I677" s="8" t="n"/>
      <c r="J677" s="23" t="n"/>
    </row>
    <row r="678" ht="36" customHeight="1">
      <c r="G678" s="36" t="inlineStr">
        <is>
          <t>Costos: 5 pts ≈ 10 horas-persona (1 punto ≈ 2 h) · servicios externos: S/ 0 (planes gratuitos)</t>
        </is>
      </c>
      <c r="H678" s="37" t="n"/>
      <c r="I678" s="37" t="n"/>
      <c r="J678" s="38" t="n"/>
    </row>
    <row r="681">
      <c r="B681" s="18" t="inlineStr">
        <is>
          <t>HU-27 · Sugerir cuánto comprar</t>
        </is>
      </c>
    </row>
    <row r="682" ht="18" customHeight="1">
      <c r="B682" s="19" t="inlineStr">
        <is>
          <t>TARJETA 1 · Historia de usuario</t>
        </is>
      </c>
      <c r="C682" s="20" t="n"/>
      <c r="D682" s="20" t="n"/>
      <c r="E682" s="21" t="n"/>
      <c r="G682" s="19" t="inlineStr">
        <is>
          <t>TARJETA 2 · Definición de Listo</t>
        </is>
      </c>
      <c r="H682" s="20" t="n"/>
      <c r="I682" s="20" t="n"/>
      <c r="J682" s="21" t="n"/>
      <c r="L682" s="19" t="inlineStr">
        <is>
          <t>TARJETA 3 · Definición de Terminado</t>
        </is>
      </c>
      <c r="M682" s="20" t="n"/>
      <c r="N682" s="20" t="n"/>
      <c r="O682" s="21" t="n"/>
    </row>
    <row r="683" ht="28" customHeight="1">
      <c r="B683" s="22" t="inlineStr">
        <is>
          <t>La unidad con la que se planifica, se estima y se acepta el trabajo</t>
        </is>
      </c>
      <c r="C683" s="8" t="n"/>
      <c r="D683" s="8" t="n"/>
      <c r="E683" s="23" t="n"/>
      <c r="G683" s="22" t="inlineStr">
        <is>
          <t>El enfoque está en la consideración del equipo de desarrollo sobre si la historia está lista para un Sprint</t>
        </is>
      </c>
      <c r="H683" s="8" t="n"/>
      <c r="I683" s="8" t="n"/>
      <c r="J683" s="23" t="n"/>
      <c r="L683" s="22" t="inlineStr">
        <is>
          <t>El enfoque está en la aceptación del cliente cuando se le entregue el producto</t>
        </is>
      </c>
      <c r="M683" s="8" t="n"/>
      <c r="N683" s="8" t="n"/>
      <c r="O683" s="23" t="n"/>
    </row>
    <row r="684">
      <c r="B684" s="24" t="inlineStr">
        <is>
          <t>Historia de usuario</t>
        </is>
      </c>
      <c r="C684" s="8" t="n"/>
      <c r="D684" s="25" t="inlineStr">
        <is>
          <t>Prioridad</t>
        </is>
      </c>
      <c r="E684" s="26" t="inlineStr">
        <is>
          <t>Estimación</t>
        </is>
      </c>
      <c r="G684" s="24" t="inlineStr">
        <is>
          <t>Historia de usuario</t>
        </is>
      </c>
      <c r="H684" s="8" t="n"/>
      <c r="I684" s="25" t="inlineStr">
        <is>
          <t>Prioridad</t>
        </is>
      </c>
      <c r="J684" s="26" t="inlineStr">
        <is>
          <t>Estimación</t>
        </is>
      </c>
      <c r="L684" s="24" t="inlineStr">
        <is>
          <t>Historia de usuario</t>
        </is>
      </c>
      <c r="M684" s="8" t="n"/>
      <c r="N684" s="25" t="inlineStr">
        <is>
          <t>Prioridad</t>
        </is>
      </c>
      <c r="O684" s="26" t="inlineStr">
        <is>
          <t>Estimación</t>
        </is>
      </c>
    </row>
    <row r="685" ht="30" customHeight="1">
      <c r="B685" s="27" t="inlineStr">
        <is>
          <t>HU-27 · Sugerir cuánto comprar</t>
        </is>
      </c>
      <c r="C685" s="8" t="n"/>
      <c r="D685" s="9" t="inlineStr">
        <is>
          <t>Crítica</t>
        </is>
      </c>
      <c r="E685" s="28" t="inlineStr">
        <is>
          <t>5 pts</t>
        </is>
      </c>
      <c r="G685" s="27" t="inlineStr">
        <is>
          <t>HU-27 · Sugerir cuánto comprar</t>
        </is>
      </c>
      <c r="H685" s="8" t="n"/>
      <c r="I685" s="9" t="inlineStr">
        <is>
          <t>Crítica</t>
        </is>
      </c>
      <c r="J685" s="28" t="inlineStr">
        <is>
          <t>5 pts</t>
        </is>
      </c>
      <c r="L685" s="27" t="inlineStr">
        <is>
          <t>HU-27 · Sugerir cuánto comprar</t>
        </is>
      </c>
      <c r="M685" s="8" t="n"/>
      <c r="N685" s="9" t="inlineStr">
        <is>
          <t>Crítica</t>
        </is>
      </c>
      <c r="O685" s="28" t="inlineStr">
        <is>
          <t>5 pts</t>
        </is>
      </c>
    </row>
    <row r="686">
      <c r="B686" s="29" t="inlineStr">
        <is>
          <t>Descripción:</t>
        </is>
      </c>
      <c r="C686" s="8" t="n"/>
      <c r="D686" s="8" t="n"/>
      <c r="E686" s="23" t="n"/>
      <c r="G686" s="29" t="inlineStr">
        <is>
          <t>Descripción:</t>
        </is>
      </c>
      <c r="H686" s="8" t="n"/>
      <c r="I686" s="8" t="n"/>
      <c r="J686" s="23" t="n"/>
      <c r="L686" s="29" t="inlineStr">
        <is>
          <t>Descripción:</t>
        </is>
      </c>
      <c r="M686" s="8" t="n"/>
      <c r="N686" s="8" t="n"/>
      <c r="O686" s="23" t="n"/>
    </row>
    <row r="687" ht="28" customHeight="1">
      <c r="B687" s="30" t="inlineStr">
        <is>
          <t>Como residente de obra, quiero consultar cuánto conviene comprar de cada insumo, para tener una referencia para armar el pedido.</t>
        </is>
      </c>
      <c r="C687" s="8" t="n"/>
      <c r="D687" s="8" t="n"/>
      <c r="E687" s="23" t="n"/>
      <c r="G687" s="30" t="inlineStr">
        <is>
          <t>Como residente de obra, quiero consultar cuánto conviene comprar de cada insumo, para tener una referencia para armar el pedido.</t>
        </is>
      </c>
      <c r="H687" s="8" t="n"/>
      <c r="I687" s="8" t="n"/>
      <c r="J687" s="23" t="n"/>
      <c r="L687" s="30" t="inlineStr">
        <is>
          <t>Como residente de obra, quiero consultar cuánto conviene comprar de cada insumo, para tener una referencia para armar el pedido.</t>
        </is>
      </c>
      <c r="M687" s="8" t="n"/>
      <c r="N687" s="8" t="n"/>
      <c r="O687" s="23" t="n"/>
    </row>
    <row r="688" ht="28" customHeight="1">
      <c r="B688" s="31" t="n"/>
      <c r="C688" s="8" t="n"/>
      <c r="D688" s="8" t="n"/>
      <c r="E688" s="23" t="n"/>
      <c r="G688" s="31" t="n"/>
      <c r="H688" s="8" t="n"/>
      <c r="I688" s="8" t="n"/>
      <c r="J688" s="23" t="n"/>
      <c r="L688" s="31" t="n"/>
      <c r="M688" s="8" t="n"/>
      <c r="N688" s="8" t="n"/>
      <c r="O688" s="23" t="n"/>
    </row>
    <row r="689">
      <c r="B689" s="29" t="inlineStr">
        <is>
          <t>Ficha de la historia</t>
        </is>
      </c>
      <c r="C689" s="8" t="n"/>
      <c r="D689" s="8" t="n"/>
      <c r="E689" s="23" t="n"/>
      <c r="G689" s="29" t="inlineStr">
        <is>
          <t>Criterios de listo:</t>
        </is>
      </c>
      <c r="H689" s="8" t="n"/>
      <c r="I689" s="8" t="n"/>
      <c r="J689" s="23" t="n"/>
      <c r="L689" s="29" t="inlineStr">
        <is>
          <t>Condiciones finales (se marcan cuando el PO acepta la HU en la Review):</t>
        </is>
      </c>
      <c r="M689" s="8" t="n"/>
      <c r="N689" s="8" t="n"/>
      <c r="O689" s="23" t="n"/>
    </row>
    <row r="690" ht="30" customHeight="1">
      <c r="B690" s="32" t="inlineStr">
        <is>
          <t>Épica: E2. Planificar el requerimiento y la reposición de recursos</t>
        </is>
      </c>
      <c r="C690" s="8" t="n"/>
      <c r="D690" s="8" t="n"/>
      <c r="E690" s="23" t="n"/>
      <c r="G690" s="33" t="inlineStr">
        <is>
          <t>( x )</t>
        </is>
      </c>
      <c r="H690" s="34" t="inlineStr">
        <is>
          <t>L1 · Redactada en el formato acordado — Cumple</t>
        </is>
      </c>
      <c r="I690" s="8" t="n"/>
      <c r="J690" s="23" t="n"/>
      <c r="L690" s="35" t="inlineStr">
        <is>
          <t>(    )</t>
        </is>
      </c>
      <c r="M690" s="34" t="inlineStr">
        <is>
          <t>Se ha mostrado cuánto conviene comprar de cada insumo, con su criterio</t>
        </is>
      </c>
      <c r="N690" s="8" t="n"/>
      <c r="O690" s="23" t="n"/>
    </row>
    <row r="691" ht="30" customHeight="1">
      <c r="B691" s="32" t="inlineStr">
        <is>
          <t>Módulo: Reposición / Planificación</t>
        </is>
      </c>
      <c r="C691" s="8" t="n"/>
      <c r="D691" s="8" t="n"/>
      <c r="E691" s="23" t="n"/>
      <c r="G691" s="33" t="inlineStr">
        <is>
          <t>( x )</t>
        </is>
      </c>
      <c r="H691" s="34" t="inlineStr">
        <is>
          <t>L2 · Nombre corto en forma de acción — Cumple</t>
        </is>
      </c>
      <c r="I691" s="8" t="n"/>
      <c r="J691" s="23" t="n"/>
      <c r="L691" s="35" t="inlineStr">
        <is>
          <t>(    )</t>
        </is>
      </c>
      <c r="M691" s="34" t="inlineStr">
        <is>
          <t>La sugerencia se ha podido editar y no ha generado ningún pedido automático</t>
        </is>
      </c>
      <c r="N691" s="8" t="n"/>
      <c r="O691" s="23" t="n"/>
    </row>
    <row r="692" ht="36" customHeight="1">
      <c r="B692" s="32" t="inlineStr">
        <is>
          <t>Responsable técnico: Backend · Henry Ticona</t>
        </is>
      </c>
      <c r="C692" s="8" t="n"/>
      <c r="D692" s="8" t="n"/>
      <c r="E692" s="23" t="n"/>
      <c r="G692" s="33" t="inlineStr">
        <is>
          <t>( x )</t>
        </is>
      </c>
      <c r="H692" s="34" t="inlineStr">
        <is>
          <t>L3 · Criterios de aceptación escritos — Cumple</t>
        </is>
      </c>
      <c r="I692" s="8" t="n"/>
      <c r="J692" s="23" t="n"/>
      <c r="L692" s="36" t="inlineStr">
        <is>
          <t>Mitad técnica: Además, los diez criterios T1 a T10 de la hoja «3. Criterios DoR y DoD», sin excepción</t>
        </is>
      </c>
      <c r="M692" s="37" t="n"/>
      <c r="N692" s="37" t="n"/>
      <c r="O692" s="38" t="n"/>
    </row>
    <row r="693" ht="30" customHeight="1">
      <c r="B693" s="36" t="inlineStr">
        <is>
          <t>Depende de: HU-24, HU-26</t>
        </is>
      </c>
      <c r="C693" s="37" t="n"/>
      <c r="D693" s="37" t="n"/>
      <c r="E693" s="38" t="n"/>
      <c r="G693" s="33" t="inlineStr">
        <is>
          <t>( x )</t>
        </is>
      </c>
      <c r="H693" s="34" t="inlineStr">
        <is>
          <t>L4 · Dependencias resueltas — Cumple</t>
        </is>
      </c>
      <c r="I693" s="8" t="n"/>
      <c r="J693" s="23" t="n"/>
    </row>
    <row r="694" ht="30" customHeight="1">
      <c r="G694" s="33" t="inlineStr">
        <is>
          <t>( x )</t>
        </is>
      </c>
      <c r="H694" s="34" t="inlineStr">
        <is>
          <t>L5 · Estimada por los Developers — Cumple</t>
        </is>
      </c>
      <c r="I694" s="8" t="n"/>
      <c r="J694" s="23" t="n"/>
    </row>
    <row r="695" ht="30" customHeight="1">
      <c r="G695" s="33" t="inlineStr">
        <is>
          <t>( x )</t>
        </is>
      </c>
      <c r="H695" s="34" t="inlineStr">
        <is>
          <t>L6 · Cabe en un sprint (8 puntos o menos) — Cumple</t>
        </is>
      </c>
      <c r="I695" s="8" t="n"/>
      <c r="J695" s="23" t="n"/>
    </row>
    <row r="696" ht="30" customHeight="1">
      <c r="G696" s="33" t="inlineStr">
        <is>
          <t>( x )</t>
        </is>
      </c>
      <c r="H696" s="34" t="inlineStr">
        <is>
          <t>L7 · Reglas de dominio identificadas — Cumple</t>
        </is>
      </c>
      <c r="I696" s="8" t="n"/>
      <c r="J696" s="23" t="n"/>
    </row>
    <row r="697" ht="30" customHeight="1">
      <c r="G697" s="33" t="inlineStr">
        <is>
          <t>( x )</t>
        </is>
      </c>
      <c r="H697" s="34" t="inlineStr">
        <is>
          <t>L8 · Datos de prueba disponibles — Cumple</t>
        </is>
      </c>
      <c r="I697" s="8" t="n"/>
      <c r="J697" s="23" t="n"/>
    </row>
    <row r="698" ht="30" customHeight="1">
      <c r="G698" s="33" t="inlineStr">
        <is>
          <t>( x )</t>
        </is>
      </c>
      <c r="H698" s="34" t="inlineStr">
        <is>
          <t>L9 · Responsable técnico asignado — Cumple</t>
        </is>
      </c>
      <c r="I698" s="8" t="n"/>
      <c r="J698" s="23" t="n"/>
    </row>
    <row r="699" ht="30" customHeight="1">
      <c r="G699" s="33" t="inlineStr">
        <is>
          <t>( x )</t>
        </is>
      </c>
      <c r="H699" s="34" t="inlineStr">
        <is>
          <t>L10 · Recursos identificados — Cumple: Henry Ticona + equipo de desarrollo y datos de prueba</t>
        </is>
      </c>
      <c r="I699" s="8" t="n"/>
      <c r="J699" s="23" t="n"/>
    </row>
    <row r="700" ht="30" customHeight="1">
      <c r="G700" s="33" t="inlineStr">
        <is>
          <t>( x )</t>
        </is>
      </c>
      <c r="H700" s="34" t="inlineStr">
        <is>
          <t>L11 · Requisitos técnicos de programación definidos — Cumple: FastAPI, SQLAlchemy 2, Alembic y PostgreSQL 16</t>
        </is>
      </c>
      <c r="I700" s="8" t="n"/>
      <c r="J700" s="23" t="n"/>
    </row>
    <row r="701" ht="30" customHeight="1">
      <c r="G701" s="33" t="inlineStr">
        <is>
          <t>( x )</t>
        </is>
      </c>
      <c r="H701" s="34" t="inlineStr">
        <is>
          <t>L12 · Accesos de red disponibles — Cumple: GitHub (repositorio privado), API y PostgreSQL en docker compose</t>
        </is>
      </c>
      <c r="I701" s="8" t="n"/>
      <c r="J701" s="23" t="n"/>
    </row>
    <row r="702" ht="36" customHeight="1">
      <c r="G702" s="39" t="inlineStr">
        <is>
          <t>Riesgos: Que la sugerencia se tome como pedido automático · es referencia editable con su criterio</t>
        </is>
      </c>
      <c r="H702" s="8" t="n"/>
      <c r="I702" s="8" t="n"/>
      <c r="J702" s="23" t="n"/>
    </row>
    <row r="703" ht="36" customHeight="1">
      <c r="G703" s="32" t="inlineStr">
        <is>
          <t>Proveedores de servicio: PostgreSQL gestionado en la nube (capa gratuita) · GitHub</t>
        </is>
      </c>
      <c r="H703" s="8" t="n"/>
      <c r="I703" s="8" t="n"/>
      <c r="J703" s="23" t="n"/>
    </row>
    <row r="704" ht="36" customHeight="1">
      <c r="G704" s="36" t="inlineStr">
        <is>
          <t>Costos: 5 pts ≈ 10 horas-persona (1 punto ≈ 2 h) · servicios externos: S/ 0 (planes gratuitos)</t>
        </is>
      </c>
      <c r="H704" s="37" t="n"/>
      <c r="I704" s="37" t="n"/>
      <c r="J704" s="38" t="n"/>
    </row>
    <row r="707">
      <c r="B707" s="18" t="inlineStr">
        <is>
          <t>HU-28 · Marcar insumos críticos</t>
        </is>
      </c>
    </row>
    <row r="708" ht="18" customHeight="1">
      <c r="B708" s="19" t="inlineStr">
        <is>
          <t>TARJETA 1 · Historia de usuario</t>
        </is>
      </c>
      <c r="C708" s="20" t="n"/>
      <c r="D708" s="20" t="n"/>
      <c r="E708" s="21" t="n"/>
      <c r="G708" s="19" t="inlineStr">
        <is>
          <t>TARJETA 2 · Definición de Listo</t>
        </is>
      </c>
      <c r="H708" s="20" t="n"/>
      <c r="I708" s="20" t="n"/>
      <c r="J708" s="21" t="n"/>
      <c r="L708" s="19" t="inlineStr">
        <is>
          <t>TARJETA 3 · Definición de Terminado</t>
        </is>
      </c>
      <c r="M708" s="20" t="n"/>
      <c r="N708" s="20" t="n"/>
      <c r="O708" s="21" t="n"/>
    </row>
    <row r="709" ht="28" customHeight="1">
      <c r="B709" s="22" t="inlineStr">
        <is>
          <t>La unidad con la que se planifica, se estima y se acepta el trabajo</t>
        </is>
      </c>
      <c r="C709" s="8" t="n"/>
      <c r="D709" s="8" t="n"/>
      <c r="E709" s="23" t="n"/>
      <c r="G709" s="22" t="inlineStr">
        <is>
          <t>El enfoque está en la consideración del equipo de desarrollo sobre si la historia está lista para un Sprint</t>
        </is>
      </c>
      <c r="H709" s="8" t="n"/>
      <c r="I709" s="8" t="n"/>
      <c r="J709" s="23" t="n"/>
      <c r="L709" s="22" t="inlineStr">
        <is>
          <t>El enfoque está en la aceptación del cliente cuando se le entregue el producto</t>
        </is>
      </c>
      <c r="M709" s="8" t="n"/>
      <c r="N709" s="8" t="n"/>
      <c r="O709" s="23" t="n"/>
    </row>
    <row r="710">
      <c r="B710" s="24" t="inlineStr">
        <is>
          <t>Historia de usuario</t>
        </is>
      </c>
      <c r="C710" s="8" t="n"/>
      <c r="D710" s="25" t="inlineStr">
        <is>
          <t>Prioridad</t>
        </is>
      </c>
      <c r="E710" s="26" t="inlineStr">
        <is>
          <t>Estimación</t>
        </is>
      </c>
      <c r="G710" s="24" t="inlineStr">
        <is>
          <t>Historia de usuario</t>
        </is>
      </c>
      <c r="H710" s="8" t="n"/>
      <c r="I710" s="25" t="inlineStr">
        <is>
          <t>Prioridad</t>
        </is>
      </c>
      <c r="J710" s="26" t="inlineStr">
        <is>
          <t>Estimación</t>
        </is>
      </c>
      <c r="L710" s="24" t="inlineStr">
        <is>
          <t>Historia de usuario</t>
        </is>
      </c>
      <c r="M710" s="8" t="n"/>
      <c r="N710" s="25" t="inlineStr">
        <is>
          <t>Prioridad</t>
        </is>
      </c>
      <c r="O710" s="26" t="inlineStr">
        <is>
          <t>Estimación</t>
        </is>
      </c>
    </row>
    <row r="711" ht="30" customHeight="1">
      <c r="B711" s="27" t="inlineStr">
        <is>
          <t>HU-28 · Marcar insumos críticos</t>
        </is>
      </c>
      <c r="C711" s="8" t="n"/>
      <c r="D711" s="9" t="inlineStr">
        <is>
          <t>Media</t>
        </is>
      </c>
      <c r="E711" s="28" t="inlineStr">
        <is>
          <t>3 pts</t>
        </is>
      </c>
      <c r="G711" s="27" t="inlineStr">
        <is>
          <t>HU-28 · Marcar insumos críticos</t>
        </is>
      </c>
      <c r="H711" s="8" t="n"/>
      <c r="I711" s="9" t="inlineStr">
        <is>
          <t>Media</t>
        </is>
      </c>
      <c r="J711" s="28" t="inlineStr">
        <is>
          <t>3 pts</t>
        </is>
      </c>
      <c r="L711" s="27" t="inlineStr">
        <is>
          <t>HU-28 · Marcar insumos críticos</t>
        </is>
      </c>
      <c r="M711" s="8" t="n"/>
      <c r="N711" s="9" t="inlineStr">
        <is>
          <t>Media</t>
        </is>
      </c>
      <c r="O711" s="28" t="inlineStr">
        <is>
          <t>3 pts</t>
        </is>
      </c>
    </row>
    <row r="712">
      <c r="B712" s="29" t="inlineStr">
        <is>
          <t>Descripción:</t>
        </is>
      </c>
      <c r="C712" s="8" t="n"/>
      <c r="D712" s="8" t="n"/>
      <c r="E712" s="23" t="n"/>
      <c r="G712" s="29" t="inlineStr">
        <is>
          <t>Descripción:</t>
        </is>
      </c>
      <c r="H712" s="8" t="n"/>
      <c r="I712" s="8" t="n"/>
      <c r="J712" s="23" t="n"/>
      <c r="L712" s="29" t="inlineStr">
        <is>
          <t>Descripción:</t>
        </is>
      </c>
      <c r="M712" s="8" t="n"/>
      <c r="N712" s="8" t="n"/>
      <c r="O712" s="23" t="n"/>
    </row>
    <row r="713" ht="28" customHeight="1">
      <c r="B713" s="30" t="inlineStr">
        <is>
          <t>Como residente de obra, quiero marcar los insumos críticos de la obra, para concentrar el control en los que concentran el valor.</t>
        </is>
      </c>
      <c r="C713" s="8" t="n"/>
      <c r="D713" s="8" t="n"/>
      <c r="E713" s="23" t="n"/>
      <c r="G713" s="30" t="inlineStr">
        <is>
          <t>Como residente de obra, quiero marcar los insumos críticos de la obra, para concentrar el control en los que concentran el valor.</t>
        </is>
      </c>
      <c r="H713" s="8" t="n"/>
      <c r="I713" s="8" t="n"/>
      <c r="J713" s="23" t="n"/>
      <c r="L713" s="30" t="inlineStr">
        <is>
          <t>Como residente de obra, quiero marcar los insumos críticos de la obra, para concentrar el control en los que concentran el valor.</t>
        </is>
      </c>
      <c r="M713" s="8" t="n"/>
      <c r="N713" s="8" t="n"/>
      <c r="O713" s="23" t="n"/>
    </row>
    <row r="714" ht="28" customHeight="1">
      <c r="B714" s="31" t="n"/>
      <c r="C714" s="8" t="n"/>
      <c r="D714" s="8" t="n"/>
      <c r="E714" s="23" t="n"/>
      <c r="G714" s="31" t="n"/>
      <c r="H714" s="8" t="n"/>
      <c r="I714" s="8" t="n"/>
      <c r="J714" s="23" t="n"/>
      <c r="L714" s="31" t="n"/>
      <c r="M714" s="8" t="n"/>
      <c r="N714" s="8" t="n"/>
      <c r="O714" s="23" t="n"/>
    </row>
    <row r="715">
      <c r="B715" s="29" t="inlineStr">
        <is>
          <t>Ficha de la historia</t>
        </is>
      </c>
      <c r="C715" s="8" t="n"/>
      <c r="D715" s="8" t="n"/>
      <c r="E715" s="23" t="n"/>
      <c r="G715" s="29" t="inlineStr">
        <is>
          <t>Criterios de listo:</t>
        </is>
      </c>
      <c r="H715" s="8" t="n"/>
      <c r="I715" s="8" t="n"/>
      <c r="J715" s="23" t="n"/>
      <c r="L715" s="29" t="inlineStr">
        <is>
          <t>Condiciones finales (se marcan cuando el PO acepta la HU en la Review):</t>
        </is>
      </c>
      <c r="M715" s="8" t="n"/>
      <c r="N715" s="8" t="n"/>
      <c r="O715" s="23" t="n"/>
    </row>
    <row r="716" ht="30" customHeight="1">
      <c r="B716" s="32" t="inlineStr">
        <is>
          <t>Épica: E2. Planificar el requerimiento y la reposición de recursos</t>
        </is>
      </c>
      <c r="C716" s="8" t="n"/>
      <c r="D716" s="8" t="n"/>
      <c r="E716" s="23" t="n"/>
      <c r="G716" s="33" t="inlineStr">
        <is>
          <t>( x )</t>
        </is>
      </c>
      <c r="H716" s="34" t="inlineStr">
        <is>
          <t>L1 · Redactada en el formato acordado — Cumple</t>
        </is>
      </c>
      <c r="I716" s="8" t="n"/>
      <c r="J716" s="23" t="n"/>
      <c r="L716" s="35" t="inlineStr">
        <is>
          <t>(    )</t>
        </is>
      </c>
      <c r="M716" s="34" t="inlineStr">
        <is>
          <t>El insumo se ha marcado y desmarcado como crítico</t>
        </is>
      </c>
      <c r="N716" s="8" t="n"/>
      <c r="O716" s="23" t="n"/>
    </row>
    <row r="717" ht="30" customHeight="1">
      <c r="B717" s="32" t="inlineStr">
        <is>
          <t>Módulo: Reposición / Planificación</t>
        </is>
      </c>
      <c r="C717" s="8" t="n"/>
      <c r="D717" s="8" t="n"/>
      <c r="E717" s="23" t="n"/>
      <c r="G717" s="33" t="inlineStr">
        <is>
          <t>( x )</t>
        </is>
      </c>
      <c r="H717" s="34" t="inlineStr">
        <is>
          <t>L2 · Nombre corto en forma de acción — Cumple</t>
        </is>
      </c>
      <c r="I717" s="8" t="n"/>
      <c r="J717" s="23" t="n"/>
      <c r="L717" s="35" t="inlineStr">
        <is>
          <t>(    )</t>
        </is>
      </c>
      <c r="M717" s="34" t="inlineStr">
        <is>
          <t>Se han propuesto candidatos por valor planificado, sin que el sistema decida</t>
        </is>
      </c>
      <c r="N717" s="8" t="n"/>
      <c r="O717" s="23" t="n"/>
    </row>
    <row r="718" ht="30" customHeight="1">
      <c r="B718" s="32" t="inlineStr">
        <is>
          <t>Responsable técnico: Web · Víctor Luján</t>
        </is>
      </c>
      <c r="C718" s="8" t="n"/>
      <c r="D718" s="8" t="n"/>
      <c r="E718" s="23" t="n"/>
      <c r="G718" s="33" t="inlineStr">
        <is>
          <t>( x )</t>
        </is>
      </c>
      <c r="H718" s="34" t="inlineStr">
        <is>
          <t>L3 · Criterios de aceptación escritos — Cumple</t>
        </is>
      </c>
      <c r="I718" s="8" t="n"/>
      <c r="J718" s="23" t="n"/>
      <c r="L718" s="35" t="inlineStr">
        <is>
          <t>(    )</t>
        </is>
      </c>
      <c r="M718" s="34" t="inlineStr">
        <is>
          <t>Las consultas y avisos se han filtrado solo por críticos</t>
        </is>
      </c>
      <c r="N718" s="8" t="n"/>
      <c r="O718" s="23" t="n"/>
    </row>
    <row r="719" ht="36" customHeight="1">
      <c r="B719" s="36" t="inlineStr">
        <is>
          <t>Depende de: HU-19</t>
        </is>
      </c>
      <c r="C719" s="37" t="n"/>
      <c r="D719" s="37" t="n"/>
      <c r="E719" s="38" t="n"/>
      <c r="G719" s="33" t="inlineStr">
        <is>
          <t>( x )</t>
        </is>
      </c>
      <c r="H719" s="34" t="inlineStr">
        <is>
          <t>L4 · Dependencias resueltas — Cumple</t>
        </is>
      </c>
      <c r="I719" s="8" t="n"/>
      <c r="J719" s="23" t="n"/>
      <c r="L719" s="36" t="inlineStr">
        <is>
          <t>Mitad técnica: Además, los diez criterios T1 a T10 de la hoja «3. Criterios DoR y DoD», sin excepción</t>
        </is>
      </c>
      <c r="M719" s="37" t="n"/>
      <c r="N719" s="37" t="n"/>
      <c r="O719" s="38" t="n"/>
    </row>
    <row r="720" ht="30" customHeight="1">
      <c r="G720" s="33" t="inlineStr">
        <is>
          <t>( x )</t>
        </is>
      </c>
      <c r="H720" s="34" t="inlineStr">
        <is>
          <t>L5 · Estimada por los Developers — Cumple</t>
        </is>
      </c>
      <c r="I720" s="8" t="n"/>
      <c r="J720" s="23" t="n"/>
    </row>
    <row r="721" ht="30" customHeight="1">
      <c r="G721" s="33" t="inlineStr">
        <is>
          <t>( x )</t>
        </is>
      </c>
      <c r="H721" s="34" t="inlineStr">
        <is>
          <t>L6 · Cabe en un sprint (8 puntos o menos) — Cumple</t>
        </is>
      </c>
      <c r="I721" s="8" t="n"/>
      <c r="J721" s="23" t="n"/>
    </row>
    <row r="722" ht="30" customHeight="1">
      <c r="G722" s="33" t="inlineStr">
        <is>
          <t>( x )</t>
        </is>
      </c>
      <c r="H722" s="34" t="inlineStr">
        <is>
          <t>L7 · Reglas de dominio identificadas — Cumple</t>
        </is>
      </c>
      <c r="I722" s="8" t="n"/>
      <c r="J722" s="23" t="n"/>
    </row>
    <row r="723" ht="30" customHeight="1">
      <c r="G723" s="33" t="inlineStr">
        <is>
          <t>( x )</t>
        </is>
      </c>
      <c r="H723" s="34" t="inlineStr">
        <is>
          <t>L8 · Datos de prueba disponibles — Cumple</t>
        </is>
      </c>
      <c r="I723" s="8" t="n"/>
      <c r="J723" s="23" t="n"/>
    </row>
    <row r="724" ht="30" customHeight="1">
      <c r="G724" s="33" t="inlineStr">
        <is>
          <t>( x )</t>
        </is>
      </c>
      <c r="H724" s="34" t="inlineStr">
        <is>
          <t>L9 · Responsable técnico asignado — Cumple</t>
        </is>
      </c>
      <c r="I724" s="8" t="n"/>
      <c r="J724" s="23" t="n"/>
    </row>
    <row r="725" ht="30" customHeight="1">
      <c r="G725" s="33" t="inlineStr">
        <is>
          <t>( x )</t>
        </is>
      </c>
      <c r="H725" s="34" t="inlineStr">
        <is>
          <t>L10 · Recursos identificados — Cumple: Víctor Luján + equipo de desarrollo y datos de prueba</t>
        </is>
      </c>
      <c r="I725" s="8" t="n"/>
      <c r="J725" s="23" t="n"/>
    </row>
    <row r="726" ht="30" customHeight="1">
      <c r="G726" s="33" t="inlineStr">
        <is>
          <t>( x )</t>
        </is>
      </c>
      <c r="H726" s="34" t="inlineStr">
        <is>
          <t>L11 · Requisitos técnicos de programación definidos — Cumple: React 18, TypeScript y Vite</t>
        </is>
      </c>
      <c r="I726" s="8" t="n"/>
      <c r="J726" s="23" t="n"/>
    </row>
    <row r="727" ht="30" customHeight="1">
      <c r="G727" s="33" t="inlineStr">
        <is>
          <t>( x )</t>
        </is>
      </c>
      <c r="H727" s="34" t="inlineStr">
        <is>
          <t>L12 · Accesos de red disponibles — Cumple: GitHub (repositorio privado), API y PostgreSQL en docker compose</t>
        </is>
      </c>
      <c r="I727" s="8" t="n"/>
      <c r="J727" s="23" t="n"/>
    </row>
    <row r="728" ht="36" customHeight="1">
      <c r="G728" s="39" t="inlineStr">
        <is>
          <t>Riesgos: Que el sistema decida qué es crítico · solo propone candidatos; decide el residente</t>
        </is>
      </c>
      <c r="H728" s="8" t="n"/>
      <c r="I728" s="8" t="n"/>
      <c r="J728" s="23" t="n"/>
    </row>
    <row r="729" ht="36" customHeight="1">
      <c r="G729" s="32" t="inlineStr">
        <is>
          <t>Proveedores de servicio: Navegador · API en la nube (PostgreSQL gestionado, capa gratuita)</t>
        </is>
      </c>
      <c r="H729" s="8" t="n"/>
      <c r="I729" s="8" t="n"/>
      <c r="J729" s="23" t="n"/>
    </row>
    <row r="730" ht="36" customHeight="1">
      <c r="G730" s="36" t="inlineStr">
        <is>
          <t>Costos: 3 pts ≈ 6 horas-persona (1 punto ≈ 2 h) · servicios externos: S/ 0 (planes gratuitos)</t>
        </is>
      </c>
      <c r="H730" s="37" t="n"/>
      <c r="I730" s="37" t="n"/>
      <c r="J730" s="38" t="n"/>
    </row>
    <row r="733">
      <c r="B733" s="18" t="inlineStr">
        <is>
          <t>HU-29 · Consultar proveedores</t>
        </is>
      </c>
    </row>
    <row r="734" ht="18" customHeight="1">
      <c r="B734" s="19" t="inlineStr">
        <is>
          <t>TARJETA 1 · Historia de usuario</t>
        </is>
      </c>
      <c r="C734" s="20" t="n"/>
      <c r="D734" s="20" t="n"/>
      <c r="E734" s="21" t="n"/>
      <c r="G734" s="19" t="inlineStr">
        <is>
          <t>TARJETA 2 · Definición de Listo</t>
        </is>
      </c>
      <c r="H734" s="20" t="n"/>
      <c r="I734" s="20" t="n"/>
      <c r="J734" s="21" t="n"/>
      <c r="L734" s="19" t="inlineStr">
        <is>
          <t>TARJETA 3 · Definición de Terminado</t>
        </is>
      </c>
      <c r="M734" s="20" t="n"/>
      <c r="N734" s="20" t="n"/>
      <c r="O734" s="21" t="n"/>
    </row>
    <row r="735" ht="28" customHeight="1">
      <c r="B735" s="22" t="inlineStr">
        <is>
          <t>La unidad con la que se planifica, se estima y se acepta el trabajo</t>
        </is>
      </c>
      <c r="C735" s="8" t="n"/>
      <c r="D735" s="8" t="n"/>
      <c r="E735" s="23" t="n"/>
      <c r="G735" s="22" t="inlineStr">
        <is>
          <t>El enfoque está en la consideración del equipo de desarrollo sobre si la historia está lista para un Sprint</t>
        </is>
      </c>
      <c r="H735" s="8" t="n"/>
      <c r="I735" s="8" t="n"/>
      <c r="J735" s="23" t="n"/>
      <c r="L735" s="22" t="inlineStr">
        <is>
          <t>El enfoque está en la aceptación del cliente cuando se le entregue el producto</t>
        </is>
      </c>
      <c r="M735" s="8" t="n"/>
      <c r="N735" s="8" t="n"/>
      <c r="O735" s="23" t="n"/>
    </row>
    <row r="736">
      <c r="B736" s="24" t="inlineStr">
        <is>
          <t>Historia de usuario</t>
        </is>
      </c>
      <c r="C736" s="8" t="n"/>
      <c r="D736" s="25" t="inlineStr">
        <is>
          <t>Prioridad</t>
        </is>
      </c>
      <c r="E736" s="26" t="inlineStr">
        <is>
          <t>Estimación</t>
        </is>
      </c>
      <c r="G736" s="24" t="inlineStr">
        <is>
          <t>Historia de usuario</t>
        </is>
      </c>
      <c r="H736" s="8" t="n"/>
      <c r="I736" s="25" t="inlineStr">
        <is>
          <t>Prioridad</t>
        </is>
      </c>
      <c r="J736" s="26" t="inlineStr">
        <is>
          <t>Estimación</t>
        </is>
      </c>
      <c r="L736" s="24" t="inlineStr">
        <is>
          <t>Historia de usuario</t>
        </is>
      </c>
      <c r="M736" s="8" t="n"/>
      <c r="N736" s="25" t="inlineStr">
        <is>
          <t>Prioridad</t>
        </is>
      </c>
      <c r="O736" s="26" t="inlineStr">
        <is>
          <t>Estimación</t>
        </is>
      </c>
    </row>
    <row r="737" ht="30" customHeight="1">
      <c r="B737" s="27" t="inlineStr">
        <is>
          <t>HU-29 · Consultar proveedores</t>
        </is>
      </c>
      <c r="C737" s="8" t="n"/>
      <c r="D737" s="9" t="inlineStr">
        <is>
          <t>Alta</t>
        </is>
      </c>
      <c r="E737" s="28" t="inlineStr">
        <is>
          <t>3 pts</t>
        </is>
      </c>
      <c r="G737" s="27" t="inlineStr">
        <is>
          <t>HU-29 · Consultar proveedores</t>
        </is>
      </c>
      <c r="H737" s="8" t="n"/>
      <c r="I737" s="9" t="inlineStr">
        <is>
          <t>Alta</t>
        </is>
      </c>
      <c r="J737" s="28" t="inlineStr">
        <is>
          <t>3 pts</t>
        </is>
      </c>
      <c r="L737" s="27" t="inlineStr">
        <is>
          <t>HU-29 · Consultar proveedores</t>
        </is>
      </c>
      <c r="M737" s="8" t="n"/>
      <c r="N737" s="9" t="inlineStr">
        <is>
          <t>Alta</t>
        </is>
      </c>
      <c r="O737" s="28" t="inlineStr">
        <is>
          <t>3 pts</t>
        </is>
      </c>
    </row>
    <row r="738">
      <c r="B738" s="29" t="inlineStr">
        <is>
          <t>Descripción:</t>
        </is>
      </c>
      <c r="C738" s="8" t="n"/>
      <c r="D738" s="8" t="n"/>
      <c r="E738" s="23" t="n"/>
      <c r="G738" s="29" t="inlineStr">
        <is>
          <t>Descripción:</t>
        </is>
      </c>
      <c r="H738" s="8" t="n"/>
      <c r="I738" s="8" t="n"/>
      <c r="J738" s="23" t="n"/>
      <c r="L738" s="29" t="inlineStr">
        <is>
          <t>Descripción:</t>
        </is>
      </c>
      <c r="M738" s="8" t="n"/>
      <c r="N738" s="8" t="n"/>
      <c r="O738" s="23" t="n"/>
    </row>
    <row r="739" ht="28" customHeight="1">
      <c r="B739" s="30" t="inlineStr">
        <is>
          <t>Como residente de obra, quiero consultar la lista de proveedores, para elegir uno sin volver a escribir sus datos.</t>
        </is>
      </c>
      <c r="C739" s="8" t="n"/>
      <c r="D739" s="8" t="n"/>
      <c r="E739" s="23" t="n"/>
      <c r="G739" s="30" t="inlineStr">
        <is>
          <t>Como residente de obra, quiero consultar la lista de proveedores, para elegir uno sin volver a escribir sus datos.</t>
        </is>
      </c>
      <c r="H739" s="8" t="n"/>
      <c r="I739" s="8" t="n"/>
      <c r="J739" s="23" t="n"/>
      <c r="L739" s="30" t="inlineStr">
        <is>
          <t>Como residente de obra, quiero consultar la lista de proveedores, para elegir uno sin volver a escribir sus datos.</t>
        </is>
      </c>
      <c r="M739" s="8" t="n"/>
      <c r="N739" s="8" t="n"/>
      <c r="O739" s="23" t="n"/>
    </row>
    <row r="740" ht="28" customHeight="1">
      <c r="B740" s="31" t="n"/>
      <c r="C740" s="8" t="n"/>
      <c r="D740" s="8" t="n"/>
      <c r="E740" s="23" t="n"/>
      <c r="G740" s="31" t="n"/>
      <c r="H740" s="8" t="n"/>
      <c r="I740" s="8" t="n"/>
      <c r="J740" s="23" t="n"/>
      <c r="L740" s="31" t="n"/>
      <c r="M740" s="8" t="n"/>
      <c r="N740" s="8" t="n"/>
      <c r="O740" s="23" t="n"/>
    </row>
    <row r="741">
      <c r="B741" s="29" t="inlineStr">
        <is>
          <t>Ficha de la historia</t>
        </is>
      </c>
      <c r="C741" s="8" t="n"/>
      <c r="D741" s="8" t="n"/>
      <c r="E741" s="23" t="n"/>
      <c r="G741" s="29" t="inlineStr">
        <is>
          <t>Criterios de listo:</t>
        </is>
      </c>
      <c r="H741" s="8" t="n"/>
      <c r="I741" s="8" t="n"/>
      <c r="J741" s="23" t="n"/>
      <c r="L741" s="29" t="inlineStr">
        <is>
          <t>Condiciones finales (se marcan cuando el PO acepta la HU en la Review):</t>
        </is>
      </c>
      <c r="M741" s="8" t="n"/>
      <c r="N741" s="8" t="n"/>
      <c r="O741" s="23" t="n"/>
    </row>
    <row r="742" ht="30" customHeight="1">
      <c r="B742" s="32" t="inlineStr">
        <is>
          <t>Épica: E3. Registrar las compras y sus recepciones</t>
        </is>
      </c>
      <c r="C742" s="8" t="n"/>
      <c r="D742" s="8" t="n"/>
      <c r="E742" s="23" t="n"/>
      <c r="G742" s="33" t="inlineStr">
        <is>
          <t>( x )</t>
        </is>
      </c>
      <c r="H742" s="34" t="inlineStr">
        <is>
          <t>L1 · Redactada en el formato acordado — Cumple</t>
        </is>
      </c>
      <c r="I742" s="8" t="n"/>
      <c r="J742" s="23" t="n"/>
      <c r="L742" s="35" t="inlineStr">
        <is>
          <t>(    )</t>
        </is>
      </c>
      <c r="M742" s="34" t="inlineStr">
        <is>
          <t>Se ha encontrado al proveedor por razón social o RUC</t>
        </is>
      </c>
      <c r="N742" s="8" t="n"/>
      <c r="O742" s="23" t="n"/>
    </row>
    <row r="743" ht="30" customHeight="1">
      <c r="B743" s="32" t="inlineStr">
        <is>
          <t>Módulo: Proveedores</t>
        </is>
      </c>
      <c r="C743" s="8" t="n"/>
      <c r="D743" s="8" t="n"/>
      <c r="E743" s="23" t="n"/>
      <c r="G743" s="33" t="inlineStr">
        <is>
          <t>( x )</t>
        </is>
      </c>
      <c r="H743" s="34" t="inlineStr">
        <is>
          <t>L2 · Nombre corto en forma de acción — Cumple</t>
        </is>
      </c>
      <c r="I743" s="8" t="n"/>
      <c r="J743" s="23" t="n"/>
      <c r="L743" s="35" t="inlineStr">
        <is>
          <t>(    )</t>
        </is>
      </c>
      <c r="M743" s="34" t="inlineStr">
        <is>
          <t>Se ha mostrado su razón social, RUC y estado</t>
        </is>
      </c>
      <c r="N743" s="8" t="n"/>
      <c r="O743" s="23" t="n"/>
    </row>
    <row r="744" ht="30" customHeight="1">
      <c r="B744" s="32" t="inlineStr">
        <is>
          <t>Responsable técnico: Web · Víctor Luján</t>
        </is>
      </c>
      <c r="C744" s="8" t="n"/>
      <c r="D744" s="8" t="n"/>
      <c r="E744" s="23" t="n"/>
      <c r="G744" s="33" t="inlineStr">
        <is>
          <t>( x )</t>
        </is>
      </c>
      <c r="H744" s="34" t="inlineStr">
        <is>
          <t>L3 · Criterios de aceptación escritos — Cumple</t>
        </is>
      </c>
      <c r="I744" s="8" t="n"/>
      <c r="J744" s="23" t="n"/>
      <c r="L744" s="35" t="inlineStr">
        <is>
          <t>(    )</t>
        </is>
      </c>
      <c r="M744" s="34" t="inlineStr">
        <is>
          <t>Un proveedor dado de baja no ha aparecido al registrar una compra nueva</t>
        </is>
      </c>
      <c r="N744" s="8" t="n"/>
      <c r="O744" s="23" t="n"/>
    </row>
    <row r="745" ht="36" customHeight="1">
      <c r="B745" s="36" t="inlineStr">
        <is>
          <t>Depende de: Ninguna</t>
        </is>
      </c>
      <c r="C745" s="37" t="n"/>
      <c r="D745" s="37" t="n"/>
      <c r="E745" s="38" t="n"/>
      <c r="G745" s="33" t="inlineStr">
        <is>
          <t>( x )</t>
        </is>
      </c>
      <c r="H745" s="34" t="inlineStr">
        <is>
          <t>L4 · Dependencias resueltas — Cumple</t>
        </is>
      </c>
      <c r="I745" s="8" t="n"/>
      <c r="J745" s="23" t="n"/>
      <c r="L745" s="36" t="inlineStr">
        <is>
          <t>Mitad técnica: Además, los diez criterios T1 a T10 de la hoja «3. Criterios DoR y DoD», sin excepción</t>
        </is>
      </c>
      <c r="M745" s="37" t="n"/>
      <c r="N745" s="37" t="n"/>
      <c r="O745" s="38" t="n"/>
    </row>
    <row r="746" ht="30" customHeight="1">
      <c r="G746" s="33" t="inlineStr">
        <is>
          <t>( x )</t>
        </is>
      </c>
      <c r="H746" s="34" t="inlineStr">
        <is>
          <t>L5 · Estimada por los Developers — Cumple</t>
        </is>
      </c>
      <c r="I746" s="8" t="n"/>
      <c r="J746" s="23" t="n"/>
    </row>
    <row r="747" ht="30" customHeight="1">
      <c r="G747" s="33" t="inlineStr">
        <is>
          <t>( x )</t>
        </is>
      </c>
      <c r="H747" s="34" t="inlineStr">
        <is>
          <t>L6 · Cabe en un sprint (8 puntos o menos) — Cumple</t>
        </is>
      </c>
      <c r="I747" s="8" t="n"/>
      <c r="J747" s="23" t="n"/>
    </row>
    <row r="748" ht="30" customHeight="1">
      <c r="G748" s="33" t="inlineStr">
        <is>
          <t>( x )</t>
        </is>
      </c>
      <c r="H748" s="34" t="inlineStr">
        <is>
          <t>L7 · Reglas de dominio identificadas — Cumple</t>
        </is>
      </c>
      <c r="I748" s="8" t="n"/>
      <c r="J748" s="23" t="n"/>
    </row>
    <row r="749" ht="30" customHeight="1">
      <c r="G749" s="33" t="inlineStr">
        <is>
          <t>( x )</t>
        </is>
      </c>
      <c r="H749" s="34" t="inlineStr">
        <is>
          <t>L8 · Datos de prueba disponibles — Cumple</t>
        </is>
      </c>
      <c r="I749" s="8" t="n"/>
      <c r="J749" s="23" t="n"/>
    </row>
    <row r="750" ht="30" customHeight="1">
      <c r="G750" s="33" t="inlineStr">
        <is>
          <t>( x )</t>
        </is>
      </c>
      <c r="H750" s="34" t="inlineStr">
        <is>
          <t>L9 · Responsable técnico asignado — Cumple</t>
        </is>
      </c>
      <c r="I750" s="8" t="n"/>
      <c r="J750" s="23" t="n"/>
    </row>
    <row r="751" ht="30" customHeight="1">
      <c r="G751" s="33" t="inlineStr">
        <is>
          <t>( x )</t>
        </is>
      </c>
      <c r="H751" s="34" t="inlineStr">
        <is>
          <t>L10 · Recursos identificados — Cumple: Víctor Luján + equipo de desarrollo y datos de prueba</t>
        </is>
      </c>
      <c r="I751" s="8" t="n"/>
      <c r="J751" s="23" t="n"/>
    </row>
    <row r="752" ht="30" customHeight="1">
      <c r="G752" s="33" t="inlineStr">
        <is>
          <t>( x )</t>
        </is>
      </c>
      <c r="H752" s="34" t="inlineStr">
        <is>
          <t>L11 · Requisitos técnicos de programación definidos — Cumple: React 18, TypeScript y Vite</t>
        </is>
      </c>
      <c r="I752" s="8" t="n"/>
      <c r="J752" s="23" t="n"/>
    </row>
    <row r="753" ht="30" customHeight="1">
      <c r="G753" s="33" t="inlineStr">
        <is>
          <t>( x )</t>
        </is>
      </c>
      <c r="H753" s="34" t="inlineStr">
        <is>
          <t>L12 · Accesos de red disponibles — Cumple: GitHub (repositorio privado), API y PostgreSQL en docker compose</t>
        </is>
      </c>
      <c r="I753" s="8" t="n"/>
      <c r="J753" s="23" t="n"/>
    </row>
    <row r="754" ht="36" customHeight="1">
      <c r="G754" s="39" t="inlineStr">
        <is>
          <t>Riesgos: Comprar a un proveedor dado de baja · no aparece en compras nuevas</t>
        </is>
      </c>
      <c r="H754" s="8" t="n"/>
      <c r="I754" s="8" t="n"/>
      <c r="J754" s="23" t="n"/>
    </row>
    <row r="755" ht="36" customHeight="1">
      <c r="G755" s="32" t="inlineStr">
        <is>
          <t>Proveedores de servicio: Navegador · API en la nube (PostgreSQL gestionado, capa gratuita)</t>
        </is>
      </c>
      <c r="H755" s="8" t="n"/>
      <c r="I755" s="8" t="n"/>
      <c r="J755" s="23" t="n"/>
    </row>
    <row r="756" ht="36" customHeight="1">
      <c r="G756" s="36" t="inlineStr">
        <is>
          <t>Costos: 3 pts ≈ 6 horas-persona (1 punto ≈ 2 h) · servicios externos: S/ 0 (planes gratuitos)</t>
        </is>
      </c>
      <c r="H756" s="37" t="n"/>
      <c r="I756" s="37" t="n"/>
      <c r="J756" s="38" t="n"/>
    </row>
    <row r="759">
      <c r="B759" s="18" t="inlineStr">
        <is>
          <t>HU-30 · Registrar proveedores</t>
        </is>
      </c>
    </row>
    <row r="760" ht="18" customHeight="1">
      <c r="B760" s="19" t="inlineStr">
        <is>
          <t>TARJETA 1 · Historia de usuario</t>
        </is>
      </c>
      <c r="C760" s="20" t="n"/>
      <c r="D760" s="20" t="n"/>
      <c r="E760" s="21" t="n"/>
      <c r="G760" s="19" t="inlineStr">
        <is>
          <t>TARJETA 2 · Definición de Listo</t>
        </is>
      </c>
      <c r="H760" s="20" t="n"/>
      <c r="I760" s="20" t="n"/>
      <c r="J760" s="21" t="n"/>
      <c r="L760" s="19" t="inlineStr">
        <is>
          <t>TARJETA 3 · Definición de Terminado</t>
        </is>
      </c>
      <c r="M760" s="20" t="n"/>
      <c r="N760" s="20" t="n"/>
      <c r="O760" s="21" t="n"/>
    </row>
    <row r="761" ht="28" customHeight="1">
      <c r="B761" s="22" t="inlineStr">
        <is>
          <t>La unidad con la que se planifica, se estima y se acepta el trabajo</t>
        </is>
      </c>
      <c r="C761" s="8" t="n"/>
      <c r="D761" s="8" t="n"/>
      <c r="E761" s="23" t="n"/>
      <c r="G761" s="22" t="inlineStr">
        <is>
          <t>El enfoque está en la consideración del equipo de desarrollo sobre si la historia está lista para un Sprint</t>
        </is>
      </c>
      <c r="H761" s="8" t="n"/>
      <c r="I761" s="8" t="n"/>
      <c r="J761" s="23" t="n"/>
      <c r="L761" s="22" t="inlineStr">
        <is>
          <t>El enfoque está en la aceptación del cliente cuando se le entregue el producto</t>
        </is>
      </c>
      <c r="M761" s="8" t="n"/>
      <c r="N761" s="8" t="n"/>
      <c r="O761" s="23" t="n"/>
    </row>
    <row r="762">
      <c r="B762" s="24" t="inlineStr">
        <is>
          <t>Historia de usuario</t>
        </is>
      </c>
      <c r="C762" s="8" t="n"/>
      <c r="D762" s="25" t="inlineStr">
        <is>
          <t>Prioridad</t>
        </is>
      </c>
      <c r="E762" s="26" t="inlineStr">
        <is>
          <t>Estimación</t>
        </is>
      </c>
      <c r="G762" s="24" t="inlineStr">
        <is>
          <t>Historia de usuario</t>
        </is>
      </c>
      <c r="H762" s="8" t="n"/>
      <c r="I762" s="25" t="inlineStr">
        <is>
          <t>Prioridad</t>
        </is>
      </c>
      <c r="J762" s="26" t="inlineStr">
        <is>
          <t>Estimación</t>
        </is>
      </c>
      <c r="L762" s="24" t="inlineStr">
        <is>
          <t>Historia de usuario</t>
        </is>
      </c>
      <c r="M762" s="8" t="n"/>
      <c r="N762" s="25" t="inlineStr">
        <is>
          <t>Prioridad</t>
        </is>
      </c>
      <c r="O762" s="26" t="inlineStr">
        <is>
          <t>Estimación</t>
        </is>
      </c>
    </row>
    <row r="763" ht="30" customHeight="1">
      <c r="B763" s="27" t="inlineStr">
        <is>
          <t>HU-30 · Registrar proveedores</t>
        </is>
      </c>
      <c r="C763" s="8" t="n"/>
      <c r="D763" s="9" t="inlineStr">
        <is>
          <t>Media</t>
        </is>
      </c>
      <c r="E763" s="28" t="inlineStr">
        <is>
          <t>3 pts</t>
        </is>
      </c>
      <c r="G763" s="27" t="inlineStr">
        <is>
          <t>HU-30 · Registrar proveedores</t>
        </is>
      </c>
      <c r="H763" s="8" t="n"/>
      <c r="I763" s="9" t="inlineStr">
        <is>
          <t>Media</t>
        </is>
      </c>
      <c r="J763" s="28" t="inlineStr">
        <is>
          <t>3 pts</t>
        </is>
      </c>
      <c r="L763" s="27" t="inlineStr">
        <is>
          <t>HU-30 · Registrar proveedores</t>
        </is>
      </c>
      <c r="M763" s="8" t="n"/>
      <c r="N763" s="9" t="inlineStr">
        <is>
          <t>Media</t>
        </is>
      </c>
      <c r="O763" s="28" t="inlineStr">
        <is>
          <t>3 pts</t>
        </is>
      </c>
    </row>
    <row r="764">
      <c r="B764" s="29" t="inlineStr">
        <is>
          <t>Descripción:</t>
        </is>
      </c>
      <c r="C764" s="8" t="n"/>
      <c r="D764" s="8" t="n"/>
      <c r="E764" s="23" t="n"/>
      <c r="G764" s="29" t="inlineStr">
        <is>
          <t>Descripción:</t>
        </is>
      </c>
      <c r="H764" s="8" t="n"/>
      <c r="I764" s="8" t="n"/>
      <c r="J764" s="23" t="n"/>
      <c r="L764" s="29" t="inlineStr">
        <is>
          <t>Descripción:</t>
        </is>
      </c>
      <c r="M764" s="8" t="n"/>
      <c r="N764" s="8" t="n"/>
      <c r="O764" s="23" t="n"/>
    </row>
    <row r="765" ht="28" customHeight="1">
      <c r="B765" s="30" t="inlineStr">
        <is>
          <t>Como residente de obra, quiero crear un proveedor desde el formulario de compra, para no interrumpir el registro cuando aún no existe.</t>
        </is>
      </c>
      <c r="C765" s="8" t="n"/>
      <c r="D765" s="8" t="n"/>
      <c r="E765" s="23" t="n"/>
      <c r="G765" s="30" t="inlineStr">
        <is>
          <t>Como residente de obra, quiero crear un proveedor desde el formulario de compra, para no interrumpir el registro cuando aún no existe.</t>
        </is>
      </c>
      <c r="H765" s="8" t="n"/>
      <c r="I765" s="8" t="n"/>
      <c r="J765" s="23" t="n"/>
      <c r="L765" s="30" t="inlineStr">
        <is>
          <t>Como residente de obra, quiero crear un proveedor desde el formulario de compra, para no interrumpir el registro cuando aún no existe.</t>
        </is>
      </c>
      <c r="M765" s="8" t="n"/>
      <c r="N765" s="8" t="n"/>
      <c r="O765" s="23" t="n"/>
    </row>
    <row r="766" ht="28" customHeight="1">
      <c r="B766" s="31" t="n"/>
      <c r="C766" s="8" t="n"/>
      <c r="D766" s="8" t="n"/>
      <c r="E766" s="23" t="n"/>
      <c r="G766" s="31" t="n"/>
      <c r="H766" s="8" t="n"/>
      <c r="I766" s="8" t="n"/>
      <c r="J766" s="23" t="n"/>
      <c r="L766" s="31" t="n"/>
      <c r="M766" s="8" t="n"/>
      <c r="N766" s="8" t="n"/>
      <c r="O766" s="23" t="n"/>
    </row>
    <row r="767">
      <c r="B767" s="29" t="inlineStr">
        <is>
          <t>Ficha de la historia</t>
        </is>
      </c>
      <c r="C767" s="8" t="n"/>
      <c r="D767" s="8" t="n"/>
      <c r="E767" s="23" t="n"/>
      <c r="G767" s="29" t="inlineStr">
        <is>
          <t>Criterios de listo:</t>
        </is>
      </c>
      <c r="H767" s="8" t="n"/>
      <c r="I767" s="8" t="n"/>
      <c r="J767" s="23" t="n"/>
      <c r="L767" s="29" t="inlineStr">
        <is>
          <t>Condiciones finales (se marcan cuando el PO acepta la HU en la Review):</t>
        </is>
      </c>
      <c r="M767" s="8" t="n"/>
      <c r="N767" s="8" t="n"/>
      <c r="O767" s="23" t="n"/>
    </row>
    <row r="768" ht="30" customHeight="1">
      <c r="B768" s="32" t="inlineStr">
        <is>
          <t>Épica: E3. Registrar las compras y sus recepciones</t>
        </is>
      </c>
      <c r="C768" s="8" t="n"/>
      <c r="D768" s="8" t="n"/>
      <c r="E768" s="23" t="n"/>
      <c r="G768" s="33" t="inlineStr">
        <is>
          <t>( x )</t>
        </is>
      </c>
      <c r="H768" s="34" t="inlineStr">
        <is>
          <t>L1 · Redactada en el formato acordado — Cumple</t>
        </is>
      </c>
      <c r="I768" s="8" t="n"/>
      <c r="J768" s="23" t="n"/>
      <c r="L768" s="35" t="inlineStr">
        <is>
          <t>(    )</t>
        </is>
      </c>
      <c r="M768" s="34" t="inlineStr">
        <is>
          <t>El proveedor se ha registrado con RUC y razón social desde la compra</t>
        </is>
      </c>
      <c r="N768" s="8" t="n"/>
      <c r="O768" s="23" t="n"/>
    </row>
    <row r="769" ht="30" customHeight="1">
      <c r="B769" s="32" t="inlineStr">
        <is>
          <t>Módulo: Proveedores</t>
        </is>
      </c>
      <c r="C769" s="8" t="n"/>
      <c r="D769" s="8" t="n"/>
      <c r="E769" s="23" t="n"/>
      <c r="G769" s="33" t="inlineStr">
        <is>
          <t>( x )</t>
        </is>
      </c>
      <c r="H769" s="34" t="inlineStr">
        <is>
          <t>L2 · Nombre corto en forma de acción — Cumple</t>
        </is>
      </c>
      <c r="I769" s="8" t="n"/>
      <c r="J769" s="23" t="n"/>
      <c r="L769" s="35" t="inlineStr">
        <is>
          <t>(    )</t>
        </is>
      </c>
      <c r="M769" s="34" t="inlineStr">
        <is>
          <t>Ha quedado seleccionado en la compra en curso</t>
        </is>
      </c>
      <c r="N769" s="8" t="n"/>
      <c r="O769" s="23" t="n"/>
    </row>
    <row r="770" ht="30" customHeight="1">
      <c r="B770" s="32" t="inlineStr">
        <is>
          <t>Responsable técnico: Web · Víctor Luján</t>
        </is>
      </c>
      <c r="C770" s="8" t="n"/>
      <c r="D770" s="8" t="n"/>
      <c r="E770" s="23" t="n"/>
      <c r="G770" s="33" t="inlineStr">
        <is>
          <t>( x )</t>
        </is>
      </c>
      <c r="H770" s="34" t="inlineStr">
        <is>
          <t>L3 · Criterios de aceptación escritos — Cumple</t>
        </is>
      </c>
      <c r="I770" s="8" t="n"/>
      <c r="J770" s="23" t="n"/>
      <c r="L770" s="35" t="inlineStr">
        <is>
          <t>(    )</t>
        </is>
      </c>
      <c r="M770" s="34" t="inlineStr">
        <is>
          <t>Un RUC repetido se ha rechazado</t>
        </is>
      </c>
      <c r="N770" s="8" t="n"/>
      <c r="O770" s="23" t="n"/>
    </row>
    <row r="771" ht="36" customHeight="1">
      <c r="B771" s="36" t="inlineStr">
        <is>
          <t>Depende de: HU-29</t>
        </is>
      </c>
      <c r="C771" s="37" t="n"/>
      <c r="D771" s="37" t="n"/>
      <c r="E771" s="38" t="n"/>
      <c r="G771" s="33" t="inlineStr">
        <is>
          <t>( x )</t>
        </is>
      </c>
      <c r="H771" s="34" t="inlineStr">
        <is>
          <t>L4 · Dependencias resueltas — Cumple</t>
        </is>
      </c>
      <c r="I771" s="8" t="n"/>
      <c r="J771" s="23" t="n"/>
      <c r="L771" s="36" t="inlineStr">
        <is>
          <t>Mitad técnica: Además, los diez criterios T1 a T10 de la hoja «3. Criterios DoR y DoD», sin excepción</t>
        </is>
      </c>
      <c r="M771" s="37" t="n"/>
      <c r="N771" s="37" t="n"/>
      <c r="O771" s="38" t="n"/>
    </row>
    <row r="772" ht="30" customHeight="1">
      <c r="G772" s="33" t="inlineStr">
        <is>
          <t>( x )</t>
        </is>
      </c>
      <c r="H772" s="34" t="inlineStr">
        <is>
          <t>L5 · Estimada por los Developers — Cumple</t>
        </is>
      </c>
      <c r="I772" s="8" t="n"/>
      <c r="J772" s="23" t="n"/>
    </row>
    <row r="773" ht="30" customHeight="1">
      <c r="G773" s="33" t="inlineStr">
        <is>
          <t>( x )</t>
        </is>
      </c>
      <c r="H773" s="34" t="inlineStr">
        <is>
          <t>L6 · Cabe en un sprint (8 puntos o menos) — Cumple</t>
        </is>
      </c>
      <c r="I773" s="8" t="n"/>
      <c r="J773" s="23" t="n"/>
    </row>
    <row r="774" ht="30" customHeight="1">
      <c r="G774" s="33" t="inlineStr">
        <is>
          <t>( x )</t>
        </is>
      </c>
      <c r="H774" s="34" t="inlineStr">
        <is>
          <t>L7 · Reglas de dominio identificadas — Cumple</t>
        </is>
      </c>
      <c r="I774" s="8" t="n"/>
      <c r="J774" s="23" t="n"/>
    </row>
    <row r="775" ht="30" customHeight="1">
      <c r="G775" s="33" t="inlineStr">
        <is>
          <t>( x )</t>
        </is>
      </c>
      <c r="H775" s="34" t="inlineStr">
        <is>
          <t>L8 · Datos de prueba disponibles — Cumple</t>
        </is>
      </c>
      <c r="I775" s="8" t="n"/>
      <c r="J775" s="23" t="n"/>
    </row>
    <row r="776" ht="30" customHeight="1">
      <c r="G776" s="33" t="inlineStr">
        <is>
          <t>( x )</t>
        </is>
      </c>
      <c r="H776" s="34" t="inlineStr">
        <is>
          <t>L9 · Responsable técnico asignado — Cumple</t>
        </is>
      </c>
      <c r="I776" s="8" t="n"/>
      <c r="J776" s="23" t="n"/>
    </row>
    <row r="777" ht="30" customHeight="1">
      <c r="G777" s="33" t="inlineStr">
        <is>
          <t>( x )</t>
        </is>
      </c>
      <c r="H777" s="34" t="inlineStr">
        <is>
          <t>L10 · Recursos identificados — Cumple: Víctor Luján + equipo de desarrollo y datos de prueba</t>
        </is>
      </c>
      <c r="I777" s="8" t="n"/>
      <c r="J777" s="23" t="n"/>
    </row>
    <row r="778" ht="30" customHeight="1">
      <c r="G778" s="33" t="inlineStr">
        <is>
          <t>( x )</t>
        </is>
      </c>
      <c r="H778" s="34" t="inlineStr">
        <is>
          <t>L11 · Requisitos técnicos de programación definidos — Cumple: React 18, TypeScript y Vite</t>
        </is>
      </c>
      <c r="I778" s="8" t="n"/>
      <c r="J778" s="23" t="n"/>
    </row>
    <row r="779" ht="30" customHeight="1">
      <c r="G779" s="33" t="inlineStr">
        <is>
          <t>( x )</t>
        </is>
      </c>
      <c r="H779" s="34" t="inlineStr">
        <is>
          <t>L12 · Accesos de red disponibles — Cumple: GitHub (repositorio privado), API y PostgreSQL en docker compose, salida HTTPS a api.factiliza.com con token en .env</t>
        </is>
      </c>
      <c r="I779" s="8" t="n"/>
      <c r="J779" s="23" t="n"/>
    </row>
    <row r="780" ht="36" customHeight="1">
      <c r="G780" s="39" t="inlineStr">
        <is>
          <t>Riesgos: RUC repetido o falso · RUC único y dígito verificador</t>
        </is>
      </c>
      <c r="H780" s="8" t="n"/>
      <c r="I780" s="8" t="n"/>
      <c r="J780" s="23" t="n"/>
    </row>
    <row r="781" ht="36" customHeight="1">
      <c r="G781" s="32" t="inlineStr">
        <is>
          <t>Proveedores de servicio: Factiliza (consulta SUNAT/RENIEC, plan gratuito de 100 consultas al mes) · base de datos en la nube</t>
        </is>
      </c>
      <c r="H781" s="8" t="n"/>
      <c r="I781" s="8" t="n"/>
      <c r="J781" s="23" t="n"/>
    </row>
    <row r="782" ht="36" customHeight="1">
      <c r="G782" s="36" t="inlineStr">
        <is>
          <t>Costos: 3 pts ≈ 6 horas-persona (1 punto ≈ 2 h) · servicios externos: S/ 0 (planes gratuitos)</t>
        </is>
      </c>
      <c r="H782" s="37" t="n"/>
      <c r="I782" s="37" t="n"/>
      <c r="J782" s="38" t="n"/>
    </row>
    <row r="785">
      <c r="B785" s="18" t="inlineStr">
        <is>
          <t>HU-31 · Validar RUC en SUNAT</t>
        </is>
      </c>
    </row>
    <row r="786" ht="18" customHeight="1">
      <c r="B786" s="19" t="inlineStr">
        <is>
          <t>TARJETA 1 · Historia de usuario</t>
        </is>
      </c>
      <c r="C786" s="20" t="n"/>
      <c r="D786" s="20" t="n"/>
      <c r="E786" s="21" t="n"/>
      <c r="G786" s="19" t="inlineStr">
        <is>
          <t>TARJETA 2 · Definición de Listo</t>
        </is>
      </c>
      <c r="H786" s="20" t="n"/>
      <c r="I786" s="20" t="n"/>
      <c r="J786" s="21" t="n"/>
      <c r="L786" s="19" t="inlineStr">
        <is>
          <t>TARJETA 3 · Definición de Terminado</t>
        </is>
      </c>
      <c r="M786" s="20" t="n"/>
      <c r="N786" s="20" t="n"/>
      <c r="O786" s="21" t="n"/>
    </row>
    <row r="787" ht="28" customHeight="1">
      <c r="B787" s="22" t="inlineStr">
        <is>
          <t>La unidad con la que se planifica, se estima y se acepta el trabajo</t>
        </is>
      </c>
      <c r="C787" s="8" t="n"/>
      <c r="D787" s="8" t="n"/>
      <c r="E787" s="23" t="n"/>
      <c r="G787" s="22" t="inlineStr">
        <is>
          <t>El enfoque está en la consideración del equipo de desarrollo sobre si la historia está lista para un Sprint</t>
        </is>
      </c>
      <c r="H787" s="8" t="n"/>
      <c r="I787" s="8" t="n"/>
      <c r="J787" s="23" t="n"/>
      <c r="L787" s="22" t="inlineStr">
        <is>
          <t>El enfoque está en la aceptación del cliente cuando se le entregue el producto</t>
        </is>
      </c>
      <c r="M787" s="8" t="n"/>
      <c r="N787" s="8" t="n"/>
      <c r="O787" s="23" t="n"/>
    </row>
    <row r="788">
      <c r="B788" s="24" t="inlineStr">
        <is>
          <t>Historia de usuario</t>
        </is>
      </c>
      <c r="C788" s="8" t="n"/>
      <c r="D788" s="25" t="inlineStr">
        <is>
          <t>Prioridad</t>
        </is>
      </c>
      <c r="E788" s="26" t="inlineStr">
        <is>
          <t>Estimación</t>
        </is>
      </c>
      <c r="G788" s="24" t="inlineStr">
        <is>
          <t>Historia de usuario</t>
        </is>
      </c>
      <c r="H788" s="8" t="n"/>
      <c r="I788" s="25" t="inlineStr">
        <is>
          <t>Prioridad</t>
        </is>
      </c>
      <c r="J788" s="26" t="inlineStr">
        <is>
          <t>Estimación</t>
        </is>
      </c>
      <c r="L788" s="24" t="inlineStr">
        <is>
          <t>Historia de usuario</t>
        </is>
      </c>
      <c r="M788" s="8" t="n"/>
      <c r="N788" s="25" t="inlineStr">
        <is>
          <t>Prioridad</t>
        </is>
      </c>
      <c r="O788" s="26" t="inlineStr">
        <is>
          <t>Estimación</t>
        </is>
      </c>
    </row>
    <row r="789" ht="30" customHeight="1">
      <c r="B789" s="27" t="inlineStr">
        <is>
          <t>HU-31 · Validar RUC en SUNAT</t>
        </is>
      </c>
      <c r="C789" s="8" t="n"/>
      <c r="D789" s="9" t="inlineStr">
        <is>
          <t>Alta</t>
        </is>
      </c>
      <c r="E789" s="28" t="inlineStr">
        <is>
          <t>5 pts</t>
        </is>
      </c>
      <c r="G789" s="27" t="inlineStr">
        <is>
          <t>HU-31 · Validar RUC en SUNAT</t>
        </is>
      </c>
      <c r="H789" s="8" t="n"/>
      <c r="I789" s="9" t="inlineStr">
        <is>
          <t>Alta</t>
        </is>
      </c>
      <c r="J789" s="28" t="inlineStr">
        <is>
          <t>5 pts</t>
        </is>
      </c>
      <c r="L789" s="27" t="inlineStr">
        <is>
          <t>HU-31 · Validar RUC en SUNAT</t>
        </is>
      </c>
      <c r="M789" s="8" t="n"/>
      <c r="N789" s="9" t="inlineStr">
        <is>
          <t>Alta</t>
        </is>
      </c>
      <c r="O789" s="28" t="inlineStr">
        <is>
          <t>5 pts</t>
        </is>
      </c>
    </row>
    <row r="790">
      <c r="B790" s="29" t="inlineStr">
        <is>
          <t>Descripción:</t>
        </is>
      </c>
      <c r="C790" s="8" t="n"/>
      <c r="D790" s="8" t="n"/>
      <c r="E790" s="23" t="n"/>
      <c r="G790" s="29" t="inlineStr">
        <is>
          <t>Descripción:</t>
        </is>
      </c>
      <c r="H790" s="8" t="n"/>
      <c r="I790" s="8" t="n"/>
      <c r="J790" s="23" t="n"/>
      <c r="L790" s="29" t="inlineStr">
        <is>
          <t>Descripción:</t>
        </is>
      </c>
      <c r="M790" s="8" t="n"/>
      <c r="N790" s="8" t="n"/>
      <c r="O790" s="23" t="n"/>
    </row>
    <row r="791" ht="28" customHeight="1">
      <c r="B791" s="30" t="inlineStr">
        <is>
          <t>Como residente de obra, quiero validar el RUC del proveedor contra el padrón de SUNAT, para asegurar que el comprobante corresponda a quien dice.</t>
        </is>
      </c>
      <c r="C791" s="8" t="n"/>
      <c r="D791" s="8" t="n"/>
      <c r="E791" s="23" t="n"/>
      <c r="G791" s="30" t="inlineStr">
        <is>
          <t>Como residente de obra, quiero validar el RUC del proveedor contra el padrón de SUNAT, para asegurar que el comprobante corresponda a quien dice.</t>
        </is>
      </c>
      <c r="H791" s="8" t="n"/>
      <c r="I791" s="8" t="n"/>
      <c r="J791" s="23" t="n"/>
      <c r="L791" s="30" t="inlineStr">
        <is>
          <t>Como residente de obra, quiero validar el RUC del proveedor contra el padrón de SUNAT, para asegurar que el comprobante corresponda a quien dice.</t>
        </is>
      </c>
      <c r="M791" s="8" t="n"/>
      <c r="N791" s="8" t="n"/>
      <c r="O791" s="23" t="n"/>
    </row>
    <row r="792" ht="28" customHeight="1">
      <c r="B792" s="31" t="n"/>
      <c r="C792" s="8" t="n"/>
      <c r="D792" s="8" t="n"/>
      <c r="E792" s="23" t="n"/>
      <c r="G792" s="31" t="n"/>
      <c r="H792" s="8" t="n"/>
      <c r="I792" s="8" t="n"/>
      <c r="J792" s="23" t="n"/>
      <c r="L792" s="31" t="n"/>
      <c r="M792" s="8" t="n"/>
      <c r="N792" s="8" t="n"/>
      <c r="O792" s="23" t="n"/>
    </row>
    <row r="793">
      <c r="B793" s="29" t="inlineStr">
        <is>
          <t>Ficha de la historia</t>
        </is>
      </c>
      <c r="C793" s="8" t="n"/>
      <c r="D793" s="8" t="n"/>
      <c r="E793" s="23" t="n"/>
      <c r="G793" s="29" t="inlineStr">
        <is>
          <t>Criterios de listo:</t>
        </is>
      </c>
      <c r="H793" s="8" t="n"/>
      <c r="I793" s="8" t="n"/>
      <c r="J793" s="23" t="n"/>
      <c r="L793" s="29" t="inlineStr">
        <is>
          <t>Condiciones finales (se marcan cuando el PO acepta la HU en la Review):</t>
        </is>
      </c>
      <c r="M793" s="8" t="n"/>
      <c r="N793" s="8" t="n"/>
      <c r="O793" s="23" t="n"/>
    </row>
    <row r="794" ht="30" customHeight="1">
      <c r="B794" s="32" t="inlineStr">
        <is>
          <t>Épica: E3. Registrar las compras y sus recepciones</t>
        </is>
      </c>
      <c r="C794" s="8" t="n"/>
      <c r="D794" s="8" t="n"/>
      <c r="E794" s="23" t="n"/>
      <c r="G794" s="33" t="inlineStr">
        <is>
          <t>( x )</t>
        </is>
      </c>
      <c r="H794" s="34" t="inlineStr">
        <is>
          <t>L1 · Redactada en el formato acordado — Cumple</t>
        </is>
      </c>
      <c r="I794" s="8" t="n"/>
      <c r="J794" s="23" t="n"/>
      <c r="L794" s="35" t="inlineStr">
        <is>
          <t>(    )</t>
        </is>
      </c>
      <c r="M794" s="34" t="inlineStr">
        <is>
          <t>El dígito verificador del RUC se ha validado, incluso sin conexión</t>
        </is>
      </c>
      <c r="N794" s="8" t="n"/>
      <c r="O794" s="23" t="n"/>
    </row>
    <row r="795" ht="30" customHeight="1">
      <c r="B795" s="32" t="inlineStr">
        <is>
          <t>Módulo: Proveedores</t>
        </is>
      </c>
      <c r="C795" s="8" t="n"/>
      <c r="D795" s="8" t="n"/>
      <c r="E795" s="23" t="n"/>
      <c r="G795" s="33" t="inlineStr">
        <is>
          <t>( x )</t>
        </is>
      </c>
      <c r="H795" s="34" t="inlineStr">
        <is>
          <t>L2 · Nombre corto en forma de acción — Cumple</t>
        </is>
      </c>
      <c r="I795" s="8" t="n"/>
      <c r="J795" s="23" t="n"/>
      <c r="L795" s="35" t="inlineStr">
        <is>
          <t>(    )</t>
        </is>
      </c>
      <c r="M795" s="34" t="inlineStr">
        <is>
          <t>Con conexión, la razón social se ha completado desde SUNAT</t>
        </is>
      </c>
      <c r="N795" s="8" t="n"/>
      <c r="O795" s="23" t="n"/>
    </row>
    <row r="796" ht="30" customHeight="1">
      <c r="B796" s="32" t="inlineStr">
        <is>
          <t>Responsable técnico: Integraciones · Fernando Istaña</t>
        </is>
      </c>
      <c r="C796" s="8" t="n"/>
      <c r="D796" s="8" t="n"/>
      <c r="E796" s="23" t="n"/>
      <c r="G796" s="33" t="inlineStr">
        <is>
          <t>( x )</t>
        </is>
      </c>
      <c r="H796" s="34" t="inlineStr">
        <is>
          <t>L3 · Criterios de aceptación escritos — Cumple</t>
        </is>
      </c>
      <c r="I796" s="8" t="n"/>
      <c r="J796" s="23" t="n"/>
      <c r="L796" s="35" t="inlineStr">
        <is>
          <t>(    )</t>
        </is>
      </c>
      <c r="M796" s="34" t="inlineStr">
        <is>
          <t>Si el servicio no respondió, el proveedor se ha guardado «por validar» y el registro ha continuado</t>
        </is>
      </c>
      <c r="N796" s="8" t="n"/>
      <c r="O796" s="23" t="n"/>
    </row>
    <row r="797" ht="36" customHeight="1">
      <c r="B797" s="36" t="inlineStr">
        <is>
          <t>Depende de: HU-30</t>
        </is>
      </c>
      <c r="C797" s="37" t="n"/>
      <c r="D797" s="37" t="n"/>
      <c r="E797" s="38" t="n"/>
      <c r="G797" s="33" t="inlineStr">
        <is>
          <t>( x )</t>
        </is>
      </c>
      <c r="H797" s="34" t="inlineStr">
        <is>
          <t>L4 · Dependencias resueltas — Cumple</t>
        </is>
      </c>
      <c r="I797" s="8" t="n"/>
      <c r="J797" s="23" t="n"/>
      <c r="L797" s="36" t="inlineStr">
        <is>
          <t>Mitad técnica: Además, los diez criterios T1 a T10 de la hoja «3. Criterios DoR y DoD», sin excepción</t>
        </is>
      </c>
      <c r="M797" s="37" t="n"/>
      <c r="N797" s="37" t="n"/>
      <c r="O797" s="38" t="n"/>
    </row>
    <row r="798" ht="30" customHeight="1">
      <c r="G798" s="33" t="inlineStr">
        <is>
          <t>( x )</t>
        </is>
      </c>
      <c r="H798" s="34" t="inlineStr">
        <is>
          <t>L5 · Estimada por los Developers — Cumple</t>
        </is>
      </c>
      <c r="I798" s="8" t="n"/>
      <c r="J798" s="23" t="n"/>
    </row>
    <row r="799" ht="30" customHeight="1">
      <c r="G799" s="33" t="inlineStr">
        <is>
          <t>( x )</t>
        </is>
      </c>
      <c r="H799" s="34" t="inlineStr">
        <is>
          <t>L6 · Cabe en un sprint (8 puntos o menos) — Cumple</t>
        </is>
      </c>
      <c r="I799" s="8" t="n"/>
      <c r="J799" s="23" t="n"/>
    </row>
    <row r="800" ht="30" customHeight="1">
      <c r="G800" s="33" t="inlineStr">
        <is>
          <t>( x )</t>
        </is>
      </c>
      <c r="H800" s="34" t="inlineStr">
        <is>
          <t>L7 · Reglas de dominio identificadas — Cumple</t>
        </is>
      </c>
      <c r="I800" s="8" t="n"/>
      <c r="J800" s="23" t="n"/>
    </row>
    <row r="801" ht="30" customHeight="1">
      <c r="G801" s="33" t="inlineStr">
        <is>
          <t>( x )</t>
        </is>
      </c>
      <c r="H801" s="34" t="inlineStr">
        <is>
          <t>L8 · Datos de prueba disponibles — Cumple</t>
        </is>
      </c>
      <c r="I801" s="8" t="n"/>
      <c r="J801" s="23" t="n"/>
    </row>
    <row r="802" ht="30" customHeight="1">
      <c r="G802" s="33" t="inlineStr">
        <is>
          <t>( x )</t>
        </is>
      </c>
      <c r="H802" s="34" t="inlineStr">
        <is>
          <t>L9 · Responsable técnico asignado — Cumple</t>
        </is>
      </c>
      <c r="I802" s="8" t="n"/>
      <c r="J802" s="23" t="n"/>
    </row>
    <row r="803" ht="30" customHeight="1">
      <c r="G803" s="33" t="inlineStr">
        <is>
          <t>( x )</t>
        </is>
      </c>
      <c r="H803" s="34" t="inlineStr">
        <is>
          <t>L10 · Recursos identificados — Cumple: Fernando Istaña + equipo de desarrollo y datos de prueba</t>
        </is>
      </c>
      <c r="I803" s="8" t="n"/>
      <c r="J803" s="23" t="n"/>
    </row>
    <row r="804" ht="30" customHeight="1">
      <c r="G804" s="33" t="inlineStr">
        <is>
          <t>( x )</t>
        </is>
      </c>
      <c r="H804" s="34" t="inlineStr">
        <is>
          <t>L11 · Requisitos técnicos de programación definidos — Cumple: FastAPI y httpx + API de Factiliza</t>
        </is>
      </c>
      <c r="I804" s="8" t="n"/>
      <c r="J804" s="23" t="n"/>
    </row>
    <row r="805" ht="30" customHeight="1">
      <c r="G805" s="33" t="inlineStr">
        <is>
          <t>( x )</t>
        </is>
      </c>
      <c r="H805" s="34" t="inlineStr">
        <is>
          <t>L12 · Accesos de red disponibles — Cumple: GitHub (repositorio privado), API y PostgreSQL en docker compose, salida HTTPS a api.factiliza.com con token en .env</t>
        </is>
      </c>
      <c r="I805" s="8" t="n"/>
      <c r="J805" s="23" t="n"/>
    </row>
    <row r="806" ht="36" customHeight="1">
      <c r="G806" s="39" t="inlineStr">
        <is>
          <t>Riesgos: SUNAT o el servicio caído detiene la compra · se guarda «por validar» y se sigue</t>
        </is>
      </c>
      <c r="H806" s="8" t="n"/>
      <c r="I806" s="8" t="n"/>
      <c r="J806" s="23" t="n"/>
    </row>
    <row r="807" ht="36" customHeight="1">
      <c r="G807" s="32" t="inlineStr">
        <is>
          <t>Proveedores de servicio: Factiliza (consulta SUNAT/RENIEC, plan gratuito de 100 consultas al mes) · base de datos en la nube</t>
        </is>
      </c>
      <c r="H807" s="8" t="n"/>
      <c r="I807" s="8" t="n"/>
      <c r="J807" s="23" t="n"/>
    </row>
    <row r="808" ht="36" customHeight="1">
      <c r="G808" s="36" t="inlineStr">
        <is>
          <t>Costos: 5 pts ≈ 10 horas-persona (1 punto ≈ 2 h) · servicios externos: S/ 0 (planes gratuitos)</t>
        </is>
      </c>
      <c r="H808" s="37" t="n"/>
      <c r="I808" s="37" t="n"/>
      <c r="J808" s="38" t="n"/>
    </row>
    <row r="811">
      <c r="B811" s="18" t="inlineStr">
        <is>
          <t>HU-32 · Registrar compras</t>
        </is>
      </c>
    </row>
    <row r="812" ht="18" customHeight="1">
      <c r="B812" s="19" t="inlineStr">
        <is>
          <t>TARJETA 1 · Historia de usuario</t>
        </is>
      </c>
      <c r="C812" s="20" t="n"/>
      <c r="D812" s="20" t="n"/>
      <c r="E812" s="21" t="n"/>
      <c r="G812" s="19" t="inlineStr">
        <is>
          <t>TARJETA 2 · Definición de Listo</t>
        </is>
      </c>
      <c r="H812" s="20" t="n"/>
      <c r="I812" s="20" t="n"/>
      <c r="J812" s="21" t="n"/>
      <c r="L812" s="19" t="inlineStr">
        <is>
          <t>TARJETA 3 · Definición de Terminado</t>
        </is>
      </c>
      <c r="M812" s="20" t="n"/>
      <c r="N812" s="20" t="n"/>
      <c r="O812" s="21" t="n"/>
    </row>
    <row r="813" ht="28" customHeight="1">
      <c r="B813" s="22" t="inlineStr">
        <is>
          <t>La unidad con la que se planifica, se estima y se acepta el trabajo</t>
        </is>
      </c>
      <c r="C813" s="8" t="n"/>
      <c r="D813" s="8" t="n"/>
      <c r="E813" s="23" t="n"/>
      <c r="G813" s="22" t="inlineStr">
        <is>
          <t>El enfoque está en la consideración del equipo de desarrollo sobre si la historia está lista para un Sprint</t>
        </is>
      </c>
      <c r="H813" s="8" t="n"/>
      <c r="I813" s="8" t="n"/>
      <c r="J813" s="23" t="n"/>
      <c r="L813" s="22" t="inlineStr">
        <is>
          <t>El enfoque está en la aceptación del cliente cuando se le entregue el producto</t>
        </is>
      </c>
      <c r="M813" s="8" t="n"/>
      <c r="N813" s="8" t="n"/>
      <c r="O813" s="23" t="n"/>
    </row>
    <row r="814">
      <c r="B814" s="24" t="inlineStr">
        <is>
          <t>Historia de usuario</t>
        </is>
      </c>
      <c r="C814" s="8" t="n"/>
      <c r="D814" s="25" t="inlineStr">
        <is>
          <t>Prioridad</t>
        </is>
      </c>
      <c r="E814" s="26" t="inlineStr">
        <is>
          <t>Estimación</t>
        </is>
      </c>
      <c r="G814" s="24" t="inlineStr">
        <is>
          <t>Historia de usuario</t>
        </is>
      </c>
      <c r="H814" s="8" t="n"/>
      <c r="I814" s="25" t="inlineStr">
        <is>
          <t>Prioridad</t>
        </is>
      </c>
      <c r="J814" s="26" t="inlineStr">
        <is>
          <t>Estimación</t>
        </is>
      </c>
      <c r="L814" s="24" t="inlineStr">
        <is>
          <t>Historia de usuario</t>
        </is>
      </c>
      <c r="M814" s="8" t="n"/>
      <c r="N814" s="25" t="inlineStr">
        <is>
          <t>Prioridad</t>
        </is>
      </c>
      <c r="O814" s="26" t="inlineStr">
        <is>
          <t>Estimación</t>
        </is>
      </c>
    </row>
    <row r="815" ht="30" customHeight="1">
      <c r="B815" s="27" t="inlineStr">
        <is>
          <t>HU-32 · Registrar compras</t>
        </is>
      </c>
      <c r="C815" s="8" t="n"/>
      <c r="D815" s="9" t="inlineStr">
        <is>
          <t>Crítica</t>
        </is>
      </c>
      <c r="E815" s="28" t="inlineStr">
        <is>
          <t>8 pts</t>
        </is>
      </c>
      <c r="G815" s="27" t="inlineStr">
        <is>
          <t>HU-32 · Registrar compras</t>
        </is>
      </c>
      <c r="H815" s="8" t="n"/>
      <c r="I815" s="9" t="inlineStr">
        <is>
          <t>Crítica</t>
        </is>
      </c>
      <c r="J815" s="28" t="inlineStr">
        <is>
          <t>8 pts</t>
        </is>
      </c>
      <c r="L815" s="27" t="inlineStr">
        <is>
          <t>HU-32 · Registrar compras</t>
        </is>
      </c>
      <c r="M815" s="8" t="n"/>
      <c r="N815" s="9" t="inlineStr">
        <is>
          <t>Crítica</t>
        </is>
      </c>
      <c r="O815" s="28" t="inlineStr">
        <is>
          <t>8 pts</t>
        </is>
      </c>
    </row>
    <row r="816">
      <c r="B816" s="29" t="inlineStr">
        <is>
          <t>Descripción:</t>
        </is>
      </c>
      <c r="C816" s="8" t="n"/>
      <c r="D816" s="8" t="n"/>
      <c r="E816" s="23" t="n"/>
      <c r="G816" s="29" t="inlineStr">
        <is>
          <t>Descripción:</t>
        </is>
      </c>
      <c r="H816" s="8" t="n"/>
      <c r="I816" s="8" t="n"/>
      <c r="J816" s="23" t="n"/>
      <c r="L816" s="29" t="inlineStr">
        <is>
          <t>Descripción:</t>
        </is>
      </c>
      <c r="M816" s="8" t="n"/>
      <c r="N816" s="8" t="n"/>
      <c r="O816" s="23" t="n"/>
    </row>
    <row r="817" ht="28" customHeight="1">
      <c r="B817" s="30" t="inlineStr">
        <is>
          <t>Como residente de obra, quiero registrar la compra con proveedor, comprobante y productos, para dejar constancia de lo adquirido.</t>
        </is>
      </c>
      <c r="C817" s="8" t="n"/>
      <c r="D817" s="8" t="n"/>
      <c r="E817" s="23" t="n"/>
      <c r="G817" s="30" t="inlineStr">
        <is>
          <t>Como residente de obra, quiero registrar la compra con proveedor, comprobante y productos, para dejar constancia de lo adquirido.</t>
        </is>
      </c>
      <c r="H817" s="8" t="n"/>
      <c r="I817" s="8" t="n"/>
      <c r="J817" s="23" t="n"/>
      <c r="L817" s="30" t="inlineStr">
        <is>
          <t>Como residente de obra, quiero registrar la compra con proveedor, comprobante y productos, para dejar constancia de lo adquirido.</t>
        </is>
      </c>
      <c r="M817" s="8" t="n"/>
      <c r="N817" s="8" t="n"/>
      <c r="O817" s="23" t="n"/>
    </row>
    <row r="818" ht="28" customHeight="1">
      <c r="B818" s="31" t="n"/>
      <c r="C818" s="8" t="n"/>
      <c r="D818" s="8" t="n"/>
      <c r="E818" s="23" t="n"/>
      <c r="G818" s="31" t="n"/>
      <c r="H818" s="8" t="n"/>
      <c r="I818" s="8" t="n"/>
      <c r="J818" s="23" t="n"/>
      <c r="L818" s="31" t="n"/>
      <c r="M818" s="8" t="n"/>
      <c r="N818" s="8" t="n"/>
      <c r="O818" s="23" t="n"/>
    </row>
    <row r="819">
      <c r="B819" s="29" t="inlineStr">
        <is>
          <t>Ficha de la historia</t>
        </is>
      </c>
      <c r="C819" s="8" t="n"/>
      <c r="D819" s="8" t="n"/>
      <c r="E819" s="23" t="n"/>
      <c r="G819" s="29" t="inlineStr">
        <is>
          <t>Criterios de listo:</t>
        </is>
      </c>
      <c r="H819" s="8" t="n"/>
      <c r="I819" s="8" t="n"/>
      <c r="J819" s="23" t="n"/>
      <c r="L819" s="29" t="inlineStr">
        <is>
          <t>Condiciones finales (se marcan cuando el PO acepta la HU en la Review):</t>
        </is>
      </c>
      <c r="M819" s="8" t="n"/>
      <c r="N819" s="8" t="n"/>
      <c r="O819" s="23" t="n"/>
    </row>
    <row r="820" ht="30" customHeight="1">
      <c r="B820" s="32" t="inlineStr">
        <is>
          <t>Épica: E3. Registrar las compras y sus recepciones</t>
        </is>
      </c>
      <c r="C820" s="8" t="n"/>
      <c r="D820" s="8" t="n"/>
      <c r="E820" s="23" t="n"/>
      <c r="G820" s="33" t="inlineStr">
        <is>
          <t>( x )</t>
        </is>
      </c>
      <c r="H820" s="34" t="inlineStr">
        <is>
          <t>L1 · Redactada en el formato acordado — Cumple</t>
        </is>
      </c>
      <c r="I820" s="8" t="n"/>
      <c r="J820" s="23" t="n"/>
      <c r="L820" s="35" t="inlineStr">
        <is>
          <t>(    )</t>
        </is>
      </c>
      <c r="M820" s="34" t="inlineStr">
        <is>
          <t>La compra se ha registrado con proveedor, fecha, comprobante e insumos con cantidad y precio</t>
        </is>
      </c>
      <c r="N820" s="8" t="n"/>
      <c r="O820" s="23" t="n"/>
    </row>
    <row r="821" ht="30" customHeight="1">
      <c r="B821" s="32" t="inlineStr">
        <is>
          <t>Módulo: Compras / Recepciones</t>
        </is>
      </c>
      <c r="C821" s="8" t="n"/>
      <c r="D821" s="8" t="n"/>
      <c r="E821" s="23" t="n"/>
      <c r="G821" s="33" t="inlineStr">
        <is>
          <t>( x )</t>
        </is>
      </c>
      <c r="H821" s="34" t="inlineStr">
        <is>
          <t>L2 · Nombre corto en forma de acción — Cumple</t>
        </is>
      </c>
      <c r="I821" s="8" t="n"/>
      <c r="J821" s="23" t="n"/>
      <c r="L821" s="35" t="inlineStr">
        <is>
          <t>(    )</t>
        </is>
      </c>
      <c r="M821" s="34" t="inlineStr">
        <is>
          <t>Han quedado registrados la base imponible, el impuesto y el total</t>
        </is>
      </c>
      <c r="N821" s="8" t="n"/>
      <c r="O821" s="23" t="n"/>
    </row>
    <row r="822" ht="30" customHeight="1">
      <c r="B822" s="32" t="inlineStr">
        <is>
          <t>Responsable técnico: Web · Víctor Luján</t>
        </is>
      </c>
      <c r="C822" s="8" t="n"/>
      <c r="D822" s="8" t="n"/>
      <c r="E822" s="23" t="n"/>
      <c r="G822" s="33" t="inlineStr">
        <is>
          <t>( x )</t>
        </is>
      </c>
      <c r="H822" s="34" t="inlineStr">
        <is>
          <t>L3 · Criterios de aceptación escritos — Cumple</t>
        </is>
      </c>
      <c r="I822" s="8" t="n"/>
      <c r="J822" s="23" t="n"/>
      <c r="L822" s="35" t="inlineStr">
        <is>
          <t>(    )</t>
        </is>
      </c>
      <c r="M822" s="34" t="inlineStr">
        <is>
          <t>Un comprobante repetido del mismo proveedor se ha rechazado</t>
        </is>
      </c>
      <c r="N822" s="8" t="n"/>
      <c r="O822" s="23" t="n"/>
    </row>
    <row r="823" ht="30" customHeight="1">
      <c r="B823" s="36" t="inlineStr">
        <is>
          <t>Depende de: HU-29, HU-30</t>
        </is>
      </c>
      <c r="C823" s="37" t="n"/>
      <c r="D823" s="37" t="n"/>
      <c r="E823" s="38" t="n"/>
      <c r="G823" s="33" t="inlineStr">
        <is>
          <t>( x )</t>
        </is>
      </c>
      <c r="H823" s="34" t="inlineStr">
        <is>
          <t>L4 · Dependencias resueltas — Cumple</t>
        </is>
      </c>
      <c r="I823" s="8" t="n"/>
      <c r="J823" s="23" t="n"/>
      <c r="L823" s="35" t="inlineStr">
        <is>
          <t>(    )</t>
        </is>
      </c>
      <c r="M823" s="34" t="inlineStr">
        <is>
          <t>El stock no ha cambiado hasta la recepción</t>
        </is>
      </c>
      <c r="N823" s="8" t="n"/>
      <c r="O823" s="23" t="n"/>
    </row>
    <row r="824" ht="36" customHeight="1">
      <c r="G824" s="33" t="inlineStr">
        <is>
          <t>( x )</t>
        </is>
      </c>
      <c r="H824" s="34" t="inlineStr">
        <is>
          <t>L5 · Estimada por los Developers — Cumple</t>
        </is>
      </c>
      <c r="I824" s="8" t="n"/>
      <c r="J824" s="23" t="n"/>
      <c r="L824" s="36" t="inlineStr">
        <is>
          <t>Mitad técnica: Además, los diez criterios T1 a T10 de la hoja «3. Criterios DoR y DoD», sin excepción</t>
        </is>
      </c>
      <c r="M824" s="37" t="n"/>
      <c r="N824" s="37" t="n"/>
      <c r="O824" s="38" t="n"/>
    </row>
    <row r="825" ht="30" customHeight="1">
      <c r="G825" s="33" t="inlineStr">
        <is>
          <t>( x )</t>
        </is>
      </c>
      <c r="H825" s="34" t="inlineStr">
        <is>
          <t>L6 · Cabe en un sprint (8 puntos o menos) — Cumple</t>
        </is>
      </c>
      <c r="I825" s="8" t="n"/>
      <c r="J825" s="23" t="n"/>
    </row>
    <row r="826" ht="30" customHeight="1">
      <c r="G826" s="33" t="inlineStr">
        <is>
          <t>( x )</t>
        </is>
      </c>
      <c r="H826" s="34" t="inlineStr">
        <is>
          <t>L7 · Reglas de dominio identificadas — Cumple</t>
        </is>
      </c>
      <c r="I826" s="8" t="n"/>
      <c r="J826" s="23" t="n"/>
    </row>
    <row r="827" ht="30" customHeight="1">
      <c r="G827" s="33" t="inlineStr">
        <is>
          <t>( x )</t>
        </is>
      </c>
      <c r="H827" s="34" t="inlineStr">
        <is>
          <t>L8 · Datos de prueba disponibles — Cumple</t>
        </is>
      </c>
      <c r="I827" s="8" t="n"/>
      <c r="J827" s="23" t="n"/>
    </row>
    <row r="828" ht="30" customHeight="1">
      <c r="G828" s="33" t="inlineStr">
        <is>
          <t>( x )</t>
        </is>
      </c>
      <c r="H828" s="34" t="inlineStr">
        <is>
          <t>L9 · Responsable técnico asignado — Cumple</t>
        </is>
      </c>
      <c r="I828" s="8" t="n"/>
      <c r="J828" s="23" t="n"/>
    </row>
    <row r="829" ht="30" customHeight="1">
      <c r="G829" s="33" t="inlineStr">
        <is>
          <t>( x )</t>
        </is>
      </c>
      <c r="H829" s="34" t="inlineStr">
        <is>
          <t>L10 · Recursos identificados — Cumple: Víctor Luján + equipo de desarrollo y datos de prueba</t>
        </is>
      </c>
      <c r="I829" s="8" t="n"/>
      <c r="J829" s="23" t="n"/>
    </row>
    <row r="830" ht="30" customHeight="1">
      <c r="G830" s="33" t="inlineStr">
        <is>
          <t>( x )</t>
        </is>
      </c>
      <c r="H830" s="34" t="inlineStr">
        <is>
          <t>L11 · Requisitos técnicos de programación definidos — Cumple: React 18, TypeScript y Vite</t>
        </is>
      </c>
      <c r="I830" s="8" t="n"/>
      <c r="J830" s="23" t="n"/>
    </row>
    <row r="831" ht="30" customHeight="1">
      <c r="G831" s="33" t="inlineStr">
        <is>
          <t>( x )</t>
        </is>
      </c>
      <c r="H831" s="34" t="inlineStr">
        <is>
          <t>L12 · Accesos de red disponibles — Cumple: GitHub (repositorio privado), API y PostgreSQL en docker compose</t>
        </is>
      </c>
      <c r="I831" s="8" t="n"/>
      <c r="J831" s="23" t="n"/>
    </row>
    <row r="832" ht="36" customHeight="1">
      <c r="G832" s="39" t="inlineStr">
        <is>
          <t>Riesgos: Comprobante registrado dos veces · único por tipo, número y proveedor</t>
        </is>
      </c>
      <c r="H832" s="8" t="n"/>
      <c r="I832" s="8" t="n"/>
      <c r="J832" s="23" t="n"/>
    </row>
    <row r="833" ht="36" customHeight="1">
      <c r="G833" s="32" t="inlineStr">
        <is>
          <t>Proveedores de servicio: Navegador · API en la nube (PostgreSQL gestionado, capa gratuita)</t>
        </is>
      </c>
      <c r="H833" s="8" t="n"/>
      <c r="I833" s="8" t="n"/>
      <c r="J833" s="23" t="n"/>
    </row>
    <row r="834" ht="36" customHeight="1">
      <c r="G834" s="36" t="inlineStr">
        <is>
          <t>Costos: 8 pts ≈ 16 horas-persona (1 punto ≈ 2 h) · servicios externos: S/ 0 (planes gratuitos)</t>
        </is>
      </c>
      <c r="H834" s="37" t="n"/>
      <c r="I834" s="37" t="n"/>
      <c r="J834" s="38" t="n"/>
    </row>
    <row r="837">
      <c r="B837" s="18" t="inlineStr">
        <is>
          <t>HU-33 · Registrar precio pagado</t>
        </is>
      </c>
    </row>
    <row r="838" ht="18" customHeight="1">
      <c r="B838" s="19" t="inlineStr">
        <is>
          <t>TARJETA 1 · Historia de usuario</t>
        </is>
      </c>
      <c r="C838" s="20" t="n"/>
      <c r="D838" s="20" t="n"/>
      <c r="E838" s="21" t="n"/>
      <c r="G838" s="19" t="inlineStr">
        <is>
          <t>TARJETA 2 · Definición de Listo</t>
        </is>
      </c>
      <c r="H838" s="20" t="n"/>
      <c r="I838" s="20" t="n"/>
      <c r="J838" s="21" t="n"/>
      <c r="L838" s="19" t="inlineStr">
        <is>
          <t>TARJETA 3 · Definición de Terminado</t>
        </is>
      </c>
      <c r="M838" s="20" t="n"/>
      <c r="N838" s="20" t="n"/>
      <c r="O838" s="21" t="n"/>
    </row>
    <row r="839" ht="28" customHeight="1">
      <c r="B839" s="22" t="inlineStr">
        <is>
          <t>La unidad con la que se planifica, se estima y se acepta el trabajo</t>
        </is>
      </c>
      <c r="C839" s="8" t="n"/>
      <c r="D839" s="8" t="n"/>
      <c r="E839" s="23" t="n"/>
      <c r="G839" s="22" t="inlineStr">
        <is>
          <t>El enfoque está en la consideración del equipo de desarrollo sobre si la historia está lista para un Sprint</t>
        </is>
      </c>
      <c r="H839" s="8" t="n"/>
      <c r="I839" s="8" t="n"/>
      <c r="J839" s="23" t="n"/>
      <c r="L839" s="22" t="inlineStr">
        <is>
          <t>El enfoque está en la aceptación del cliente cuando se le entregue el producto</t>
        </is>
      </c>
      <c r="M839" s="8" t="n"/>
      <c r="N839" s="8" t="n"/>
      <c r="O839" s="23" t="n"/>
    </row>
    <row r="840">
      <c r="B840" s="24" t="inlineStr">
        <is>
          <t>Historia de usuario</t>
        </is>
      </c>
      <c r="C840" s="8" t="n"/>
      <c r="D840" s="25" t="inlineStr">
        <is>
          <t>Prioridad</t>
        </is>
      </c>
      <c r="E840" s="26" t="inlineStr">
        <is>
          <t>Estimación</t>
        </is>
      </c>
      <c r="G840" s="24" t="inlineStr">
        <is>
          <t>Historia de usuario</t>
        </is>
      </c>
      <c r="H840" s="8" t="n"/>
      <c r="I840" s="25" t="inlineStr">
        <is>
          <t>Prioridad</t>
        </is>
      </c>
      <c r="J840" s="26" t="inlineStr">
        <is>
          <t>Estimación</t>
        </is>
      </c>
      <c r="L840" s="24" t="inlineStr">
        <is>
          <t>Historia de usuario</t>
        </is>
      </c>
      <c r="M840" s="8" t="n"/>
      <c r="N840" s="25" t="inlineStr">
        <is>
          <t>Prioridad</t>
        </is>
      </c>
      <c r="O840" s="26" t="inlineStr">
        <is>
          <t>Estimación</t>
        </is>
      </c>
    </row>
    <row r="841" ht="30" customHeight="1">
      <c r="B841" s="27" t="inlineStr">
        <is>
          <t>HU-33 · Registrar precio pagado</t>
        </is>
      </c>
      <c r="C841" s="8" t="n"/>
      <c r="D841" s="9" t="inlineStr">
        <is>
          <t>Media</t>
        </is>
      </c>
      <c r="E841" s="28" t="inlineStr">
        <is>
          <t>3 pts</t>
        </is>
      </c>
      <c r="G841" s="27" t="inlineStr">
        <is>
          <t>HU-33 · Registrar precio pagado</t>
        </is>
      </c>
      <c r="H841" s="8" t="n"/>
      <c r="I841" s="9" t="inlineStr">
        <is>
          <t>Media</t>
        </is>
      </c>
      <c r="J841" s="28" t="inlineStr">
        <is>
          <t>3 pts</t>
        </is>
      </c>
      <c r="L841" s="27" t="inlineStr">
        <is>
          <t>HU-33 · Registrar precio pagado</t>
        </is>
      </c>
      <c r="M841" s="8" t="n"/>
      <c r="N841" s="9" t="inlineStr">
        <is>
          <t>Media</t>
        </is>
      </c>
      <c r="O841" s="28" t="inlineStr">
        <is>
          <t>3 pts</t>
        </is>
      </c>
    </row>
    <row r="842">
      <c r="B842" s="29" t="inlineStr">
        <is>
          <t>Descripción:</t>
        </is>
      </c>
      <c r="C842" s="8" t="n"/>
      <c r="D842" s="8" t="n"/>
      <c r="E842" s="23" t="n"/>
      <c r="G842" s="29" t="inlineStr">
        <is>
          <t>Descripción:</t>
        </is>
      </c>
      <c r="H842" s="8" t="n"/>
      <c r="I842" s="8" t="n"/>
      <c r="J842" s="23" t="n"/>
      <c r="L842" s="29" t="inlineStr">
        <is>
          <t>Descripción:</t>
        </is>
      </c>
      <c r="M842" s="8" t="n"/>
      <c r="N842" s="8" t="n"/>
      <c r="O842" s="23" t="n"/>
    </row>
    <row r="843" ht="28" customHeight="1">
      <c r="B843" s="30" t="inlineStr">
        <is>
          <t>Como residente de obra, quiero registrar el precio pagado viendo propuesto el promedio ya pagado, para reconocer cuándo el precio se salió de lo habitual.</t>
        </is>
      </c>
      <c r="C843" s="8" t="n"/>
      <c r="D843" s="8" t="n"/>
      <c r="E843" s="23" t="n"/>
      <c r="G843" s="30" t="inlineStr">
        <is>
          <t>Como residente de obra, quiero registrar el precio pagado viendo propuesto el promedio ya pagado, para reconocer cuándo el precio se salió de lo habitual.</t>
        </is>
      </c>
      <c r="H843" s="8" t="n"/>
      <c r="I843" s="8" t="n"/>
      <c r="J843" s="23" t="n"/>
      <c r="L843" s="30" t="inlineStr">
        <is>
          <t>Como residente de obra, quiero registrar el precio pagado viendo propuesto el promedio ya pagado, para reconocer cuándo el precio se salió de lo habitual.</t>
        </is>
      </c>
      <c r="M843" s="8" t="n"/>
      <c r="N843" s="8" t="n"/>
      <c r="O843" s="23" t="n"/>
    </row>
    <row r="844" ht="28" customHeight="1">
      <c r="B844" s="31" t="n"/>
      <c r="C844" s="8" t="n"/>
      <c r="D844" s="8" t="n"/>
      <c r="E844" s="23" t="n"/>
      <c r="G844" s="31" t="n"/>
      <c r="H844" s="8" t="n"/>
      <c r="I844" s="8" t="n"/>
      <c r="J844" s="23" t="n"/>
      <c r="L844" s="31" t="n"/>
      <c r="M844" s="8" t="n"/>
      <c r="N844" s="8" t="n"/>
      <c r="O844" s="23" t="n"/>
    </row>
    <row r="845">
      <c r="B845" s="29" t="inlineStr">
        <is>
          <t>Ficha de la historia</t>
        </is>
      </c>
      <c r="C845" s="8" t="n"/>
      <c r="D845" s="8" t="n"/>
      <c r="E845" s="23" t="n"/>
      <c r="G845" s="29" t="inlineStr">
        <is>
          <t>Criterios de listo:</t>
        </is>
      </c>
      <c r="H845" s="8" t="n"/>
      <c r="I845" s="8" t="n"/>
      <c r="J845" s="23" t="n"/>
      <c r="L845" s="29" t="inlineStr">
        <is>
          <t>Condiciones finales (se marcan cuando el PO acepta la HU en la Review):</t>
        </is>
      </c>
      <c r="M845" s="8" t="n"/>
      <c r="N845" s="8" t="n"/>
      <c r="O845" s="23" t="n"/>
    </row>
    <row r="846" ht="30" customHeight="1">
      <c r="B846" s="32" t="inlineStr">
        <is>
          <t>Épica: E3. Registrar las compras y sus recepciones</t>
        </is>
      </c>
      <c r="C846" s="8" t="n"/>
      <c r="D846" s="8" t="n"/>
      <c r="E846" s="23" t="n"/>
      <c r="G846" s="33" t="inlineStr">
        <is>
          <t>( x )</t>
        </is>
      </c>
      <c r="H846" s="34" t="inlineStr">
        <is>
          <t>L1 · Redactada en el formato acordado — Cumple</t>
        </is>
      </c>
      <c r="I846" s="8" t="n"/>
      <c r="J846" s="23" t="n"/>
      <c r="L846" s="35" t="inlineStr">
        <is>
          <t>(    )</t>
        </is>
      </c>
      <c r="M846" s="34" t="inlineStr">
        <is>
          <t>El precio pagado se ha registrado partiendo del promedio ya pagado</t>
        </is>
      </c>
      <c r="N846" s="8" t="n"/>
      <c r="O846" s="23" t="n"/>
    </row>
    <row r="847" ht="30" customHeight="1">
      <c r="B847" s="32" t="inlineStr">
        <is>
          <t>Módulo: Compras / Recepciones</t>
        </is>
      </c>
      <c r="C847" s="8" t="n"/>
      <c r="D847" s="8" t="n"/>
      <c r="E847" s="23" t="n"/>
      <c r="G847" s="33" t="inlineStr">
        <is>
          <t>( x )</t>
        </is>
      </c>
      <c r="H847" s="34" t="inlineStr">
        <is>
          <t>L2 · Nombre corto en forma de acción — Cumple</t>
        </is>
      </c>
      <c r="I847" s="8" t="n"/>
      <c r="J847" s="23" t="n"/>
      <c r="L847" s="35" t="inlineStr">
        <is>
          <t>(    )</t>
        </is>
      </c>
      <c r="M847" s="34" t="inlineStr">
        <is>
          <t>Un precio fuera del rango configurado ha mostrado una advertencia</t>
        </is>
      </c>
      <c r="N847" s="8" t="n"/>
      <c r="O847" s="23" t="n"/>
    </row>
    <row r="848" ht="30" customHeight="1">
      <c r="B848" s="32" t="inlineStr">
        <is>
          <t>Responsable técnico: Backend · Henry Ticona</t>
        </is>
      </c>
      <c r="C848" s="8" t="n"/>
      <c r="D848" s="8" t="n"/>
      <c r="E848" s="23" t="n"/>
      <c r="G848" s="33" t="inlineStr">
        <is>
          <t>( x )</t>
        </is>
      </c>
      <c r="H848" s="34" t="inlineStr">
        <is>
          <t>L3 · Criterios de aceptación escritos — Cumple</t>
        </is>
      </c>
      <c r="I848" s="8" t="n"/>
      <c r="J848" s="23" t="n"/>
      <c r="L848" s="35" t="inlineStr">
        <is>
          <t>(    )</t>
        </is>
      </c>
      <c r="M848" s="34" t="inlineStr">
        <is>
          <t>El promedio se ha recalculado solo con la recepción, sin editarse a mano</t>
        </is>
      </c>
      <c r="N848" s="8" t="n"/>
      <c r="O848" s="23" t="n"/>
    </row>
    <row r="849" ht="36" customHeight="1">
      <c r="B849" s="36" t="inlineStr">
        <is>
          <t>Depende de: HU-32</t>
        </is>
      </c>
      <c r="C849" s="37" t="n"/>
      <c r="D849" s="37" t="n"/>
      <c r="E849" s="38" t="n"/>
      <c r="G849" s="33" t="inlineStr">
        <is>
          <t>( x )</t>
        </is>
      </c>
      <c r="H849" s="34" t="inlineStr">
        <is>
          <t>L4 · Dependencias resueltas — Cumple</t>
        </is>
      </c>
      <c r="I849" s="8" t="n"/>
      <c r="J849" s="23" t="n"/>
      <c r="L849" s="36" t="inlineStr">
        <is>
          <t>Mitad técnica: Además, los diez criterios T1 a T10 de la hoja «3. Criterios DoR y DoD», sin excepción</t>
        </is>
      </c>
      <c r="M849" s="37" t="n"/>
      <c r="N849" s="37" t="n"/>
      <c r="O849" s="38" t="n"/>
    </row>
    <row r="850" ht="30" customHeight="1">
      <c r="G850" s="33" t="inlineStr">
        <is>
          <t>( x )</t>
        </is>
      </c>
      <c r="H850" s="34" t="inlineStr">
        <is>
          <t>L5 · Estimada por los Developers — Cumple</t>
        </is>
      </c>
      <c r="I850" s="8" t="n"/>
      <c r="J850" s="23" t="n"/>
    </row>
    <row r="851" ht="30" customHeight="1">
      <c r="G851" s="33" t="inlineStr">
        <is>
          <t>( x )</t>
        </is>
      </c>
      <c r="H851" s="34" t="inlineStr">
        <is>
          <t>L6 · Cabe en un sprint (8 puntos o menos) — Cumple</t>
        </is>
      </c>
      <c r="I851" s="8" t="n"/>
      <c r="J851" s="23" t="n"/>
    </row>
    <row r="852" ht="30" customHeight="1">
      <c r="G852" s="33" t="inlineStr">
        <is>
          <t>( x )</t>
        </is>
      </c>
      <c r="H852" s="34" t="inlineStr">
        <is>
          <t>L7 · Reglas de dominio identificadas — Cumple</t>
        </is>
      </c>
      <c r="I852" s="8" t="n"/>
      <c r="J852" s="23" t="n"/>
    </row>
    <row r="853" ht="30" customHeight="1">
      <c r="G853" s="33" t="inlineStr">
        <is>
          <t>( x )</t>
        </is>
      </c>
      <c r="H853" s="34" t="inlineStr">
        <is>
          <t>L8 · Datos de prueba disponibles — Cumple</t>
        </is>
      </c>
      <c r="I853" s="8" t="n"/>
      <c r="J853" s="23" t="n"/>
    </row>
    <row r="854" ht="30" customHeight="1">
      <c r="G854" s="33" t="inlineStr">
        <is>
          <t>( x )</t>
        </is>
      </c>
      <c r="H854" s="34" t="inlineStr">
        <is>
          <t>L9 · Responsable técnico asignado — Cumple</t>
        </is>
      </c>
      <c r="I854" s="8" t="n"/>
      <c r="J854" s="23" t="n"/>
    </row>
    <row r="855" ht="30" customHeight="1">
      <c r="G855" s="33" t="inlineStr">
        <is>
          <t>( x )</t>
        </is>
      </c>
      <c r="H855" s="34" t="inlineStr">
        <is>
          <t>L10 · Recursos identificados — Cumple: Henry Ticona + equipo de desarrollo y datos de prueba</t>
        </is>
      </c>
      <c r="I855" s="8" t="n"/>
      <c r="J855" s="23" t="n"/>
    </row>
    <row r="856" ht="30" customHeight="1">
      <c r="G856" s="33" t="inlineStr">
        <is>
          <t>( x )</t>
        </is>
      </c>
      <c r="H856" s="34" t="inlineStr">
        <is>
          <t>L11 · Requisitos técnicos de programación definidos — Cumple: FastAPI, SQLAlchemy 2, Alembic y PostgreSQL 16</t>
        </is>
      </c>
      <c r="I856" s="8" t="n"/>
      <c r="J856" s="23" t="n"/>
    </row>
    <row r="857" ht="30" customHeight="1">
      <c r="G857" s="33" t="inlineStr">
        <is>
          <t>( x )</t>
        </is>
      </c>
      <c r="H857" s="34" t="inlineStr">
        <is>
          <t>L12 · Accesos de red disponibles — Cumple: GitHub (repositorio privado), API y PostgreSQL en docker compose</t>
        </is>
      </c>
      <c r="I857" s="8" t="n"/>
      <c r="J857" s="23" t="n"/>
    </row>
    <row r="858" ht="36" customHeight="1">
      <c r="G858" s="39" t="inlineStr">
        <is>
          <t>Riesgos: Precio mal digitado · advertencia si se aparta del promedio pagado</t>
        </is>
      </c>
      <c r="H858" s="8" t="n"/>
      <c r="I858" s="8" t="n"/>
      <c r="J858" s="23" t="n"/>
    </row>
    <row r="859" ht="36" customHeight="1">
      <c r="G859" s="32" t="inlineStr">
        <is>
          <t>Proveedores de servicio: PostgreSQL gestionado en la nube (capa gratuita) · GitHub</t>
        </is>
      </c>
      <c r="H859" s="8" t="n"/>
      <c r="I859" s="8" t="n"/>
      <c r="J859" s="23" t="n"/>
    </row>
    <row r="860" ht="36" customHeight="1">
      <c r="G860" s="36" t="inlineStr">
        <is>
          <t>Costos: 3 pts ≈ 6 horas-persona (1 punto ≈ 2 h) · servicios externos: S/ 0 (planes gratuitos)</t>
        </is>
      </c>
      <c r="H860" s="37" t="n"/>
      <c r="I860" s="37" t="n"/>
      <c r="J860" s="38" t="n"/>
    </row>
    <row r="863">
      <c r="B863" s="18" t="inlineStr">
        <is>
          <t>HU-34 · Adjuntar comprobante</t>
        </is>
      </c>
    </row>
    <row r="864" ht="18" customHeight="1">
      <c r="B864" s="19" t="inlineStr">
        <is>
          <t>TARJETA 1 · Historia de usuario</t>
        </is>
      </c>
      <c r="C864" s="20" t="n"/>
      <c r="D864" s="20" t="n"/>
      <c r="E864" s="21" t="n"/>
      <c r="G864" s="19" t="inlineStr">
        <is>
          <t>TARJETA 2 · Definición de Listo</t>
        </is>
      </c>
      <c r="H864" s="20" t="n"/>
      <c r="I864" s="20" t="n"/>
      <c r="J864" s="21" t="n"/>
      <c r="L864" s="19" t="inlineStr">
        <is>
          <t>TARJETA 3 · Definición de Terminado</t>
        </is>
      </c>
      <c r="M864" s="20" t="n"/>
      <c r="N864" s="20" t="n"/>
      <c r="O864" s="21" t="n"/>
    </row>
    <row r="865" ht="28" customHeight="1">
      <c r="B865" s="22" t="inlineStr">
        <is>
          <t>La unidad con la que se planifica, se estima y se acepta el trabajo</t>
        </is>
      </c>
      <c r="C865" s="8" t="n"/>
      <c r="D865" s="8" t="n"/>
      <c r="E865" s="23" t="n"/>
      <c r="G865" s="22" t="inlineStr">
        <is>
          <t>El enfoque está en la consideración del equipo de desarrollo sobre si la historia está lista para un Sprint</t>
        </is>
      </c>
      <c r="H865" s="8" t="n"/>
      <c r="I865" s="8" t="n"/>
      <c r="J865" s="23" t="n"/>
      <c r="L865" s="22" t="inlineStr">
        <is>
          <t>El enfoque está en la aceptación del cliente cuando se le entregue el producto</t>
        </is>
      </c>
      <c r="M865" s="8" t="n"/>
      <c r="N865" s="8" t="n"/>
      <c r="O865" s="23" t="n"/>
    </row>
    <row r="866">
      <c r="B866" s="24" t="inlineStr">
        <is>
          <t>Historia de usuario</t>
        </is>
      </c>
      <c r="C866" s="8" t="n"/>
      <c r="D866" s="25" t="inlineStr">
        <is>
          <t>Prioridad</t>
        </is>
      </c>
      <c r="E866" s="26" t="inlineStr">
        <is>
          <t>Estimación</t>
        </is>
      </c>
      <c r="G866" s="24" t="inlineStr">
        <is>
          <t>Historia de usuario</t>
        </is>
      </c>
      <c r="H866" s="8" t="n"/>
      <c r="I866" s="25" t="inlineStr">
        <is>
          <t>Prioridad</t>
        </is>
      </c>
      <c r="J866" s="26" t="inlineStr">
        <is>
          <t>Estimación</t>
        </is>
      </c>
      <c r="L866" s="24" t="inlineStr">
        <is>
          <t>Historia de usuario</t>
        </is>
      </c>
      <c r="M866" s="8" t="n"/>
      <c r="N866" s="25" t="inlineStr">
        <is>
          <t>Prioridad</t>
        </is>
      </c>
      <c r="O866" s="26" t="inlineStr">
        <is>
          <t>Estimación</t>
        </is>
      </c>
    </row>
    <row r="867" ht="30" customHeight="1">
      <c r="B867" s="27" t="inlineStr">
        <is>
          <t>HU-34 · Adjuntar comprobante</t>
        </is>
      </c>
      <c r="C867" s="8" t="n"/>
      <c r="D867" s="9" t="inlineStr">
        <is>
          <t>Alta</t>
        </is>
      </c>
      <c r="E867" s="28" t="inlineStr">
        <is>
          <t>3 pts</t>
        </is>
      </c>
      <c r="G867" s="27" t="inlineStr">
        <is>
          <t>HU-34 · Adjuntar comprobante</t>
        </is>
      </c>
      <c r="H867" s="8" t="n"/>
      <c r="I867" s="9" t="inlineStr">
        <is>
          <t>Alta</t>
        </is>
      </c>
      <c r="J867" s="28" t="inlineStr">
        <is>
          <t>3 pts</t>
        </is>
      </c>
      <c r="L867" s="27" t="inlineStr">
        <is>
          <t>HU-34 · Adjuntar comprobante</t>
        </is>
      </c>
      <c r="M867" s="8" t="n"/>
      <c r="N867" s="9" t="inlineStr">
        <is>
          <t>Alta</t>
        </is>
      </c>
      <c r="O867" s="28" t="inlineStr">
        <is>
          <t>3 pts</t>
        </is>
      </c>
    </row>
    <row r="868">
      <c r="B868" s="29" t="inlineStr">
        <is>
          <t>Descripción:</t>
        </is>
      </c>
      <c r="C868" s="8" t="n"/>
      <c r="D868" s="8" t="n"/>
      <c r="E868" s="23" t="n"/>
      <c r="G868" s="29" t="inlineStr">
        <is>
          <t>Descripción:</t>
        </is>
      </c>
      <c r="H868" s="8" t="n"/>
      <c r="I868" s="8" t="n"/>
      <c r="J868" s="23" t="n"/>
      <c r="L868" s="29" t="inlineStr">
        <is>
          <t>Descripción:</t>
        </is>
      </c>
      <c r="M868" s="8" t="n"/>
      <c r="N868" s="8" t="n"/>
      <c r="O868" s="23" t="n"/>
    </row>
    <row r="869" ht="28" customHeight="1">
      <c r="B869" s="30" t="inlineStr">
        <is>
          <t>Como residente de obra, quiero adjuntar la factura en foto o PDF, para guardar el respaldo junto a la operación.</t>
        </is>
      </c>
      <c r="C869" s="8" t="n"/>
      <c r="D869" s="8" t="n"/>
      <c r="E869" s="23" t="n"/>
      <c r="G869" s="30" t="inlineStr">
        <is>
          <t>Como residente de obra, quiero adjuntar la factura en foto o PDF, para guardar el respaldo junto a la operación.</t>
        </is>
      </c>
      <c r="H869" s="8" t="n"/>
      <c r="I869" s="8" t="n"/>
      <c r="J869" s="23" t="n"/>
      <c r="L869" s="30" t="inlineStr">
        <is>
          <t>Como residente de obra, quiero adjuntar la factura en foto o PDF, para guardar el respaldo junto a la operación.</t>
        </is>
      </c>
      <c r="M869" s="8" t="n"/>
      <c r="N869" s="8" t="n"/>
      <c r="O869" s="23" t="n"/>
    </row>
    <row r="870" ht="28" customHeight="1">
      <c r="B870" s="31" t="n"/>
      <c r="C870" s="8" t="n"/>
      <c r="D870" s="8" t="n"/>
      <c r="E870" s="23" t="n"/>
      <c r="G870" s="31" t="n"/>
      <c r="H870" s="8" t="n"/>
      <c r="I870" s="8" t="n"/>
      <c r="J870" s="23" t="n"/>
      <c r="L870" s="31" t="n"/>
      <c r="M870" s="8" t="n"/>
      <c r="N870" s="8" t="n"/>
      <c r="O870" s="23" t="n"/>
    </row>
    <row r="871">
      <c r="B871" s="29" t="inlineStr">
        <is>
          <t>Ficha de la historia</t>
        </is>
      </c>
      <c r="C871" s="8" t="n"/>
      <c r="D871" s="8" t="n"/>
      <c r="E871" s="23" t="n"/>
      <c r="G871" s="29" t="inlineStr">
        <is>
          <t>Criterios de listo:</t>
        </is>
      </c>
      <c r="H871" s="8" t="n"/>
      <c r="I871" s="8" t="n"/>
      <c r="J871" s="23" t="n"/>
      <c r="L871" s="29" t="inlineStr">
        <is>
          <t>Condiciones finales (se marcan cuando el PO acepta la HU en la Review):</t>
        </is>
      </c>
      <c r="M871" s="8" t="n"/>
      <c r="N871" s="8" t="n"/>
      <c r="O871" s="23" t="n"/>
    </row>
    <row r="872" ht="30" customHeight="1">
      <c r="B872" s="32" t="inlineStr">
        <is>
          <t>Épica: E3. Registrar las compras y sus recepciones</t>
        </is>
      </c>
      <c r="C872" s="8" t="n"/>
      <c r="D872" s="8" t="n"/>
      <c r="E872" s="23" t="n"/>
      <c r="G872" s="33" t="inlineStr">
        <is>
          <t>( x )</t>
        </is>
      </c>
      <c r="H872" s="34" t="inlineStr">
        <is>
          <t>L1 · Redactada en el formato acordado — Cumple</t>
        </is>
      </c>
      <c r="I872" s="8" t="n"/>
      <c r="J872" s="23" t="n"/>
      <c r="L872" s="35" t="inlineStr">
        <is>
          <t>(    )</t>
        </is>
      </c>
      <c r="M872" s="34" t="inlineStr">
        <is>
          <t>La factura se ha adjuntado a la compra en JPG, PNG o PDF (uno o varios archivos)</t>
        </is>
      </c>
      <c r="N872" s="8" t="n"/>
      <c r="O872" s="23" t="n"/>
    </row>
    <row r="873" ht="30" customHeight="1">
      <c r="B873" s="32" t="inlineStr">
        <is>
          <t>Módulo: Compras / Recepciones</t>
        </is>
      </c>
      <c r="C873" s="8" t="n"/>
      <c r="D873" s="8" t="n"/>
      <c r="E873" s="23" t="n"/>
      <c r="G873" s="33" t="inlineStr">
        <is>
          <t>( x )</t>
        </is>
      </c>
      <c r="H873" s="34" t="inlineStr">
        <is>
          <t>L2 · Nombre corto en forma de acción — Cumple</t>
        </is>
      </c>
      <c r="I873" s="8" t="n"/>
      <c r="J873" s="23" t="n"/>
      <c r="L873" s="35" t="inlineStr">
        <is>
          <t>(    )</t>
        </is>
      </c>
      <c r="M873" s="34" t="inlineStr">
        <is>
          <t>El archivo se ha descargado después desde la compra</t>
        </is>
      </c>
      <c r="N873" s="8" t="n"/>
      <c r="O873" s="23" t="n"/>
    </row>
    <row r="874" ht="30" customHeight="1">
      <c r="B874" s="32" t="inlineStr">
        <is>
          <t>Responsable técnico: Web · Víctor Luján</t>
        </is>
      </c>
      <c r="C874" s="8" t="n"/>
      <c r="D874" s="8" t="n"/>
      <c r="E874" s="23" t="n"/>
      <c r="G874" s="33" t="inlineStr">
        <is>
          <t>( x )</t>
        </is>
      </c>
      <c r="H874" s="34" t="inlineStr">
        <is>
          <t>L3 · Criterios de aceptación escritos — Cumple</t>
        </is>
      </c>
      <c r="I874" s="8" t="n"/>
      <c r="J874" s="23" t="n"/>
      <c r="L874" s="35" t="inlineStr">
        <is>
          <t>(    )</t>
        </is>
      </c>
      <c r="M874" s="34" t="inlineStr">
        <is>
          <t>Un archivo de otro formato se ha rechazado</t>
        </is>
      </c>
      <c r="N874" s="8" t="n"/>
      <c r="O874" s="23" t="n"/>
    </row>
    <row r="875" ht="36" customHeight="1">
      <c r="B875" s="36" t="inlineStr">
        <is>
          <t>Depende de: HU-32</t>
        </is>
      </c>
      <c r="C875" s="37" t="n"/>
      <c r="D875" s="37" t="n"/>
      <c r="E875" s="38" t="n"/>
      <c r="G875" s="33" t="inlineStr">
        <is>
          <t>( x )</t>
        </is>
      </c>
      <c r="H875" s="34" t="inlineStr">
        <is>
          <t>L4 · Dependencias resueltas — Cumple</t>
        </is>
      </c>
      <c r="I875" s="8" t="n"/>
      <c r="J875" s="23" t="n"/>
      <c r="L875" s="36" t="inlineStr">
        <is>
          <t>Mitad técnica: Además, los diez criterios T1 a T10 de la hoja «3. Criterios DoR y DoD», sin excepción</t>
        </is>
      </c>
      <c r="M875" s="37" t="n"/>
      <c r="N875" s="37" t="n"/>
      <c r="O875" s="38" t="n"/>
    </row>
    <row r="876" ht="30" customHeight="1">
      <c r="G876" s="33" t="inlineStr">
        <is>
          <t>( x )</t>
        </is>
      </c>
      <c r="H876" s="34" t="inlineStr">
        <is>
          <t>L5 · Estimada por los Developers — Cumple</t>
        </is>
      </c>
      <c r="I876" s="8" t="n"/>
      <c r="J876" s="23" t="n"/>
    </row>
    <row r="877" ht="30" customHeight="1">
      <c r="G877" s="33" t="inlineStr">
        <is>
          <t>( x )</t>
        </is>
      </c>
      <c r="H877" s="34" t="inlineStr">
        <is>
          <t>L6 · Cabe en un sprint (8 puntos o menos) — Cumple</t>
        </is>
      </c>
      <c r="I877" s="8" t="n"/>
      <c r="J877" s="23" t="n"/>
    </row>
    <row r="878" ht="30" customHeight="1">
      <c r="G878" s="33" t="inlineStr">
        <is>
          <t>( x )</t>
        </is>
      </c>
      <c r="H878" s="34" t="inlineStr">
        <is>
          <t>L7 · Reglas de dominio identificadas — Cumple</t>
        </is>
      </c>
      <c r="I878" s="8" t="n"/>
      <c r="J878" s="23" t="n"/>
    </row>
    <row r="879" ht="30" customHeight="1">
      <c r="G879" s="33" t="inlineStr">
        <is>
          <t>( x )</t>
        </is>
      </c>
      <c r="H879" s="34" t="inlineStr">
        <is>
          <t>L8 · Datos de prueba disponibles — Cumple</t>
        </is>
      </c>
      <c r="I879" s="8" t="n"/>
      <c r="J879" s="23" t="n"/>
    </row>
    <row r="880" ht="30" customHeight="1">
      <c r="G880" s="33" t="inlineStr">
        <is>
          <t>( x )</t>
        </is>
      </c>
      <c r="H880" s="34" t="inlineStr">
        <is>
          <t>L9 · Responsable técnico asignado — Cumple</t>
        </is>
      </c>
      <c r="I880" s="8" t="n"/>
      <c r="J880" s="23" t="n"/>
    </row>
    <row r="881" ht="30" customHeight="1">
      <c r="G881" s="33" t="inlineStr">
        <is>
          <t>( x )</t>
        </is>
      </c>
      <c r="H881" s="34" t="inlineStr">
        <is>
          <t>L10 · Recursos identificados — Cumple: Víctor Luján + equipo de desarrollo y datos de prueba</t>
        </is>
      </c>
      <c r="I881" s="8" t="n"/>
      <c r="J881" s="23" t="n"/>
    </row>
    <row r="882" ht="30" customHeight="1">
      <c r="G882" s="33" t="inlineStr">
        <is>
          <t>( x )</t>
        </is>
      </c>
      <c r="H882" s="34" t="inlineStr">
        <is>
          <t>L11 · Requisitos técnicos de programación definidos — Cumple: React 18, TypeScript y Vite</t>
        </is>
      </c>
      <c r="I882" s="8" t="n"/>
      <c r="J882" s="23" t="n"/>
    </row>
    <row r="883" ht="30" customHeight="1">
      <c r="G883" s="33" t="inlineStr">
        <is>
          <t>( x )</t>
        </is>
      </c>
      <c r="H883" s="34" t="inlineStr">
        <is>
          <t>L12 · Accesos de red disponibles — Cumple: GitHub (repositorio privado), API y PostgreSQL en docker compose</t>
        </is>
      </c>
      <c r="I883" s="8" t="n"/>
      <c r="J883" s="23" t="n"/>
    </row>
    <row r="884" ht="36" customHeight="1">
      <c r="G884" s="39" t="inlineStr">
        <is>
          <t>Riesgos: Archivo perdido o ilegible · se admiten JPG, PNG y PDF y se puede descargar después</t>
        </is>
      </c>
      <c r="H884" s="8" t="n"/>
      <c r="I884" s="8" t="n"/>
      <c r="J884" s="23" t="n"/>
    </row>
    <row r="885" ht="36" customHeight="1">
      <c r="G885" s="32" t="inlineStr">
        <is>
          <t>Proveedores de servicio: Almacenamiento de archivos en la nube (capa gratuita) · API en la nube</t>
        </is>
      </c>
      <c r="H885" s="8" t="n"/>
      <c r="I885" s="8" t="n"/>
      <c r="J885" s="23" t="n"/>
    </row>
    <row r="886" ht="36" customHeight="1">
      <c r="G886" s="36" t="inlineStr">
        <is>
          <t>Costos: 3 pts ≈ 6 horas-persona (1 punto ≈ 2 h) · servicios externos: S/ 0 (planes gratuitos)</t>
        </is>
      </c>
      <c r="H886" s="37" t="n"/>
      <c r="I886" s="37" t="n"/>
      <c r="J886" s="38" t="n"/>
    </row>
    <row r="889">
      <c r="B889" s="18" t="inlineStr">
        <is>
          <t>HU-35 · Recibir compras</t>
        </is>
      </c>
    </row>
    <row r="890" ht="18" customHeight="1">
      <c r="B890" s="19" t="inlineStr">
        <is>
          <t>TARJETA 1 · Historia de usuario</t>
        </is>
      </c>
      <c r="C890" s="20" t="n"/>
      <c r="D890" s="20" t="n"/>
      <c r="E890" s="21" t="n"/>
      <c r="G890" s="19" t="inlineStr">
        <is>
          <t>TARJETA 2 · Definición de Listo</t>
        </is>
      </c>
      <c r="H890" s="20" t="n"/>
      <c r="I890" s="20" t="n"/>
      <c r="J890" s="21" t="n"/>
      <c r="L890" s="19" t="inlineStr">
        <is>
          <t>TARJETA 3 · Definición de Terminado</t>
        </is>
      </c>
      <c r="M890" s="20" t="n"/>
      <c r="N890" s="20" t="n"/>
      <c r="O890" s="21" t="n"/>
    </row>
    <row r="891" ht="28" customHeight="1">
      <c r="B891" s="22" t="inlineStr">
        <is>
          <t>La unidad con la que se planifica, se estima y se acepta el trabajo</t>
        </is>
      </c>
      <c r="C891" s="8" t="n"/>
      <c r="D891" s="8" t="n"/>
      <c r="E891" s="23" t="n"/>
      <c r="G891" s="22" t="inlineStr">
        <is>
          <t>El enfoque está en la consideración del equipo de desarrollo sobre si la historia está lista para un Sprint</t>
        </is>
      </c>
      <c r="H891" s="8" t="n"/>
      <c r="I891" s="8" t="n"/>
      <c r="J891" s="23" t="n"/>
      <c r="L891" s="22" t="inlineStr">
        <is>
          <t>El enfoque está en la aceptación del cliente cuando se le entregue el producto</t>
        </is>
      </c>
      <c r="M891" s="8" t="n"/>
      <c r="N891" s="8" t="n"/>
      <c r="O891" s="23" t="n"/>
    </row>
    <row r="892">
      <c r="B892" s="24" t="inlineStr">
        <is>
          <t>Historia de usuario</t>
        </is>
      </c>
      <c r="C892" s="8" t="n"/>
      <c r="D892" s="25" t="inlineStr">
        <is>
          <t>Prioridad</t>
        </is>
      </c>
      <c r="E892" s="26" t="inlineStr">
        <is>
          <t>Estimación</t>
        </is>
      </c>
      <c r="G892" s="24" t="inlineStr">
        <is>
          <t>Historia de usuario</t>
        </is>
      </c>
      <c r="H892" s="8" t="n"/>
      <c r="I892" s="25" t="inlineStr">
        <is>
          <t>Prioridad</t>
        </is>
      </c>
      <c r="J892" s="26" t="inlineStr">
        <is>
          <t>Estimación</t>
        </is>
      </c>
      <c r="L892" s="24" t="inlineStr">
        <is>
          <t>Historia de usuario</t>
        </is>
      </c>
      <c r="M892" s="8" t="n"/>
      <c r="N892" s="25" t="inlineStr">
        <is>
          <t>Prioridad</t>
        </is>
      </c>
      <c r="O892" s="26" t="inlineStr">
        <is>
          <t>Estimación</t>
        </is>
      </c>
    </row>
    <row r="893" ht="30" customHeight="1">
      <c r="B893" s="27" t="inlineStr">
        <is>
          <t>HU-35 · Recibir compras</t>
        </is>
      </c>
      <c r="C893" s="8" t="n"/>
      <c r="D893" s="9" t="inlineStr">
        <is>
          <t>Crítica</t>
        </is>
      </c>
      <c r="E893" s="28" t="inlineStr">
        <is>
          <t>8 pts</t>
        </is>
      </c>
      <c r="G893" s="27" t="inlineStr">
        <is>
          <t>HU-35 · Recibir compras</t>
        </is>
      </c>
      <c r="H893" s="8" t="n"/>
      <c r="I893" s="9" t="inlineStr">
        <is>
          <t>Crítica</t>
        </is>
      </c>
      <c r="J893" s="28" t="inlineStr">
        <is>
          <t>8 pts</t>
        </is>
      </c>
      <c r="L893" s="27" t="inlineStr">
        <is>
          <t>HU-35 · Recibir compras</t>
        </is>
      </c>
      <c r="M893" s="8" t="n"/>
      <c r="N893" s="9" t="inlineStr">
        <is>
          <t>Crítica</t>
        </is>
      </c>
      <c r="O893" s="28" t="inlineStr">
        <is>
          <t>8 pts</t>
        </is>
      </c>
    </row>
    <row r="894">
      <c r="B894" s="29" t="inlineStr">
        <is>
          <t>Descripción:</t>
        </is>
      </c>
      <c r="C894" s="8" t="n"/>
      <c r="D894" s="8" t="n"/>
      <c r="E894" s="23" t="n"/>
      <c r="G894" s="29" t="inlineStr">
        <is>
          <t>Descripción:</t>
        </is>
      </c>
      <c r="H894" s="8" t="n"/>
      <c r="I894" s="8" t="n"/>
      <c r="J894" s="23" t="n"/>
      <c r="L894" s="29" t="inlineStr">
        <is>
          <t>Descripción:</t>
        </is>
      </c>
      <c r="M894" s="8" t="n"/>
      <c r="N894" s="8" t="n"/>
      <c r="O894" s="23" t="n"/>
    </row>
    <row r="895" ht="28" customHeight="1">
      <c r="B895" s="30" t="inlineStr">
        <is>
          <t>Como almacenero, quiero registrar la recepción total o parcial de una compra, para actualizar el stock solo con lo realmente recibido.</t>
        </is>
      </c>
      <c r="C895" s="8" t="n"/>
      <c r="D895" s="8" t="n"/>
      <c r="E895" s="23" t="n"/>
      <c r="G895" s="30" t="inlineStr">
        <is>
          <t>Como almacenero, quiero registrar la recepción total o parcial de una compra, para actualizar el stock solo con lo realmente recibido.</t>
        </is>
      </c>
      <c r="H895" s="8" t="n"/>
      <c r="I895" s="8" t="n"/>
      <c r="J895" s="23" t="n"/>
      <c r="L895" s="30" t="inlineStr">
        <is>
          <t>Como almacenero, quiero registrar la recepción total o parcial de una compra, para actualizar el stock solo con lo realmente recibido.</t>
        </is>
      </c>
      <c r="M895" s="8" t="n"/>
      <c r="N895" s="8" t="n"/>
      <c r="O895" s="23" t="n"/>
    </row>
    <row r="896" ht="28" customHeight="1">
      <c r="B896" s="31" t="n"/>
      <c r="C896" s="8" t="n"/>
      <c r="D896" s="8" t="n"/>
      <c r="E896" s="23" t="n"/>
      <c r="G896" s="31" t="n"/>
      <c r="H896" s="8" t="n"/>
      <c r="I896" s="8" t="n"/>
      <c r="J896" s="23" t="n"/>
      <c r="L896" s="31" t="n"/>
      <c r="M896" s="8" t="n"/>
      <c r="N896" s="8" t="n"/>
      <c r="O896" s="23" t="n"/>
    </row>
    <row r="897">
      <c r="B897" s="29" t="inlineStr">
        <is>
          <t>Ficha de la historia</t>
        </is>
      </c>
      <c r="C897" s="8" t="n"/>
      <c r="D897" s="8" t="n"/>
      <c r="E897" s="23" t="n"/>
      <c r="G897" s="29" t="inlineStr">
        <is>
          <t>Criterios de listo:</t>
        </is>
      </c>
      <c r="H897" s="8" t="n"/>
      <c r="I897" s="8" t="n"/>
      <c r="J897" s="23" t="n"/>
      <c r="L897" s="29" t="inlineStr">
        <is>
          <t>Condiciones finales (se marcan cuando el PO acepta la HU en la Review):</t>
        </is>
      </c>
      <c r="M897" s="8" t="n"/>
      <c r="N897" s="8" t="n"/>
      <c r="O897" s="23" t="n"/>
    </row>
    <row r="898" ht="30" customHeight="1">
      <c r="B898" s="32" t="inlineStr">
        <is>
          <t>Épica: E3. Registrar las compras y sus recepciones</t>
        </is>
      </c>
      <c r="C898" s="8" t="n"/>
      <c r="D898" s="8" t="n"/>
      <c r="E898" s="23" t="n"/>
      <c r="G898" s="33" t="inlineStr">
        <is>
          <t>( x )</t>
        </is>
      </c>
      <c r="H898" s="34" t="inlineStr">
        <is>
          <t>L1 · Redactada en el formato acordado — Cumple</t>
        </is>
      </c>
      <c r="I898" s="8" t="n"/>
      <c r="J898" s="23" t="n"/>
      <c r="L898" s="35" t="inlineStr">
        <is>
          <t>(    )</t>
        </is>
      </c>
      <c r="M898" s="34" t="inlineStr">
        <is>
          <t>La recepción total o parcial se ha registrado y ha generado el ingreso al almacén</t>
        </is>
      </c>
      <c r="N898" s="8" t="n"/>
      <c r="O898" s="23" t="n"/>
    </row>
    <row r="899" ht="30" customHeight="1">
      <c r="B899" s="32" t="inlineStr">
        <is>
          <t>Módulo: Compras / Recepciones</t>
        </is>
      </c>
      <c r="C899" s="8" t="n"/>
      <c r="D899" s="8" t="n"/>
      <c r="E899" s="23" t="n"/>
      <c r="G899" s="33" t="inlineStr">
        <is>
          <t>( x )</t>
        </is>
      </c>
      <c r="H899" s="34" t="inlineStr">
        <is>
          <t>L2 · Nombre corto en forma de acción — Cumple</t>
        </is>
      </c>
      <c r="I899" s="8" t="n"/>
      <c r="J899" s="23" t="n"/>
      <c r="L899" s="35" t="inlineStr">
        <is>
          <t>(    )</t>
        </is>
      </c>
      <c r="M899" s="34" t="inlineStr">
        <is>
          <t>Una cantidad mayor a lo comprado se ha rechazado</t>
        </is>
      </c>
      <c r="N899" s="8" t="n"/>
      <c r="O899" s="23" t="n"/>
    </row>
    <row r="900" ht="30" customHeight="1">
      <c r="B900" s="32" t="inlineStr">
        <is>
          <t>Responsable técnico: Web · Víctor Luján</t>
        </is>
      </c>
      <c r="C900" s="8" t="n"/>
      <c r="D900" s="8" t="n"/>
      <c r="E900" s="23" t="n"/>
      <c r="G900" s="33" t="inlineStr">
        <is>
          <t>( x )</t>
        </is>
      </c>
      <c r="H900" s="34" t="inlineStr">
        <is>
          <t>L3 · Criterios de aceptación escritos — Cumple</t>
        </is>
      </c>
      <c r="I900" s="8" t="n"/>
      <c r="J900" s="23" t="n"/>
      <c r="L900" s="35" t="inlineStr">
        <is>
          <t>(    )</t>
        </is>
      </c>
      <c r="M900" s="34" t="inlineStr">
        <is>
          <t>La compra ha mostrado pedido, recibido y pendiente por insumo</t>
        </is>
      </c>
      <c r="N900" s="8" t="n"/>
      <c r="O900" s="23" t="n"/>
    </row>
    <row r="901" ht="36" customHeight="1">
      <c r="B901" s="36" t="inlineStr">
        <is>
          <t>Depende de: HU-32</t>
        </is>
      </c>
      <c r="C901" s="37" t="n"/>
      <c r="D901" s="37" t="n"/>
      <c r="E901" s="38" t="n"/>
      <c r="G901" s="33" t="inlineStr">
        <is>
          <t>( x )</t>
        </is>
      </c>
      <c r="H901" s="34" t="inlineStr">
        <is>
          <t>L4 · Dependencias resueltas — Cumple</t>
        </is>
      </c>
      <c r="I901" s="8" t="n"/>
      <c r="J901" s="23" t="n"/>
      <c r="L901" s="36" t="inlineStr">
        <is>
          <t>Mitad técnica: Además, los diez criterios T1 a T10 de la hoja «3. Criterios DoR y DoD», sin excepción</t>
        </is>
      </c>
      <c r="M901" s="37" t="n"/>
      <c r="N901" s="37" t="n"/>
      <c r="O901" s="38" t="n"/>
    </row>
    <row r="902" ht="30" customHeight="1">
      <c r="G902" s="33" t="inlineStr">
        <is>
          <t>( x )</t>
        </is>
      </c>
      <c r="H902" s="34" t="inlineStr">
        <is>
          <t>L5 · Estimada por los Developers — Cumple</t>
        </is>
      </c>
      <c r="I902" s="8" t="n"/>
      <c r="J902" s="23" t="n"/>
    </row>
    <row r="903" ht="30" customHeight="1">
      <c r="G903" s="33" t="inlineStr">
        <is>
          <t>( x )</t>
        </is>
      </c>
      <c r="H903" s="34" t="inlineStr">
        <is>
          <t>L6 · Cabe en un sprint (8 puntos o menos) — Cumple</t>
        </is>
      </c>
      <c r="I903" s="8" t="n"/>
      <c r="J903" s="23" t="n"/>
    </row>
    <row r="904" ht="30" customHeight="1">
      <c r="G904" s="33" t="inlineStr">
        <is>
          <t>( x )</t>
        </is>
      </c>
      <c r="H904" s="34" t="inlineStr">
        <is>
          <t>L7 · Reglas de dominio identificadas — Cumple</t>
        </is>
      </c>
      <c r="I904" s="8" t="n"/>
      <c r="J904" s="23" t="n"/>
    </row>
    <row r="905" ht="30" customHeight="1">
      <c r="G905" s="33" t="inlineStr">
        <is>
          <t>( x )</t>
        </is>
      </c>
      <c r="H905" s="34" t="inlineStr">
        <is>
          <t>L8 · Datos de prueba disponibles — Cumple</t>
        </is>
      </c>
      <c r="I905" s="8" t="n"/>
      <c r="J905" s="23" t="n"/>
    </row>
    <row r="906" ht="30" customHeight="1">
      <c r="G906" s="33" t="inlineStr">
        <is>
          <t>( x )</t>
        </is>
      </c>
      <c r="H906" s="34" t="inlineStr">
        <is>
          <t>L9 · Responsable técnico asignado — Cumple</t>
        </is>
      </c>
      <c r="I906" s="8" t="n"/>
      <c r="J906" s="23" t="n"/>
    </row>
    <row r="907" ht="30" customHeight="1">
      <c r="G907" s="33" t="inlineStr">
        <is>
          <t>( x )</t>
        </is>
      </c>
      <c r="H907" s="34" t="inlineStr">
        <is>
          <t>L10 · Recursos identificados — Cumple: Víctor Luján + equipo de desarrollo y datos de prueba</t>
        </is>
      </c>
      <c r="I907" s="8" t="n"/>
      <c r="J907" s="23" t="n"/>
    </row>
    <row r="908" ht="30" customHeight="1">
      <c r="G908" s="33" t="inlineStr">
        <is>
          <t>( x )</t>
        </is>
      </c>
      <c r="H908" s="34" t="inlineStr">
        <is>
          <t>L11 · Requisitos técnicos de programación definidos — Cumple: React 18, TypeScript y Vite</t>
        </is>
      </c>
      <c r="I908" s="8" t="n"/>
      <c r="J908" s="23" t="n"/>
    </row>
    <row r="909" ht="30" customHeight="1">
      <c r="G909" s="33" t="inlineStr">
        <is>
          <t>( x )</t>
        </is>
      </c>
      <c r="H909" s="34" t="inlineStr">
        <is>
          <t>L12 · Accesos de red disponibles — Cumple: GitHub (repositorio privado), API y PostgreSQL en docker compose</t>
        </is>
      </c>
      <c r="I909" s="8" t="n"/>
      <c r="J909" s="23" t="n"/>
    </row>
    <row r="910" ht="36" customHeight="1">
      <c r="G910" s="39" t="inlineStr">
        <is>
          <t>Riesgos: Recibir más de lo comprado · se rechaza por insumo</t>
        </is>
      </c>
      <c r="H910" s="8" t="n"/>
      <c r="I910" s="8" t="n"/>
      <c r="J910" s="23" t="n"/>
    </row>
    <row r="911" ht="36" customHeight="1">
      <c r="G911" s="32" t="inlineStr">
        <is>
          <t>Proveedores de servicio: Navegador · API en la nube (PostgreSQL gestionado, capa gratuita)</t>
        </is>
      </c>
      <c r="H911" s="8" t="n"/>
      <c r="I911" s="8" t="n"/>
      <c r="J911" s="23" t="n"/>
    </row>
    <row r="912" ht="36" customHeight="1">
      <c r="G912" s="36" t="inlineStr">
        <is>
          <t>Costos: 8 pts ≈ 16 horas-persona (1 punto ≈ 2 h) · servicios externos: S/ 0 (planes gratuitos)</t>
        </is>
      </c>
      <c r="H912" s="37" t="n"/>
      <c r="I912" s="37" t="n"/>
      <c r="J912" s="38" t="n"/>
    </row>
    <row r="915">
      <c r="B915" s="18" t="inlineStr">
        <is>
          <t>HU-36 · Avisar recepción excedida</t>
        </is>
      </c>
    </row>
    <row r="916" ht="18" customHeight="1">
      <c r="B916" s="19" t="inlineStr">
        <is>
          <t>TARJETA 1 · Historia de usuario</t>
        </is>
      </c>
      <c r="C916" s="20" t="n"/>
      <c r="D916" s="20" t="n"/>
      <c r="E916" s="21" t="n"/>
      <c r="G916" s="19" t="inlineStr">
        <is>
          <t>TARJETA 2 · Definición de Listo</t>
        </is>
      </c>
      <c r="H916" s="20" t="n"/>
      <c r="I916" s="20" t="n"/>
      <c r="J916" s="21" t="n"/>
      <c r="L916" s="19" t="inlineStr">
        <is>
          <t>TARJETA 3 · Definición de Terminado</t>
        </is>
      </c>
      <c r="M916" s="20" t="n"/>
      <c r="N916" s="20" t="n"/>
      <c r="O916" s="21" t="n"/>
    </row>
    <row r="917" ht="28" customHeight="1">
      <c r="B917" s="22" t="inlineStr">
        <is>
          <t>La unidad con la que se planifica, se estima y se acepta el trabajo</t>
        </is>
      </c>
      <c r="C917" s="8" t="n"/>
      <c r="D917" s="8" t="n"/>
      <c r="E917" s="23" t="n"/>
      <c r="G917" s="22" t="inlineStr">
        <is>
          <t>El enfoque está en la consideración del equipo de desarrollo sobre si la historia está lista para un Sprint</t>
        </is>
      </c>
      <c r="H917" s="8" t="n"/>
      <c r="I917" s="8" t="n"/>
      <c r="J917" s="23" t="n"/>
      <c r="L917" s="22" t="inlineStr">
        <is>
          <t>El enfoque está en la aceptación del cliente cuando se le entregue el producto</t>
        </is>
      </c>
      <c r="M917" s="8" t="n"/>
      <c r="N917" s="8" t="n"/>
      <c r="O917" s="23" t="n"/>
    </row>
    <row r="918">
      <c r="B918" s="24" t="inlineStr">
        <is>
          <t>Historia de usuario</t>
        </is>
      </c>
      <c r="C918" s="8" t="n"/>
      <c r="D918" s="25" t="inlineStr">
        <is>
          <t>Prioridad</t>
        </is>
      </c>
      <c r="E918" s="26" t="inlineStr">
        <is>
          <t>Estimación</t>
        </is>
      </c>
      <c r="G918" s="24" t="inlineStr">
        <is>
          <t>Historia de usuario</t>
        </is>
      </c>
      <c r="H918" s="8" t="n"/>
      <c r="I918" s="25" t="inlineStr">
        <is>
          <t>Prioridad</t>
        </is>
      </c>
      <c r="J918" s="26" t="inlineStr">
        <is>
          <t>Estimación</t>
        </is>
      </c>
      <c r="L918" s="24" t="inlineStr">
        <is>
          <t>Historia de usuario</t>
        </is>
      </c>
      <c r="M918" s="8" t="n"/>
      <c r="N918" s="25" t="inlineStr">
        <is>
          <t>Prioridad</t>
        </is>
      </c>
      <c r="O918" s="26" t="inlineStr">
        <is>
          <t>Estimación</t>
        </is>
      </c>
    </row>
    <row r="919" ht="30" customHeight="1">
      <c r="B919" s="27" t="inlineStr">
        <is>
          <t>HU-36 · Avisar recepción excedida</t>
        </is>
      </c>
      <c r="C919" s="8" t="n"/>
      <c r="D919" s="9" t="inlineStr">
        <is>
          <t>Media</t>
        </is>
      </c>
      <c r="E919" s="28" t="inlineStr">
        <is>
          <t>3 pts</t>
        </is>
      </c>
      <c r="G919" s="27" t="inlineStr">
        <is>
          <t>HU-36 · Avisar recepción excedida</t>
        </is>
      </c>
      <c r="H919" s="8" t="n"/>
      <c r="I919" s="9" t="inlineStr">
        <is>
          <t>Media</t>
        </is>
      </c>
      <c r="J919" s="28" t="inlineStr">
        <is>
          <t>3 pts</t>
        </is>
      </c>
      <c r="L919" s="27" t="inlineStr">
        <is>
          <t>HU-36 · Avisar recepción excedida</t>
        </is>
      </c>
      <c r="M919" s="8" t="n"/>
      <c r="N919" s="9" t="inlineStr">
        <is>
          <t>Media</t>
        </is>
      </c>
      <c r="O919" s="28" t="inlineStr">
        <is>
          <t>3 pts</t>
        </is>
      </c>
    </row>
    <row r="920">
      <c r="B920" s="29" t="inlineStr">
        <is>
          <t>Descripción:</t>
        </is>
      </c>
      <c r="C920" s="8" t="n"/>
      <c r="D920" s="8" t="n"/>
      <c r="E920" s="23" t="n"/>
      <c r="G920" s="29" t="inlineStr">
        <is>
          <t>Descripción:</t>
        </is>
      </c>
      <c r="H920" s="8" t="n"/>
      <c r="I920" s="8" t="n"/>
      <c r="J920" s="23" t="n"/>
      <c r="L920" s="29" t="inlineStr">
        <is>
          <t>Descripción:</t>
        </is>
      </c>
      <c r="M920" s="8" t="n"/>
      <c r="N920" s="8" t="n"/>
      <c r="O920" s="23" t="n"/>
    </row>
    <row r="921" ht="28" customHeight="1">
      <c r="B921" s="30" t="inlineStr">
        <is>
          <t>Como almacenero, quiero recibir una advertencia antes de confirmar una recepción que exceda lo requerido, para evitar registrar cantidades no justificadas.</t>
        </is>
      </c>
      <c r="C921" s="8" t="n"/>
      <c r="D921" s="8" t="n"/>
      <c r="E921" s="23" t="n"/>
      <c r="G921" s="30" t="inlineStr">
        <is>
          <t>Como almacenero, quiero recibir una advertencia antes de confirmar una recepción que exceda lo requerido, para evitar registrar cantidades no justificadas.</t>
        </is>
      </c>
      <c r="H921" s="8" t="n"/>
      <c r="I921" s="8" t="n"/>
      <c r="J921" s="23" t="n"/>
      <c r="L921" s="30" t="inlineStr">
        <is>
          <t>Como almacenero, quiero recibir una advertencia antes de confirmar una recepción que exceda lo requerido, para evitar registrar cantidades no justificadas.</t>
        </is>
      </c>
      <c r="M921" s="8" t="n"/>
      <c r="N921" s="8" t="n"/>
      <c r="O921" s="23" t="n"/>
    </row>
    <row r="922" ht="28" customHeight="1">
      <c r="B922" s="31" t="n"/>
      <c r="C922" s="8" t="n"/>
      <c r="D922" s="8" t="n"/>
      <c r="E922" s="23" t="n"/>
      <c r="G922" s="31" t="n"/>
      <c r="H922" s="8" t="n"/>
      <c r="I922" s="8" t="n"/>
      <c r="J922" s="23" t="n"/>
      <c r="L922" s="31" t="n"/>
      <c r="M922" s="8" t="n"/>
      <c r="N922" s="8" t="n"/>
      <c r="O922" s="23" t="n"/>
    </row>
    <row r="923">
      <c r="B923" s="29" t="inlineStr">
        <is>
          <t>Ficha de la historia</t>
        </is>
      </c>
      <c r="C923" s="8" t="n"/>
      <c r="D923" s="8" t="n"/>
      <c r="E923" s="23" t="n"/>
      <c r="G923" s="29" t="inlineStr">
        <is>
          <t>Criterios de listo:</t>
        </is>
      </c>
      <c r="H923" s="8" t="n"/>
      <c r="I923" s="8" t="n"/>
      <c r="J923" s="23" t="n"/>
      <c r="L923" s="29" t="inlineStr">
        <is>
          <t>Condiciones finales (se marcan cuando el PO acepta la HU en la Review):</t>
        </is>
      </c>
      <c r="M923" s="8" t="n"/>
      <c r="N923" s="8" t="n"/>
      <c r="O923" s="23" t="n"/>
    </row>
    <row r="924" ht="30" customHeight="1">
      <c r="B924" s="32" t="inlineStr">
        <is>
          <t>Épica: E3. Registrar las compras y sus recepciones</t>
        </is>
      </c>
      <c r="C924" s="8" t="n"/>
      <c r="D924" s="8" t="n"/>
      <c r="E924" s="23" t="n"/>
      <c r="G924" s="33" t="inlineStr">
        <is>
          <t>( x )</t>
        </is>
      </c>
      <c r="H924" s="34" t="inlineStr">
        <is>
          <t>L1 · Redactada en el formato acordado — Cumple</t>
        </is>
      </c>
      <c r="I924" s="8" t="n"/>
      <c r="J924" s="23" t="n"/>
      <c r="L924" s="35" t="inlineStr">
        <is>
          <t>(    )</t>
        </is>
      </c>
      <c r="M924" s="34" t="inlineStr">
        <is>
          <t>Antes de confirmar una recepción excedida, se ha mostrado la advertencia</t>
        </is>
      </c>
      <c r="N924" s="8" t="n"/>
      <c r="O924" s="23" t="n"/>
    </row>
    <row r="925" ht="30" customHeight="1">
      <c r="B925" s="32" t="inlineStr">
        <is>
          <t>Módulo: Compras / Recepciones</t>
        </is>
      </c>
      <c r="C925" s="8" t="n"/>
      <c r="D925" s="8" t="n"/>
      <c r="E925" s="23" t="n"/>
      <c r="G925" s="33" t="inlineStr">
        <is>
          <t>( x )</t>
        </is>
      </c>
      <c r="H925" s="34" t="inlineStr">
        <is>
          <t>L2 · Nombre corto en forma de acción — Cumple</t>
        </is>
      </c>
      <c r="I925" s="8" t="n"/>
      <c r="J925" s="23" t="n"/>
      <c r="L925" s="35" t="inlineStr">
        <is>
          <t>(    )</t>
        </is>
      </c>
      <c r="M925" s="34" t="inlineStr">
        <is>
          <t>Se ha indicado requerido, ya recibido y exceso</t>
        </is>
      </c>
      <c r="N925" s="8" t="n"/>
      <c r="O925" s="23" t="n"/>
    </row>
    <row r="926" ht="30" customHeight="1">
      <c r="B926" s="32" t="inlineStr">
        <is>
          <t>Responsable técnico: Backend · Henry Ticona</t>
        </is>
      </c>
      <c r="C926" s="8" t="n"/>
      <c r="D926" s="8" t="n"/>
      <c r="E926" s="23" t="n"/>
      <c r="G926" s="33" t="inlineStr">
        <is>
          <t>( x )</t>
        </is>
      </c>
      <c r="H926" s="34" t="inlineStr">
        <is>
          <t>L3 · Criterios de aceptación escritos — Cumple</t>
        </is>
      </c>
      <c r="I926" s="8" t="n"/>
      <c r="J926" s="23" t="n"/>
      <c r="L926" s="35" t="inlineStr">
        <is>
          <t>(    )</t>
        </is>
      </c>
      <c r="M926" s="34" t="inlineStr">
        <is>
          <t>Al continuar, el motivo ha quedado registrado</t>
        </is>
      </c>
      <c r="N926" s="8" t="n"/>
      <c r="O926" s="23" t="n"/>
    </row>
    <row r="927" ht="36" customHeight="1">
      <c r="B927" s="36" t="inlineStr">
        <is>
          <t>Depende de: HU-35, HU-19</t>
        </is>
      </c>
      <c r="C927" s="37" t="n"/>
      <c r="D927" s="37" t="n"/>
      <c r="E927" s="38" t="n"/>
      <c r="G927" s="33" t="inlineStr">
        <is>
          <t>( x )</t>
        </is>
      </c>
      <c r="H927" s="34" t="inlineStr">
        <is>
          <t>L4 · Dependencias resueltas — Cumple</t>
        </is>
      </c>
      <c r="I927" s="8" t="n"/>
      <c r="J927" s="23" t="n"/>
      <c r="L927" s="36" t="inlineStr">
        <is>
          <t>Mitad técnica: Además, los diez criterios T1 a T10 de la hoja «3. Criterios DoR y DoD», sin excepción</t>
        </is>
      </c>
      <c r="M927" s="37" t="n"/>
      <c r="N927" s="37" t="n"/>
      <c r="O927" s="38" t="n"/>
    </row>
    <row r="928" ht="30" customHeight="1">
      <c r="G928" s="33" t="inlineStr">
        <is>
          <t>( x )</t>
        </is>
      </c>
      <c r="H928" s="34" t="inlineStr">
        <is>
          <t>L5 · Estimada por los Developers — Cumple</t>
        </is>
      </c>
      <c r="I928" s="8" t="n"/>
      <c r="J928" s="23" t="n"/>
    </row>
    <row r="929" ht="30" customHeight="1">
      <c r="G929" s="33" t="inlineStr">
        <is>
          <t>( x )</t>
        </is>
      </c>
      <c r="H929" s="34" t="inlineStr">
        <is>
          <t>L6 · Cabe en un sprint (8 puntos o menos) — Cumple</t>
        </is>
      </c>
      <c r="I929" s="8" t="n"/>
      <c r="J929" s="23" t="n"/>
    </row>
    <row r="930" ht="30" customHeight="1">
      <c r="G930" s="33" t="inlineStr">
        <is>
          <t>( x )</t>
        </is>
      </c>
      <c r="H930" s="34" t="inlineStr">
        <is>
          <t>L7 · Reglas de dominio identificadas — Cumple</t>
        </is>
      </c>
      <c r="I930" s="8" t="n"/>
      <c r="J930" s="23" t="n"/>
    </row>
    <row r="931" ht="30" customHeight="1">
      <c r="G931" s="33" t="inlineStr">
        <is>
          <t>( x )</t>
        </is>
      </c>
      <c r="H931" s="34" t="inlineStr">
        <is>
          <t>L8 · Datos de prueba disponibles — Cumple</t>
        </is>
      </c>
      <c r="I931" s="8" t="n"/>
      <c r="J931" s="23" t="n"/>
    </row>
    <row r="932" ht="30" customHeight="1">
      <c r="G932" s="33" t="inlineStr">
        <is>
          <t>( x )</t>
        </is>
      </c>
      <c r="H932" s="34" t="inlineStr">
        <is>
          <t>L9 · Responsable técnico asignado — Cumple</t>
        </is>
      </c>
      <c r="I932" s="8" t="n"/>
      <c r="J932" s="23" t="n"/>
    </row>
    <row r="933" ht="30" customHeight="1">
      <c r="G933" s="33" t="inlineStr">
        <is>
          <t>( x )</t>
        </is>
      </c>
      <c r="H933" s="34" t="inlineStr">
        <is>
          <t>L10 · Recursos identificados — Cumple: Henry Ticona + equipo de desarrollo y datos de prueba</t>
        </is>
      </c>
      <c r="I933" s="8" t="n"/>
      <c r="J933" s="23" t="n"/>
    </row>
    <row r="934" ht="30" customHeight="1">
      <c r="G934" s="33" t="inlineStr">
        <is>
          <t>( x )</t>
        </is>
      </c>
      <c r="H934" s="34" t="inlineStr">
        <is>
          <t>L11 · Requisitos técnicos de programación definidos — Cumple: FastAPI, SQLAlchemy 2, Alembic y PostgreSQL 16</t>
        </is>
      </c>
      <c r="I934" s="8" t="n"/>
      <c r="J934" s="23" t="n"/>
    </row>
    <row r="935" ht="30" customHeight="1">
      <c r="G935" s="33" t="inlineStr">
        <is>
          <t>( x )</t>
        </is>
      </c>
      <c r="H935" s="34" t="inlineStr">
        <is>
          <t>L12 · Accesos de red disponibles — Cumple: GitHub (repositorio privado), API y PostgreSQL en docker compose</t>
        </is>
      </c>
      <c r="I935" s="8" t="n"/>
      <c r="J935" s="23" t="n"/>
    </row>
    <row r="936" ht="36" customHeight="1">
      <c r="G936" s="39" t="inlineStr">
        <is>
          <t>Riesgos: Advertir después de confirmar · la advertencia sale antes de confirmar</t>
        </is>
      </c>
      <c r="H936" s="8" t="n"/>
      <c r="I936" s="8" t="n"/>
      <c r="J936" s="23" t="n"/>
    </row>
    <row r="937" ht="36" customHeight="1">
      <c r="G937" s="32" t="inlineStr">
        <is>
          <t>Proveedores de servicio: PostgreSQL gestionado en la nube (capa gratuita) · GitHub</t>
        </is>
      </c>
      <c r="H937" s="8" t="n"/>
      <c r="I937" s="8" t="n"/>
      <c r="J937" s="23" t="n"/>
    </row>
    <row r="938" ht="36" customHeight="1">
      <c r="G938" s="36" t="inlineStr">
        <is>
          <t>Costos: 3 pts ≈ 6 horas-persona (1 punto ≈ 2 h) · servicios externos: S/ 0 (planes gratuitos)</t>
        </is>
      </c>
      <c r="H938" s="37" t="n"/>
      <c r="I938" s="37" t="n"/>
      <c r="J938" s="38" t="n"/>
    </row>
    <row r="941">
      <c r="B941" s="18" t="inlineStr">
        <is>
          <t>HU-37 · Registrar sin señal</t>
        </is>
      </c>
    </row>
    <row r="942" ht="18" customHeight="1">
      <c r="B942" s="19" t="inlineStr">
        <is>
          <t>TARJETA 1 · Historia de usuario</t>
        </is>
      </c>
      <c r="C942" s="20" t="n"/>
      <c r="D942" s="20" t="n"/>
      <c r="E942" s="21" t="n"/>
      <c r="G942" s="19" t="inlineStr">
        <is>
          <t>TARJETA 2 · Definición de Listo</t>
        </is>
      </c>
      <c r="H942" s="20" t="n"/>
      <c r="I942" s="20" t="n"/>
      <c r="J942" s="21" t="n"/>
      <c r="L942" s="19" t="inlineStr">
        <is>
          <t>TARJETA 3 · Definición de Terminado</t>
        </is>
      </c>
      <c r="M942" s="20" t="n"/>
      <c r="N942" s="20" t="n"/>
      <c r="O942" s="21" t="n"/>
    </row>
    <row r="943" ht="28" customHeight="1">
      <c r="B943" s="22" t="inlineStr">
        <is>
          <t>La unidad con la que se planifica, se estima y se acepta el trabajo</t>
        </is>
      </c>
      <c r="C943" s="8" t="n"/>
      <c r="D943" s="8" t="n"/>
      <c r="E943" s="23" t="n"/>
      <c r="G943" s="22" t="inlineStr">
        <is>
          <t>El enfoque está en la consideración del equipo de desarrollo sobre si la historia está lista para un Sprint</t>
        </is>
      </c>
      <c r="H943" s="8" t="n"/>
      <c r="I943" s="8" t="n"/>
      <c r="J943" s="23" t="n"/>
      <c r="L943" s="22" t="inlineStr">
        <is>
          <t>El enfoque está en la aceptación del cliente cuando se le entregue el producto</t>
        </is>
      </c>
      <c r="M943" s="8" t="n"/>
      <c r="N943" s="8" t="n"/>
      <c r="O943" s="23" t="n"/>
    </row>
    <row r="944">
      <c r="B944" s="24" t="inlineStr">
        <is>
          <t>Historia de usuario</t>
        </is>
      </c>
      <c r="C944" s="8" t="n"/>
      <c r="D944" s="25" t="inlineStr">
        <is>
          <t>Prioridad</t>
        </is>
      </c>
      <c r="E944" s="26" t="inlineStr">
        <is>
          <t>Estimación</t>
        </is>
      </c>
      <c r="G944" s="24" t="inlineStr">
        <is>
          <t>Historia de usuario</t>
        </is>
      </c>
      <c r="H944" s="8" t="n"/>
      <c r="I944" s="25" t="inlineStr">
        <is>
          <t>Prioridad</t>
        </is>
      </c>
      <c r="J944" s="26" t="inlineStr">
        <is>
          <t>Estimación</t>
        </is>
      </c>
      <c r="L944" s="24" t="inlineStr">
        <is>
          <t>Historia de usuario</t>
        </is>
      </c>
      <c r="M944" s="8" t="n"/>
      <c r="N944" s="25" t="inlineStr">
        <is>
          <t>Prioridad</t>
        </is>
      </c>
      <c r="O944" s="26" t="inlineStr">
        <is>
          <t>Estimación</t>
        </is>
      </c>
    </row>
    <row r="945" ht="30" customHeight="1">
      <c r="B945" s="27" t="inlineStr">
        <is>
          <t>HU-37 · Registrar sin señal</t>
        </is>
      </c>
      <c r="C945" s="8" t="n"/>
      <c r="D945" s="9" t="inlineStr">
        <is>
          <t>Crítica</t>
        </is>
      </c>
      <c r="E945" s="28" t="inlineStr">
        <is>
          <t>8 pts</t>
        </is>
      </c>
      <c r="G945" s="27" t="inlineStr">
        <is>
          <t>HU-37 · Registrar sin señal</t>
        </is>
      </c>
      <c r="H945" s="8" t="n"/>
      <c r="I945" s="9" t="inlineStr">
        <is>
          <t>Crítica</t>
        </is>
      </c>
      <c r="J945" s="28" t="inlineStr">
        <is>
          <t>8 pts</t>
        </is>
      </c>
      <c r="L945" s="27" t="inlineStr">
        <is>
          <t>HU-37 · Registrar sin señal</t>
        </is>
      </c>
      <c r="M945" s="8" t="n"/>
      <c r="N945" s="9" t="inlineStr">
        <is>
          <t>Crítica</t>
        </is>
      </c>
      <c r="O945" s="28" t="inlineStr">
        <is>
          <t>8 pts</t>
        </is>
      </c>
    </row>
    <row r="946">
      <c r="B946" s="29" t="inlineStr">
        <is>
          <t>Descripción:</t>
        </is>
      </c>
      <c r="C946" s="8" t="n"/>
      <c r="D946" s="8" t="n"/>
      <c r="E946" s="23" t="n"/>
      <c r="G946" s="29" t="inlineStr">
        <is>
          <t>Descripción:</t>
        </is>
      </c>
      <c r="H946" s="8" t="n"/>
      <c r="I946" s="8" t="n"/>
      <c r="J946" s="23" t="n"/>
      <c r="L946" s="29" t="inlineStr">
        <is>
          <t>Descripción:</t>
        </is>
      </c>
      <c r="M946" s="8" t="n"/>
      <c r="N946" s="8" t="n"/>
      <c r="O946" s="23" t="n"/>
    </row>
    <row r="947" ht="28" customHeight="1">
      <c r="B947" s="30" t="inlineStr">
        <is>
          <t>Como almacenero, quiero registrar un movimiento aunque el celular no tenga señal, para no interrumpir el trabajo en obra, donde la señal falla.</t>
        </is>
      </c>
      <c r="C947" s="8" t="n"/>
      <c r="D947" s="8" t="n"/>
      <c r="E947" s="23" t="n"/>
      <c r="G947" s="30" t="inlineStr">
        <is>
          <t>Como almacenero, quiero registrar un movimiento aunque el celular no tenga señal, para no interrumpir el trabajo en obra, donde la señal falla.</t>
        </is>
      </c>
      <c r="H947" s="8" t="n"/>
      <c r="I947" s="8" t="n"/>
      <c r="J947" s="23" t="n"/>
      <c r="L947" s="30" t="inlineStr">
        <is>
          <t>Como almacenero, quiero registrar un movimiento aunque el celular no tenga señal, para no interrumpir el trabajo en obra, donde la señal falla.</t>
        </is>
      </c>
      <c r="M947" s="8" t="n"/>
      <c r="N947" s="8" t="n"/>
      <c r="O947" s="23" t="n"/>
    </row>
    <row r="948" ht="28" customHeight="1">
      <c r="B948" s="31" t="n"/>
      <c r="C948" s="8" t="n"/>
      <c r="D948" s="8" t="n"/>
      <c r="E948" s="23" t="n"/>
      <c r="G948" s="31" t="n"/>
      <c r="H948" s="8" t="n"/>
      <c r="I948" s="8" t="n"/>
      <c r="J948" s="23" t="n"/>
      <c r="L948" s="31" t="n"/>
      <c r="M948" s="8" t="n"/>
      <c r="N948" s="8" t="n"/>
      <c r="O948" s="23" t="n"/>
    </row>
    <row r="949">
      <c r="B949" s="29" t="inlineStr">
        <is>
          <t>Ficha de la historia</t>
        </is>
      </c>
      <c r="C949" s="8" t="n"/>
      <c r="D949" s="8" t="n"/>
      <c r="E949" s="23" t="n"/>
      <c r="G949" s="29" t="inlineStr">
        <is>
          <t>Criterios de listo:</t>
        </is>
      </c>
      <c r="H949" s="8" t="n"/>
      <c r="I949" s="8" t="n"/>
      <c r="J949" s="23" t="n"/>
      <c r="L949" s="29" t="inlineStr">
        <is>
          <t>Condiciones finales (se marcan cuando el PO acepta la HU en la Review):</t>
        </is>
      </c>
      <c r="M949" s="8" t="n"/>
      <c r="N949" s="8" t="n"/>
      <c r="O949" s="23" t="n"/>
    </row>
    <row r="950" ht="30" customHeight="1">
      <c r="B950" s="32" t="inlineStr">
        <is>
          <t>Épica: E4. Controlar el movimiento de materiales en almacén</t>
        </is>
      </c>
      <c r="C950" s="8" t="n"/>
      <c r="D950" s="8" t="n"/>
      <c r="E950" s="23" t="n"/>
      <c r="G950" s="33" t="inlineStr">
        <is>
          <t>( x )</t>
        </is>
      </c>
      <c r="H950" s="34" t="inlineStr">
        <is>
          <t>L1 · Redactada en el formato acordado — Cumple</t>
        </is>
      </c>
      <c r="I950" s="8" t="n"/>
      <c r="J950" s="23" t="n"/>
      <c r="L950" s="35" t="inlineStr">
        <is>
          <t>(    )</t>
        </is>
      </c>
      <c r="M950" s="34" t="inlineStr">
        <is>
          <t>Sin señal, el movimiento se ha guardado en el celular y ha quedado en cola</t>
        </is>
      </c>
      <c r="N950" s="8" t="n"/>
      <c r="O950" s="23" t="n"/>
    </row>
    <row r="951" ht="30" customHeight="1">
      <c r="B951" s="32" t="inlineStr">
        <is>
          <t>Módulo: Offline / Sincronización</t>
        </is>
      </c>
      <c r="C951" s="8" t="n"/>
      <c r="D951" s="8" t="n"/>
      <c r="E951" s="23" t="n"/>
      <c r="G951" s="33" t="inlineStr">
        <is>
          <t>( x )</t>
        </is>
      </c>
      <c r="H951" s="34" t="inlineStr">
        <is>
          <t>L2 · Nombre corto en forma de acción — Cumple</t>
        </is>
      </c>
      <c r="I951" s="8" t="n"/>
      <c r="J951" s="23" t="n"/>
      <c r="L951" s="35" t="inlineStr">
        <is>
          <t>(    )</t>
        </is>
      </c>
      <c r="M951" s="34" t="inlineStr">
        <is>
          <t>Cada movimiento ha quedado con su identificador único y la hora del celular</t>
        </is>
      </c>
      <c r="N951" s="8" t="n"/>
      <c r="O951" s="23" t="n"/>
    </row>
    <row r="952" ht="30" customHeight="1">
      <c r="B952" s="32" t="inlineStr">
        <is>
          <t>Responsable técnico: Android · Nicolás Pachamora</t>
        </is>
      </c>
      <c r="C952" s="8" t="n"/>
      <c r="D952" s="8" t="n"/>
      <c r="E952" s="23" t="n"/>
      <c r="G952" s="33" t="inlineStr">
        <is>
          <t>( x )</t>
        </is>
      </c>
      <c r="H952" s="34" t="inlineStr">
        <is>
          <t>L3 · Criterios de aceptación escritos — Cumple</t>
        </is>
      </c>
      <c r="I952" s="8" t="n"/>
      <c r="J952" s="23" t="n"/>
      <c r="L952" s="35" t="inlineStr">
        <is>
          <t>(    )</t>
        </is>
      </c>
      <c r="M952" s="34" t="inlineStr">
        <is>
          <t>La pantalla ha mostrado que el movimiento está pendiente de enviar</t>
        </is>
      </c>
      <c r="N952" s="8" t="n"/>
      <c r="O952" s="23" t="n"/>
    </row>
    <row r="953" ht="36" customHeight="1">
      <c r="B953" s="36" t="inlineStr">
        <is>
          <t>Depende de: HU-15</t>
        </is>
      </c>
      <c r="C953" s="37" t="n"/>
      <c r="D953" s="37" t="n"/>
      <c r="E953" s="38" t="n"/>
      <c r="G953" s="33" t="inlineStr">
        <is>
          <t>( x )</t>
        </is>
      </c>
      <c r="H953" s="34" t="inlineStr">
        <is>
          <t>L4 · Dependencias resueltas — Cumple</t>
        </is>
      </c>
      <c r="I953" s="8" t="n"/>
      <c r="J953" s="23" t="n"/>
      <c r="L953" s="36" t="inlineStr">
        <is>
          <t>Mitad técnica: Además, los diez criterios T1 a T10 de la hoja «3. Criterios DoR y DoD», sin excepción</t>
        </is>
      </c>
      <c r="M953" s="37" t="n"/>
      <c r="N953" s="37" t="n"/>
      <c r="O953" s="38" t="n"/>
    </row>
    <row r="954" ht="30" customHeight="1">
      <c r="G954" s="33" t="inlineStr">
        <is>
          <t>( x )</t>
        </is>
      </c>
      <c r="H954" s="34" t="inlineStr">
        <is>
          <t>L5 · Estimada por los Developers — Cumple</t>
        </is>
      </c>
      <c r="I954" s="8" t="n"/>
      <c r="J954" s="23" t="n"/>
    </row>
    <row r="955" ht="30" customHeight="1">
      <c r="G955" s="33" t="inlineStr">
        <is>
          <t>( x )</t>
        </is>
      </c>
      <c r="H955" s="34" t="inlineStr">
        <is>
          <t>L6 · Cabe en un sprint (8 puntos o menos) — Cumple</t>
        </is>
      </c>
      <c r="I955" s="8" t="n"/>
      <c r="J955" s="23" t="n"/>
    </row>
    <row r="956" ht="30" customHeight="1">
      <c r="G956" s="33" t="inlineStr">
        <is>
          <t>( x )</t>
        </is>
      </c>
      <c r="H956" s="34" t="inlineStr">
        <is>
          <t>L7 · Reglas de dominio identificadas — Cumple</t>
        </is>
      </c>
      <c r="I956" s="8" t="n"/>
      <c r="J956" s="23" t="n"/>
    </row>
    <row r="957" ht="30" customHeight="1">
      <c r="G957" s="33" t="inlineStr">
        <is>
          <t>( x )</t>
        </is>
      </c>
      <c r="H957" s="34" t="inlineStr">
        <is>
          <t>L8 · Datos de prueba disponibles — Cumple</t>
        </is>
      </c>
      <c r="I957" s="8" t="n"/>
      <c r="J957" s="23" t="n"/>
    </row>
    <row r="958" ht="30" customHeight="1">
      <c r="G958" s="33" t="inlineStr">
        <is>
          <t>( x )</t>
        </is>
      </c>
      <c r="H958" s="34" t="inlineStr">
        <is>
          <t>L9 · Responsable técnico asignado — Cumple</t>
        </is>
      </c>
      <c r="I958" s="8" t="n"/>
      <c r="J958" s="23" t="n"/>
    </row>
    <row r="959" ht="30" customHeight="1">
      <c r="G959" s="33" t="inlineStr">
        <is>
          <t>( x )</t>
        </is>
      </c>
      <c r="H959" s="34" t="inlineStr">
        <is>
          <t>L10 · Recursos identificados — Cumple: Nicolás Pachamora + equipo de desarrollo y datos de prueba</t>
        </is>
      </c>
      <c r="I959" s="8" t="n"/>
      <c r="J959" s="23" t="n"/>
    </row>
    <row r="960" ht="30" customHeight="1">
      <c r="G960" s="33" t="inlineStr">
        <is>
          <t>( x )</t>
        </is>
      </c>
      <c r="H960" s="34" t="inlineStr">
        <is>
          <t>L11 · Requisitos técnicos de programación definidos — Cumple: Kotlin, Jetpack Compose, Room y WorkManager + cola local con uuid_cliente</t>
        </is>
      </c>
      <c r="I960" s="8" t="n"/>
      <c r="J960" s="23" t="n"/>
    </row>
    <row r="961" ht="30" customHeight="1">
      <c r="G961" s="33" t="inlineStr">
        <is>
          <t>( x )</t>
        </is>
      </c>
      <c r="H961" s="34" t="inlineStr">
        <is>
          <t>L12 · Accesos de red disponibles — Cumple: GitHub (repositorio privado), API y PostgreSQL en docker compose, red móvil o wifi para sincronizar (y modo avión para la prueba)</t>
        </is>
      </c>
      <c r="I961" s="8" t="n"/>
      <c r="J961" s="23" t="n"/>
    </row>
    <row r="962" ht="36" customHeight="1">
      <c r="G962" s="39" t="inlineStr">
        <is>
          <t>Riesgos: Perder movimientos sin señal · cola local con uuid_cliente</t>
        </is>
      </c>
      <c r="H962" s="8" t="n"/>
      <c r="I962" s="8" t="n"/>
      <c r="J962" s="23" t="n"/>
    </row>
    <row r="963" ht="36" customHeight="1">
      <c r="G963" s="32" t="inlineStr">
        <is>
          <t>Proveedores de servicio: Teléfono Android de prueba · servidor de la API en la nube</t>
        </is>
      </c>
      <c r="H963" s="8" t="n"/>
      <c r="I963" s="8" t="n"/>
      <c r="J963" s="23" t="n"/>
    </row>
    <row r="964" ht="36" customHeight="1">
      <c r="G964" s="36" t="inlineStr">
        <is>
          <t>Costos: 8 pts ≈ 16 horas-persona (1 punto ≈ 2 h) · servicios externos: S/ 0 (planes gratuitos)</t>
        </is>
      </c>
      <c r="H964" s="37" t="n"/>
      <c r="I964" s="37" t="n"/>
      <c r="J964" s="38" t="n"/>
    </row>
    <row r="967">
      <c r="B967" s="18" t="inlineStr">
        <is>
          <t>HU-38 · Sincronizar pendientes</t>
        </is>
      </c>
    </row>
    <row r="968" ht="18" customHeight="1">
      <c r="B968" s="19" t="inlineStr">
        <is>
          <t>TARJETA 1 · Historia de usuario</t>
        </is>
      </c>
      <c r="C968" s="20" t="n"/>
      <c r="D968" s="20" t="n"/>
      <c r="E968" s="21" t="n"/>
      <c r="G968" s="19" t="inlineStr">
        <is>
          <t>TARJETA 2 · Definición de Listo</t>
        </is>
      </c>
      <c r="H968" s="20" t="n"/>
      <c r="I968" s="20" t="n"/>
      <c r="J968" s="21" t="n"/>
      <c r="L968" s="19" t="inlineStr">
        <is>
          <t>TARJETA 3 · Definición de Terminado</t>
        </is>
      </c>
      <c r="M968" s="20" t="n"/>
      <c r="N968" s="20" t="n"/>
      <c r="O968" s="21" t="n"/>
    </row>
    <row r="969" ht="28" customHeight="1">
      <c r="B969" s="22" t="inlineStr">
        <is>
          <t>La unidad con la que se planifica, se estima y se acepta el trabajo</t>
        </is>
      </c>
      <c r="C969" s="8" t="n"/>
      <c r="D969" s="8" t="n"/>
      <c r="E969" s="23" t="n"/>
      <c r="G969" s="22" t="inlineStr">
        <is>
          <t>El enfoque está en la consideración del equipo de desarrollo sobre si la historia está lista para un Sprint</t>
        </is>
      </c>
      <c r="H969" s="8" t="n"/>
      <c r="I969" s="8" t="n"/>
      <c r="J969" s="23" t="n"/>
      <c r="L969" s="22" t="inlineStr">
        <is>
          <t>El enfoque está en la aceptación del cliente cuando se le entregue el producto</t>
        </is>
      </c>
      <c r="M969" s="8" t="n"/>
      <c r="N969" s="8" t="n"/>
      <c r="O969" s="23" t="n"/>
    </row>
    <row r="970">
      <c r="B970" s="24" t="inlineStr">
        <is>
          <t>Historia de usuario</t>
        </is>
      </c>
      <c r="C970" s="8" t="n"/>
      <c r="D970" s="25" t="inlineStr">
        <is>
          <t>Prioridad</t>
        </is>
      </c>
      <c r="E970" s="26" t="inlineStr">
        <is>
          <t>Estimación</t>
        </is>
      </c>
      <c r="G970" s="24" t="inlineStr">
        <is>
          <t>Historia de usuario</t>
        </is>
      </c>
      <c r="H970" s="8" t="n"/>
      <c r="I970" s="25" t="inlineStr">
        <is>
          <t>Prioridad</t>
        </is>
      </c>
      <c r="J970" s="26" t="inlineStr">
        <is>
          <t>Estimación</t>
        </is>
      </c>
      <c r="L970" s="24" t="inlineStr">
        <is>
          <t>Historia de usuario</t>
        </is>
      </c>
      <c r="M970" s="8" t="n"/>
      <c r="N970" s="25" t="inlineStr">
        <is>
          <t>Prioridad</t>
        </is>
      </c>
      <c r="O970" s="26" t="inlineStr">
        <is>
          <t>Estimación</t>
        </is>
      </c>
    </row>
    <row r="971" ht="30" customHeight="1">
      <c r="B971" s="27" t="inlineStr">
        <is>
          <t>HU-38 · Sincronizar pendientes</t>
        </is>
      </c>
      <c r="C971" s="8" t="n"/>
      <c r="D971" s="9" t="inlineStr">
        <is>
          <t>Crítica</t>
        </is>
      </c>
      <c r="E971" s="28" t="inlineStr">
        <is>
          <t>5 pts</t>
        </is>
      </c>
      <c r="G971" s="27" t="inlineStr">
        <is>
          <t>HU-38 · Sincronizar pendientes</t>
        </is>
      </c>
      <c r="H971" s="8" t="n"/>
      <c r="I971" s="9" t="inlineStr">
        <is>
          <t>Crítica</t>
        </is>
      </c>
      <c r="J971" s="28" t="inlineStr">
        <is>
          <t>5 pts</t>
        </is>
      </c>
      <c r="L971" s="27" t="inlineStr">
        <is>
          <t>HU-38 · Sincronizar pendientes</t>
        </is>
      </c>
      <c r="M971" s="8" t="n"/>
      <c r="N971" s="9" t="inlineStr">
        <is>
          <t>Crítica</t>
        </is>
      </c>
      <c r="O971" s="28" t="inlineStr">
        <is>
          <t>5 pts</t>
        </is>
      </c>
    </row>
    <row r="972">
      <c r="B972" s="29" t="inlineStr">
        <is>
          <t>Descripción:</t>
        </is>
      </c>
      <c r="C972" s="8" t="n"/>
      <c r="D972" s="8" t="n"/>
      <c r="E972" s="23" t="n"/>
      <c r="G972" s="29" t="inlineStr">
        <is>
          <t>Descripción:</t>
        </is>
      </c>
      <c r="H972" s="8" t="n"/>
      <c r="I972" s="8" t="n"/>
      <c r="J972" s="23" t="n"/>
      <c r="L972" s="29" t="inlineStr">
        <is>
          <t>Descripción:</t>
        </is>
      </c>
      <c r="M972" s="8" t="n"/>
      <c r="N972" s="8" t="n"/>
      <c r="O972" s="23" t="n"/>
    </row>
    <row r="973" ht="28" customHeight="1">
      <c r="B973" s="30" t="inlineStr">
        <is>
          <t>Como almacenero, quiero enviar al servidor los movimientos que quedaron en cola, para que el saldo del sistema refleje lo que ya ocurrió en obra.</t>
        </is>
      </c>
      <c r="C973" s="8" t="n"/>
      <c r="D973" s="8" t="n"/>
      <c r="E973" s="23" t="n"/>
      <c r="G973" s="30" t="inlineStr">
        <is>
          <t>Como almacenero, quiero enviar al servidor los movimientos que quedaron en cola, para que el saldo del sistema refleje lo que ya ocurrió en obra.</t>
        </is>
      </c>
      <c r="H973" s="8" t="n"/>
      <c r="I973" s="8" t="n"/>
      <c r="J973" s="23" t="n"/>
      <c r="L973" s="30" t="inlineStr">
        <is>
          <t>Como almacenero, quiero enviar al servidor los movimientos que quedaron en cola, para que el saldo del sistema refleje lo que ya ocurrió en obra.</t>
        </is>
      </c>
      <c r="M973" s="8" t="n"/>
      <c r="N973" s="8" t="n"/>
      <c r="O973" s="23" t="n"/>
    </row>
    <row r="974" ht="28" customHeight="1">
      <c r="B974" s="31" t="n"/>
      <c r="C974" s="8" t="n"/>
      <c r="D974" s="8" t="n"/>
      <c r="E974" s="23" t="n"/>
      <c r="G974" s="31" t="n"/>
      <c r="H974" s="8" t="n"/>
      <c r="I974" s="8" t="n"/>
      <c r="J974" s="23" t="n"/>
      <c r="L974" s="31" t="n"/>
      <c r="M974" s="8" t="n"/>
      <c r="N974" s="8" t="n"/>
      <c r="O974" s="23" t="n"/>
    </row>
    <row r="975">
      <c r="B975" s="29" t="inlineStr">
        <is>
          <t>Ficha de la historia</t>
        </is>
      </c>
      <c r="C975" s="8" t="n"/>
      <c r="D975" s="8" t="n"/>
      <c r="E975" s="23" t="n"/>
      <c r="G975" s="29" t="inlineStr">
        <is>
          <t>Criterios de listo:</t>
        </is>
      </c>
      <c r="H975" s="8" t="n"/>
      <c r="I975" s="8" t="n"/>
      <c r="J975" s="23" t="n"/>
      <c r="L975" s="29" t="inlineStr">
        <is>
          <t>Condiciones finales (se marcan cuando el PO acepta la HU en la Review):</t>
        </is>
      </c>
      <c r="M975" s="8" t="n"/>
      <c r="N975" s="8" t="n"/>
      <c r="O975" s="23" t="n"/>
    </row>
    <row r="976" ht="30" customHeight="1">
      <c r="B976" s="32" t="inlineStr">
        <is>
          <t>Épica: E4. Controlar el movimiento de materiales en almacén</t>
        </is>
      </c>
      <c r="C976" s="8" t="n"/>
      <c r="D976" s="8" t="n"/>
      <c r="E976" s="23" t="n"/>
      <c r="G976" s="33" t="inlineStr">
        <is>
          <t>( x )</t>
        </is>
      </c>
      <c r="H976" s="34" t="inlineStr">
        <is>
          <t>L1 · Redactada en el formato acordado — Cumple</t>
        </is>
      </c>
      <c r="I976" s="8" t="n"/>
      <c r="J976" s="23" t="n"/>
      <c r="L976" s="35" t="inlineStr">
        <is>
          <t>(    )</t>
        </is>
      </c>
      <c r="M976" s="34" t="inlineStr">
        <is>
          <t>Al volver la señal, los pendientes se han enviado solos</t>
        </is>
      </c>
      <c r="N976" s="8" t="n"/>
      <c r="O976" s="23" t="n"/>
    </row>
    <row r="977" ht="30" customHeight="1">
      <c r="B977" s="32" t="inlineStr">
        <is>
          <t>Módulo: Offline / Sincronización</t>
        </is>
      </c>
      <c r="C977" s="8" t="n"/>
      <c r="D977" s="8" t="n"/>
      <c r="E977" s="23" t="n"/>
      <c r="G977" s="33" t="inlineStr">
        <is>
          <t>( x )</t>
        </is>
      </c>
      <c r="H977" s="34" t="inlineStr">
        <is>
          <t>L2 · Nombre corto en forma de acción — Cumple</t>
        </is>
      </c>
      <c r="I977" s="8" t="n"/>
      <c r="J977" s="23" t="n"/>
      <c r="L977" s="35" t="inlineStr">
        <is>
          <t>(    )</t>
        </is>
      </c>
      <c r="M977" s="34" t="inlineStr">
        <is>
          <t>Un reenvío con el mismo identificador no ha duplicado el movimiento</t>
        </is>
      </c>
      <c r="N977" s="8" t="n"/>
      <c r="O977" s="23" t="n"/>
    </row>
    <row r="978" ht="30" customHeight="1">
      <c r="B978" s="32" t="inlineStr">
        <is>
          <t>Responsable técnico: Android · Nicolás Pachamora</t>
        </is>
      </c>
      <c r="C978" s="8" t="n"/>
      <c r="D978" s="8" t="n"/>
      <c r="E978" s="23" t="n"/>
      <c r="G978" s="33" t="inlineStr">
        <is>
          <t>( x )</t>
        </is>
      </c>
      <c r="H978" s="34" t="inlineStr">
        <is>
          <t>L3 · Criterios de aceptación escritos — Cumple</t>
        </is>
      </c>
      <c r="I978" s="8" t="n"/>
      <c r="J978" s="23" t="n"/>
      <c r="L978" s="35" t="inlineStr">
        <is>
          <t>(    )</t>
        </is>
      </c>
      <c r="M978" s="34" t="inlineStr">
        <is>
          <t>El saldo se ha recalculado en el servidor, no en el celular</t>
        </is>
      </c>
      <c r="N978" s="8" t="n"/>
      <c r="O978" s="23" t="n"/>
    </row>
    <row r="979" ht="30" customHeight="1">
      <c r="B979" s="36" t="inlineStr">
        <is>
          <t>Depende de: HU-37</t>
        </is>
      </c>
      <c r="C979" s="37" t="n"/>
      <c r="D979" s="37" t="n"/>
      <c r="E979" s="38" t="n"/>
      <c r="G979" s="33" t="inlineStr">
        <is>
          <t>( x )</t>
        </is>
      </c>
      <c r="H979" s="34" t="inlineStr">
        <is>
          <t>L4 · Dependencias resueltas — Cumple</t>
        </is>
      </c>
      <c r="I979" s="8" t="n"/>
      <c r="J979" s="23" t="n"/>
      <c r="L979" s="35" t="inlineStr">
        <is>
          <t>(    )</t>
        </is>
      </c>
      <c r="M979" s="34" t="inlineStr">
        <is>
          <t>Un movimiento rechazado se ha conservado con su motivo</t>
        </is>
      </c>
      <c r="N979" s="8" t="n"/>
      <c r="O979" s="23" t="n"/>
    </row>
    <row r="980" ht="36" customHeight="1">
      <c r="G980" s="33" t="inlineStr">
        <is>
          <t>( x )</t>
        </is>
      </c>
      <c r="H980" s="34" t="inlineStr">
        <is>
          <t>L5 · Estimada por los Developers — Cumple</t>
        </is>
      </c>
      <c r="I980" s="8" t="n"/>
      <c r="J980" s="23" t="n"/>
      <c r="L980" s="36" t="inlineStr">
        <is>
          <t>Mitad técnica: Además, los diez criterios T1 a T10 de la hoja «3. Criterios DoR y DoD», sin excepción</t>
        </is>
      </c>
      <c r="M980" s="37" t="n"/>
      <c r="N980" s="37" t="n"/>
      <c r="O980" s="38" t="n"/>
    </row>
    <row r="981" ht="30" customHeight="1">
      <c r="G981" s="33" t="inlineStr">
        <is>
          <t>( x )</t>
        </is>
      </c>
      <c r="H981" s="34" t="inlineStr">
        <is>
          <t>L6 · Cabe en un sprint (8 puntos o menos) — Cumple</t>
        </is>
      </c>
      <c r="I981" s="8" t="n"/>
      <c r="J981" s="23" t="n"/>
    </row>
    <row r="982" ht="30" customHeight="1">
      <c r="G982" s="33" t="inlineStr">
        <is>
          <t>( x )</t>
        </is>
      </c>
      <c r="H982" s="34" t="inlineStr">
        <is>
          <t>L7 · Reglas de dominio identificadas — Cumple</t>
        </is>
      </c>
      <c r="I982" s="8" t="n"/>
      <c r="J982" s="23" t="n"/>
    </row>
    <row r="983" ht="30" customHeight="1">
      <c r="G983" s="33" t="inlineStr">
        <is>
          <t>( x )</t>
        </is>
      </c>
      <c r="H983" s="34" t="inlineStr">
        <is>
          <t>L8 · Datos de prueba disponibles — Cumple</t>
        </is>
      </c>
      <c r="I983" s="8" t="n"/>
      <c r="J983" s="23" t="n"/>
    </row>
    <row r="984" ht="30" customHeight="1">
      <c r="G984" s="33" t="inlineStr">
        <is>
          <t>( x )</t>
        </is>
      </c>
      <c r="H984" s="34" t="inlineStr">
        <is>
          <t>L9 · Responsable técnico asignado — Cumple</t>
        </is>
      </c>
      <c r="I984" s="8" t="n"/>
      <c r="J984" s="23" t="n"/>
    </row>
    <row r="985" ht="30" customHeight="1">
      <c r="G985" s="33" t="inlineStr">
        <is>
          <t>( x )</t>
        </is>
      </c>
      <c r="H985" s="34" t="inlineStr">
        <is>
          <t>L10 · Recursos identificados — Cumple: Nicolás Pachamora + equipo de desarrollo y datos de prueba</t>
        </is>
      </c>
      <c r="I985" s="8" t="n"/>
      <c r="J985" s="23" t="n"/>
    </row>
    <row r="986" ht="30" customHeight="1">
      <c r="G986" s="33" t="inlineStr">
        <is>
          <t>( x )</t>
        </is>
      </c>
      <c r="H986" s="34" t="inlineStr">
        <is>
          <t>L11 · Requisitos técnicos de programación definidos — Cumple: Kotlin, Jetpack Compose, Room y WorkManager + cola local con uuid_cliente</t>
        </is>
      </c>
      <c r="I986" s="8" t="n"/>
      <c r="J986" s="23" t="n"/>
    </row>
    <row r="987" ht="30" customHeight="1">
      <c r="G987" s="33" t="inlineStr">
        <is>
          <t>( x )</t>
        </is>
      </c>
      <c r="H987" s="34" t="inlineStr">
        <is>
          <t>L12 · Accesos de red disponibles — Cumple: GitHub (repositorio privado), API y PostgreSQL en docker compose, red móvil o wifi para sincronizar (y modo avión para la prueba)</t>
        </is>
      </c>
      <c r="I987" s="8" t="n"/>
      <c r="J987" s="23" t="n"/>
    </row>
    <row r="988" ht="36" customHeight="1">
      <c r="G988" s="39" t="inlineStr">
        <is>
          <t>Riesgos: Reenvío que duplica la salida · el servidor usa uuid_cliente como clave de idempotencia</t>
        </is>
      </c>
      <c r="H988" s="8" t="n"/>
      <c r="I988" s="8" t="n"/>
      <c r="J988" s="23" t="n"/>
    </row>
    <row r="989" ht="36" customHeight="1">
      <c r="G989" s="32" t="inlineStr">
        <is>
          <t>Proveedores de servicio: Teléfono Android de prueba · servidor de la API en la nube</t>
        </is>
      </c>
      <c r="H989" s="8" t="n"/>
      <c r="I989" s="8" t="n"/>
      <c r="J989" s="23" t="n"/>
    </row>
    <row r="990" ht="36" customHeight="1">
      <c r="G990" s="36" t="inlineStr">
        <is>
          <t>Costos: 5 pts ≈ 10 horas-persona (1 punto ≈ 2 h) · servicios externos: S/ 0 (planes gratuitos)</t>
        </is>
      </c>
      <c r="H990" s="37" t="n"/>
      <c r="I990" s="37" t="n"/>
      <c r="J990" s="38" t="n"/>
    </row>
    <row r="993">
      <c r="B993" s="18" t="inlineStr">
        <is>
          <t>HU-39 · Consultar estado de sincronización</t>
        </is>
      </c>
    </row>
    <row r="994" ht="18" customHeight="1">
      <c r="B994" s="19" t="inlineStr">
        <is>
          <t>TARJETA 1 · Historia de usuario</t>
        </is>
      </c>
      <c r="C994" s="20" t="n"/>
      <c r="D994" s="20" t="n"/>
      <c r="E994" s="21" t="n"/>
      <c r="G994" s="19" t="inlineStr">
        <is>
          <t>TARJETA 2 · Definición de Listo</t>
        </is>
      </c>
      <c r="H994" s="20" t="n"/>
      <c r="I994" s="20" t="n"/>
      <c r="J994" s="21" t="n"/>
      <c r="L994" s="19" t="inlineStr">
        <is>
          <t>TARJETA 3 · Definición de Terminado</t>
        </is>
      </c>
      <c r="M994" s="20" t="n"/>
      <c r="N994" s="20" t="n"/>
      <c r="O994" s="21" t="n"/>
    </row>
    <row r="995" ht="28" customHeight="1">
      <c r="B995" s="22" t="inlineStr">
        <is>
          <t>La unidad con la que se planifica, se estima y se acepta el trabajo</t>
        </is>
      </c>
      <c r="C995" s="8" t="n"/>
      <c r="D995" s="8" t="n"/>
      <c r="E995" s="23" t="n"/>
      <c r="G995" s="22" t="inlineStr">
        <is>
          <t>El enfoque está en la consideración del equipo de desarrollo sobre si la historia está lista para un Sprint</t>
        </is>
      </c>
      <c r="H995" s="8" t="n"/>
      <c r="I995" s="8" t="n"/>
      <c r="J995" s="23" t="n"/>
      <c r="L995" s="22" t="inlineStr">
        <is>
          <t>El enfoque está en la aceptación del cliente cuando se le entregue el producto</t>
        </is>
      </c>
      <c r="M995" s="8" t="n"/>
      <c r="N995" s="8" t="n"/>
      <c r="O995" s="23" t="n"/>
    </row>
    <row r="996">
      <c r="B996" s="24" t="inlineStr">
        <is>
          <t>Historia de usuario</t>
        </is>
      </c>
      <c r="C996" s="8" t="n"/>
      <c r="D996" s="25" t="inlineStr">
        <is>
          <t>Prioridad</t>
        </is>
      </c>
      <c r="E996" s="26" t="inlineStr">
        <is>
          <t>Estimación</t>
        </is>
      </c>
      <c r="G996" s="24" t="inlineStr">
        <is>
          <t>Historia de usuario</t>
        </is>
      </c>
      <c r="H996" s="8" t="n"/>
      <c r="I996" s="25" t="inlineStr">
        <is>
          <t>Prioridad</t>
        </is>
      </c>
      <c r="J996" s="26" t="inlineStr">
        <is>
          <t>Estimación</t>
        </is>
      </c>
      <c r="L996" s="24" t="inlineStr">
        <is>
          <t>Historia de usuario</t>
        </is>
      </c>
      <c r="M996" s="8" t="n"/>
      <c r="N996" s="25" t="inlineStr">
        <is>
          <t>Prioridad</t>
        </is>
      </c>
      <c r="O996" s="26" t="inlineStr">
        <is>
          <t>Estimación</t>
        </is>
      </c>
    </row>
    <row r="997" ht="30" customHeight="1">
      <c r="B997" s="27" t="inlineStr">
        <is>
          <t>HU-39 · Consultar estado de sincronización</t>
        </is>
      </c>
      <c r="C997" s="8" t="n"/>
      <c r="D997" s="9" t="inlineStr">
        <is>
          <t>Alta</t>
        </is>
      </c>
      <c r="E997" s="28" t="inlineStr">
        <is>
          <t>5 pts</t>
        </is>
      </c>
      <c r="G997" s="27" t="inlineStr">
        <is>
          <t>HU-39 · Consultar estado de sincronización</t>
        </is>
      </c>
      <c r="H997" s="8" t="n"/>
      <c r="I997" s="9" t="inlineStr">
        <is>
          <t>Alta</t>
        </is>
      </c>
      <c r="J997" s="28" t="inlineStr">
        <is>
          <t>5 pts</t>
        </is>
      </c>
      <c r="L997" s="27" t="inlineStr">
        <is>
          <t>HU-39 · Consultar estado de sincronización</t>
        </is>
      </c>
      <c r="M997" s="8" t="n"/>
      <c r="N997" s="9" t="inlineStr">
        <is>
          <t>Alta</t>
        </is>
      </c>
      <c r="O997" s="28" t="inlineStr">
        <is>
          <t>5 pts</t>
        </is>
      </c>
    </row>
    <row r="998">
      <c r="B998" s="29" t="inlineStr">
        <is>
          <t>Descripción:</t>
        </is>
      </c>
      <c r="C998" s="8" t="n"/>
      <c r="D998" s="8" t="n"/>
      <c r="E998" s="23" t="n"/>
      <c r="G998" s="29" t="inlineStr">
        <is>
          <t>Descripción:</t>
        </is>
      </c>
      <c r="H998" s="8" t="n"/>
      <c r="I998" s="8" t="n"/>
      <c r="J998" s="23" t="n"/>
      <c r="L998" s="29" t="inlineStr">
        <is>
          <t>Descripción:</t>
        </is>
      </c>
      <c r="M998" s="8" t="n"/>
      <c r="N998" s="8" t="n"/>
      <c r="O998" s="23" t="n"/>
    </row>
    <row r="999" ht="28" customHeight="1">
      <c r="B999" s="30" t="inlineStr">
        <is>
          <t>Como almacenero, quiero distinguir cuáles de mis registros ya se sincronizaron, para confiar en que nada quedó sin enviar.</t>
        </is>
      </c>
      <c r="C999" s="8" t="n"/>
      <c r="D999" s="8" t="n"/>
      <c r="E999" s="23" t="n"/>
      <c r="G999" s="30" t="inlineStr">
        <is>
          <t>Como almacenero, quiero distinguir cuáles de mis registros ya se sincronizaron, para confiar en que nada quedó sin enviar.</t>
        </is>
      </c>
      <c r="H999" s="8" t="n"/>
      <c r="I999" s="8" t="n"/>
      <c r="J999" s="23" t="n"/>
      <c r="L999" s="30" t="inlineStr">
        <is>
          <t>Como almacenero, quiero distinguir cuáles de mis registros ya se sincronizaron, para confiar en que nada quedó sin enviar.</t>
        </is>
      </c>
      <c r="M999" s="8" t="n"/>
      <c r="N999" s="8" t="n"/>
      <c r="O999" s="23" t="n"/>
    </row>
    <row r="1000" ht="28" customHeight="1">
      <c r="B1000" s="31" t="n"/>
      <c r="C1000" s="8" t="n"/>
      <c r="D1000" s="8" t="n"/>
      <c r="E1000" s="23" t="n"/>
      <c r="G1000" s="31" t="n"/>
      <c r="H1000" s="8" t="n"/>
      <c r="I1000" s="8" t="n"/>
      <c r="J1000" s="23" t="n"/>
      <c r="L1000" s="31" t="n"/>
      <c r="M1000" s="8" t="n"/>
      <c r="N1000" s="8" t="n"/>
      <c r="O1000" s="23" t="n"/>
    </row>
    <row r="1001">
      <c r="B1001" s="29" t="inlineStr">
        <is>
          <t>Ficha de la historia</t>
        </is>
      </c>
      <c r="C1001" s="8" t="n"/>
      <c r="D1001" s="8" t="n"/>
      <c r="E1001" s="23" t="n"/>
      <c r="G1001" s="29" t="inlineStr">
        <is>
          <t>Criterios de listo:</t>
        </is>
      </c>
      <c r="H1001" s="8" t="n"/>
      <c r="I1001" s="8" t="n"/>
      <c r="J1001" s="23" t="n"/>
      <c r="L1001" s="29" t="inlineStr">
        <is>
          <t>Condiciones finales (se marcan cuando el PO acepta la HU en la Review):</t>
        </is>
      </c>
      <c r="M1001" s="8" t="n"/>
      <c r="N1001" s="8" t="n"/>
      <c r="O1001" s="23" t="n"/>
    </row>
    <row r="1002" ht="30" customHeight="1">
      <c r="B1002" s="32" t="inlineStr">
        <is>
          <t>Épica: E4. Controlar el movimiento de materiales en almacén</t>
        </is>
      </c>
      <c r="C1002" s="8" t="n"/>
      <c r="D1002" s="8" t="n"/>
      <c r="E1002" s="23" t="n"/>
      <c r="G1002" s="33" t="inlineStr">
        <is>
          <t>( x )</t>
        </is>
      </c>
      <c r="H1002" s="34" t="inlineStr">
        <is>
          <t>L1 · Redactada en el formato acordado — Cumple</t>
        </is>
      </c>
      <c r="I1002" s="8" t="n"/>
      <c r="J1002" s="23" t="n"/>
      <c r="L1002" s="35" t="inlineStr">
        <is>
          <t>(    )</t>
        </is>
      </c>
      <c r="M1002" s="34" t="inlineStr">
        <is>
          <t>Cada movimiento ha mostrado si está pendiente, enviado o rechazado</t>
        </is>
      </c>
      <c r="N1002" s="8" t="n"/>
      <c r="O1002" s="23" t="n"/>
    </row>
    <row r="1003" ht="30" customHeight="1">
      <c r="B1003" s="32" t="inlineStr">
        <is>
          <t>Módulo: Offline / Sincronización</t>
        </is>
      </c>
      <c r="C1003" s="8" t="n"/>
      <c r="D1003" s="8" t="n"/>
      <c r="E1003" s="23" t="n"/>
      <c r="G1003" s="33" t="inlineStr">
        <is>
          <t>( x )</t>
        </is>
      </c>
      <c r="H1003" s="34" t="inlineStr">
        <is>
          <t>L2 · Nombre corto en forma de acción — Cumple</t>
        </is>
      </c>
      <c r="I1003" s="8" t="n"/>
      <c r="J1003" s="23" t="n"/>
      <c r="L1003" s="35" t="inlineStr">
        <is>
          <t>(    )</t>
        </is>
      </c>
      <c r="M1003" s="34" t="inlineStr">
        <is>
          <t>Un rechazado ha mostrado su motivo y se ha podido corregir</t>
        </is>
      </c>
      <c r="N1003" s="8" t="n"/>
      <c r="O1003" s="23" t="n"/>
    </row>
    <row r="1004" ht="30" customHeight="1">
      <c r="B1004" s="32" t="inlineStr">
        <is>
          <t>Responsable técnico: Android · Nicolás Pachamora</t>
        </is>
      </c>
      <c r="C1004" s="8" t="n"/>
      <c r="D1004" s="8" t="n"/>
      <c r="E1004" s="23" t="n"/>
      <c r="G1004" s="33" t="inlineStr">
        <is>
          <t>( x )</t>
        </is>
      </c>
      <c r="H1004" s="34" t="inlineStr">
        <is>
          <t>L3 · Criterios de aceptación escritos — Cumple</t>
        </is>
      </c>
      <c r="I1004" s="8" t="n"/>
      <c r="J1004" s="23" t="n"/>
      <c r="L1004" s="35" t="inlineStr">
        <is>
          <t>(    )</t>
        </is>
      </c>
      <c r="M1004" s="34" t="inlineStr">
        <is>
          <t>El contador de pendientes ha estado visible en todo momento</t>
        </is>
      </c>
      <c r="N1004" s="8" t="n"/>
      <c r="O1004" s="23" t="n"/>
    </row>
    <row r="1005" ht="36" customHeight="1">
      <c r="B1005" s="36" t="inlineStr">
        <is>
          <t>Depende de: HU-38</t>
        </is>
      </c>
      <c r="C1005" s="37" t="n"/>
      <c r="D1005" s="37" t="n"/>
      <c r="E1005" s="38" t="n"/>
      <c r="G1005" s="33" t="inlineStr">
        <is>
          <t>( x )</t>
        </is>
      </c>
      <c r="H1005" s="34" t="inlineStr">
        <is>
          <t>L4 · Dependencias resueltas — Cumple</t>
        </is>
      </c>
      <c r="I1005" s="8" t="n"/>
      <c r="J1005" s="23" t="n"/>
      <c r="L1005" s="36" t="inlineStr">
        <is>
          <t>Mitad técnica: Además, los diez criterios T1 a T10 de la hoja «3. Criterios DoR y DoD», sin excepción</t>
        </is>
      </c>
      <c r="M1005" s="37" t="n"/>
      <c r="N1005" s="37" t="n"/>
      <c r="O1005" s="38" t="n"/>
    </row>
    <row r="1006" ht="30" customHeight="1">
      <c r="G1006" s="33" t="inlineStr">
        <is>
          <t>( x )</t>
        </is>
      </c>
      <c r="H1006" s="34" t="inlineStr">
        <is>
          <t>L5 · Estimada por los Developers — Cumple</t>
        </is>
      </c>
      <c r="I1006" s="8" t="n"/>
      <c r="J1006" s="23" t="n"/>
    </row>
    <row r="1007" ht="30" customHeight="1">
      <c r="G1007" s="33" t="inlineStr">
        <is>
          <t>( x )</t>
        </is>
      </c>
      <c r="H1007" s="34" t="inlineStr">
        <is>
          <t>L6 · Cabe en un sprint (8 puntos o menos) — Cumple</t>
        </is>
      </c>
      <c r="I1007" s="8" t="n"/>
      <c r="J1007" s="23" t="n"/>
    </row>
    <row r="1008" ht="30" customHeight="1">
      <c r="G1008" s="33" t="inlineStr">
        <is>
          <t>( x )</t>
        </is>
      </c>
      <c r="H1008" s="34" t="inlineStr">
        <is>
          <t>L7 · Reglas de dominio identificadas — Cumple</t>
        </is>
      </c>
      <c r="I1008" s="8" t="n"/>
      <c r="J1008" s="23" t="n"/>
    </row>
    <row r="1009" ht="30" customHeight="1">
      <c r="G1009" s="33" t="inlineStr">
        <is>
          <t>( x )</t>
        </is>
      </c>
      <c r="H1009" s="34" t="inlineStr">
        <is>
          <t>L8 · Datos de prueba disponibles — Cumple</t>
        </is>
      </c>
      <c r="I1009" s="8" t="n"/>
      <c r="J1009" s="23" t="n"/>
    </row>
    <row r="1010" ht="30" customHeight="1">
      <c r="G1010" s="33" t="inlineStr">
        <is>
          <t>( x )</t>
        </is>
      </c>
      <c r="H1010" s="34" t="inlineStr">
        <is>
          <t>L9 · Responsable técnico asignado — Cumple</t>
        </is>
      </c>
      <c r="I1010" s="8" t="n"/>
      <c r="J1010" s="23" t="n"/>
    </row>
    <row r="1011" ht="30" customHeight="1">
      <c r="G1011" s="33" t="inlineStr">
        <is>
          <t>( x )</t>
        </is>
      </c>
      <c r="H1011" s="34" t="inlineStr">
        <is>
          <t>L10 · Recursos identificados — Cumple: Nicolás Pachamora + equipo de desarrollo y datos de prueba</t>
        </is>
      </c>
      <c r="I1011" s="8" t="n"/>
      <c r="J1011" s="23" t="n"/>
    </row>
    <row r="1012" ht="30" customHeight="1">
      <c r="G1012" s="33" t="inlineStr">
        <is>
          <t>( x )</t>
        </is>
      </c>
      <c r="H1012" s="34" t="inlineStr">
        <is>
          <t>L11 · Requisitos técnicos de programación definidos — Cumple: Kotlin, Jetpack Compose, Room y WorkManager</t>
        </is>
      </c>
      <c r="I1012" s="8" t="n"/>
      <c r="J1012" s="23" t="n"/>
    </row>
    <row r="1013" ht="30" customHeight="1">
      <c r="G1013" s="33" t="inlineStr">
        <is>
          <t>( x )</t>
        </is>
      </c>
      <c r="H1013" s="34" t="inlineStr">
        <is>
          <t>L12 · Accesos de red disponibles — Cumple: GitHub (repositorio privado), API y PostgreSQL en docker compose, red móvil o wifi para sincronizar (y modo avión para la prueba)</t>
        </is>
      </c>
      <c r="I1013" s="8" t="n"/>
      <c r="J1013" s="23" t="n"/>
    </row>
    <row r="1014" ht="36" customHeight="1">
      <c r="G1014" s="39" t="inlineStr">
        <is>
          <t>Riesgos: El almacenero no sabe qué falta enviar · contador de pendientes siempre visible</t>
        </is>
      </c>
      <c r="H1014" s="8" t="n"/>
      <c r="I1014" s="8" t="n"/>
      <c r="J1014" s="23" t="n"/>
    </row>
    <row r="1015" ht="36" customHeight="1">
      <c r="G1015" s="32" t="inlineStr">
        <is>
          <t>Proveedores de servicio: Teléfono Android de prueba · servidor de la API en la nube</t>
        </is>
      </c>
      <c r="H1015" s="8" t="n"/>
      <c r="I1015" s="8" t="n"/>
      <c r="J1015" s="23" t="n"/>
    </row>
    <row r="1016" ht="36" customHeight="1">
      <c r="G1016" s="36" t="inlineStr">
        <is>
          <t>Costos: 5 pts ≈ 10 horas-persona (1 punto ≈ 2 h) · servicios externos: S/ 0 (planes gratuitos)</t>
        </is>
      </c>
      <c r="H1016" s="37" t="n"/>
      <c r="I1016" s="37" t="n"/>
      <c r="J1016" s="38" t="n"/>
    </row>
    <row r="1019">
      <c r="B1019" s="18" t="inlineStr">
        <is>
          <t>HU-40 · Registrar salidas de material</t>
        </is>
      </c>
    </row>
    <row r="1020" ht="18" customHeight="1">
      <c r="B1020" s="19" t="inlineStr">
        <is>
          <t>TARJETA 1 · Historia de usuario</t>
        </is>
      </c>
      <c r="C1020" s="20" t="n"/>
      <c r="D1020" s="20" t="n"/>
      <c r="E1020" s="21" t="n"/>
      <c r="G1020" s="19" t="inlineStr">
        <is>
          <t>TARJETA 2 · Definición de Listo</t>
        </is>
      </c>
      <c r="H1020" s="20" t="n"/>
      <c r="I1020" s="20" t="n"/>
      <c r="J1020" s="21" t="n"/>
      <c r="L1020" s="19" t="inlineStr">
        <is>
          <t>TARJETA 3 · Definición de Terminado</t>
        </is>
      </c>
      <c r="M1020" s="20" t="n"/>
      <c r="N1020" s="20" t="n"/>
      <c r="O1020" s="21" t="n"/>
    </row>
    <row r="1021" ht="28" customHeight="1">
      <c r="B1021" s="22" t="inlineStr">
        <is>
          <t>La unidad con la que se planifica, se estima y se acepta el trabajo</t>
        </is>
      </c>
      <c r="C1021" s="8" t="n"/>
      <c r="D1021" s="8" t="n"/>
      <c r="E1021" s="23" t="n"/>
      <c r="G1021" s="22" t="inlineStr">
        <is>
          <t>El enfoque está en la consideración del equipo de desarrollo sobre si la historia está lista para un Sprint</t>
        </is>
      </c>
      <c r="H1021" s="8" t="n"/>
      <c r="I1021" s="8" t="n"/>
      <c r="J1021" s="23" t="n"/>
      <c r="L1021" s="22" t="inlineStr">
        <is>
          <t>El enfoque está en la aceptación del cliente cuando se le entregue el producto</t>
        </is>
      </c>
      <c r="M1021" s="8" t="n"/>
      <c r="N1021" s="8" t="n"/>
      <c r="O1021" s="23" t="n"/>
    </row>
    <row r="1022">
      <c r="B1022" s="24" t="inlineStr">
        <is>
          <t>Historia de usuario</t>
        </is>
      </c>
      <c r="C1022" s="8" t="n"/>
      <c r="D1022" s="25" t="inlineStr">
        <is>
          <t>Prioridad</t>
        </is>
      </c>
      <c r="E1022" s="26" t="inlineStr">
        <is>
          <t>Estimación</t>
        </is>
      </c>
      <c r="G1022" s="24" t="inlineStr">
        <is>
          <t>Historia de usuario</t>
        </is>
      </c>
      <c r="H1022" s="8" t="n"/>
      <c r="I1022" s="25" t="inlineStr">
        <is>
          <t>Prioridad</t>
        </is>
      </c>
      <c r="J1022" s="26" t="inlineStr">
        <is>
          <t>Estimación</t>
        </is>
      </c>
      <c r="L1022" s="24" t="inlineStr">
        <is>
          <t>Historia de usuario</t>
        </is>
      </c>
      <c r="M1022" s="8" t="n"/>
      <c r="N1022" s="25" t="inlineStr">
        <is>
          <t>Prioridad</t>
        </is>
      </c>
      <c r="O1022" s="26" t="inlineStr">
        <is>
          <t>Estimación</t>
        </is>
      </c>
    </row>
    <row r="1023" ht="30" customHeight="1">
      <c r="B1023" s="27" t="inlineStr">
        <is>
          <t>HU-40 · Registrar salidas de material</t>
        </is>
      </c>
      <c r="C1023" s="8" t="n"/>
      <c r="D1023" s="9" t="inlineStr">
        <is>
          <t>Crítica</t>
        </is>
      </c>
      <c r="E1023" s="28" t="inlineStr">
        <is>
          <t>8 pts</t>
        </is>
      </c>
      <c r="G1023" s="27" t="inlineStr">
        <is>
          <t>HU-40 · Registrar salidas de material</t>
        </is>
      </c>
      <c r="H1023" s="8" t="n"/>
      <c r="I1023" s="9" t="inlineStr">
        <is>
          <t>Crítica</t>
        </is>
      </c>
      <c r="J1023" s="28" t="inlineStr">
        <is>
          <t>8 pts</t>
        </is>
      </c>
      <c r="L1023" s="27" t="inlineStr">
        <is>
          <t>HU-40 · Registrar salidas de material</t>
        </is>
      </c>
      <c r="M1023" s="8" t="n"/>
      <c r="N1023" s="9" t="inlineStr">
        <is>
          <t>Crítica</t>
        </is>
      </c>
      <c r="O1023" s="28" t="inlineStr">
        <is>
          <t>8 pts</t>
        </is>
      </c>
    </row>
    <row r="1024">
      <c r="B1024" s="29" t="inlineStr">
        <is>
          <t>Descripción:</t>
        </is>
      </c>
      <c r="C1024" s="8" t="n"/>
      <c r="D1024" s="8" t="n"/>
      <c r="E1024" s="23" t="n"/>
      <c r="G1024" s="29" t="inlineStr">
        <is>
          <t>Descripción:</t>
        </is>
      </c>
      <c r="H1024" s="8" t="n"/>
      <c r="I1024" s="8" t="n"/>
      <c r="J1024" s="23" t="n"/>
      <c r="L1024" s="29" t="inlineStr">
        <is>
          <t>Descripción:</t>
        </is>
      </c>
      <c r="M1024" s="8" t="n"/>
      <c r="N1024" s="8" t="n"/>
      <c r="O1024" s="23" t="n"/>
    </row>
    <row r="1025" ht="28" customHeight="1">
      <c r="B1025" s="30" t="inlineStr">
        <is>
          <t>Como almacenero, quiero registrar la salida con su motivo y quién retira el material, para saber en qué se usó y quién responde por él.</t>
        </is>
      </c>
      <c r="C1025" s="8" t="n"/>
      <c r="D1025" s="8" t="n"/>
      <c r="E1025" s="23" t="n"/>
      <c r="G1025" s="30" t="inlineStr">
        <is>
          <t>Como almacenero, quiero registrar la salida con su motivo y quién retira el material, para saber en qué se usó y quién responde por él.</t>
        </is>
      </c>
      <c r="H1025" s="8" t="n"/>
      <c r="I1025" s="8" t="n"/>
      <c r="J1025" s="23" t="n"/>
      <c r="L1025" s="30" t="inlineStr">
        <is>
          <t>Como almacenero, quiero registrar la salida con su motivo y quién retira el material, para saber en qué se usó y quién responde por él.</t>
        </is>
      </c>
      <c r="M1025" s="8" t="n"/>
      <c r="N1025" s="8" t="n"/>
      <c r="O1025" s="23" t="n"/>
    </row>
    <row r="1026" ht="28" customHeight="1">
      <c r="B1026" s="31" t="n"/>
      <c r="C1026" s="8" t="n"/>
      <c r="D1026" s="8" t="n"/>
      <c r="E1026" s="23" t="n"/>
      <c r="G1026" s="31" t="n"/>
      <c r="H1026" s="8" t="n"/>
      <c r="I1026" s="8" t="n"/>
      <c r="J1026" s="23" t="n"/>
      <c r="L1026" s="31" t="n"/>
      <c r="M1026" s="8" t="n"/>
      <c r="N1026" s="8" t="n"/>
      <c r="O1026" s="23" t="n"/>
    </row>
    <row r="1027">
      <c r="B1027" s="29" t="inlineStr">
        <is>
          <t>Ficha de la historia</t>
        </is>
      </c>
      <c r="C1027" s="8" t="n"/>
      <c r="D1027" s="8" t="n"/>
      <c r="E1027" s="23" t="n"/>
      <c r="G1027" s="29" t="inlineStr">
        <is>
          <t>Criterios de listo:</t>
        </is>
      </c>
      <c r="H1027" s="8" t="n"/>
      <c r="I1027" s="8" t="n"/>
      <c r="J1027" s="23" t="n"/>
      <c r="L1027" s="29" t="inlineStr">
        <is>
          <t>Condiciones finales (se marcan cuando el PO acepta la HU en la Review):</t>
        </is>
      </c>
      <c r="M1027" s="8" t="n"/>
      <c r="N1027" s="8" t="n"/>
      <c r="O1027" s="23" t="n"/>
    </row>
    <row r="1028" ht="30" customHeight="1">
      <c r="B1028" s="32" t="inlineStr">
        <is>
          <t>Épica: E4. Controlar el movimiento de materiales en almacén</t>
        </is>
      </c>
      <c r="C1028" s="8" t="n"/>
      <c r="D1028" s="8" t="n"/>
      <c r="E1028" s="23" t="n"/>
      <c r="G1028" s="33" t="inlineStr">
        <is>
          <t>( x )</t>
        </is>
      </c>
      <c r="H1028" s="34" t="inlineStr">
        <is>
          <t>L1 · Redactada en el formato acordado — Cumple</t>
        </is>
      </c>
      <c r="I1028" s="8" t="n"/>
      <c r="J1028" s="23" t="n"/>
      <c r="L1028" s="35" t="inlineStr">
        <is>
          <t>(    )</t>
        </is>
      </c>
      <c r="M1028" s="34" t="inlineStr">
        <is>
          <t>La salida se ha registrado con almacén, insumo, cantidad, motivo y quién retira</t>
        </is>
      </c>
      <c r="N1028" s="8" t="n"/>
      <c r="O1028" s="23" t="n"/>
    </row>
    <row r="1029" ht="30" customHeight="1">
      <c r="B1029" s="32" t="inlineStr">
        <is>
          <t>Módulo: Almacén / Kardex</t>
        </is>
      </c>
      <c r="C1029" s="8" t="n"/>
      <c r="D1029" s="8" t="n"/>
      <c r="E1029" s="23" t="n"/>
      <c r="G1029" s="33" t="inlineStr">
        <is>
          <t>( x )</t>
        </is>
      </c>
      <c r="H1029" s="34" t="inlineStr">
        <is>
          <t>L2 · Nombre corto en forma de acción — Cumple</t>
        </is>
      </c>
      <c r="I1029" s="8" t="n"/>
      <c r="J1029" s="23" t="n"/>
      <c r="L1029" s="35" t="inlineStr">
        <is>
          <t>(    )</t>
        </is>
      </c>
      <c r="M1029" s="34" t="inlineStr">
        <is>
          <t>Una salida mayor al saldo disponible se ha rechazado en el servidor</t>
        </is>
      </c>
      <c r="N1029" s="8" t="n"/>
      <c r="O1029" s="23" t="n"/>
    </row>
    <row r="1030" ht="30" customHeight="1">
      <c r="B1030" s="32" t="inlineStr">
        <is>
          <t>Responsable técnico: Android · Nicolás Pachamora</t>
        </is>
      </c>
      <c r="C1030" s="8" t="n"/>
      <c r="D1030" s="8" t="n"/>
      <c r="E1030" s="23" t="n"/>
      <c r="G1030" s="33" t="inlineStr">
        <is>
          <t>( x )</t>
        </is>
      </c>
      <c r="H1030" s="34" t="inlineStr">
        <is>
          <t>L3 · Criterios de aceptación escritos — Cumple</t>
        </is>
      </c>
      <c r="I1030" s="8" t="n"/>
      <c r="J1030" s="23" t="n"/>
      <c r="L1030" s="35" t="inlineStr">
        <is>
          <t>(    )</t>
        </is>
      </c>
      <c r="M1030" s="34" t="inlineStr">
        <is>
          <t>La salida ha quedado valorizada al costo promedio de ese instante</t>
        </is>
      </c>
      <c r="N1030" s="8" t="n"/>
      <c r="O1030" s="23" t="n"/>
    </row>
    <row r="1031" ht="36" customHeight="1">
      <c r="B1031" s="36" t="inlineStr">
        <is>
          <t>Depende de: HU-35</t>
        </is>
      </c>
      <c r="C1031" s="37" t="n"/>
      <c r="D1031" s="37" t="n"/>
      <c r="E1031" s="38" t="n"/>
      <c r="G1031" s="33" t="inlineStr">
        <is>
          <t>( x )</t>
        </is>
      </c>
      <c r="H1031" s="34" t="inlineStr">
        <is>
          <t>L4 · Dependencias resueltas — Cumple</t>
        </is>
      </c>
      <c r="I1031" s="8" t="n"/>
      <c r="J1031" s="23" t="n"/>
      <c r="L1031" s="36" t="inlineStr">
        <is>
          <t>Mitad técnica: Además, los diez criterios T1 a T10 de la hoja «3. Criterios DoR y DoD», sin excepción</t>
        </is>
      </c>
      <c r="M1031" s="37" t="n"/>
      <c r="N1031" s="37" t="n"/>
      <c r="O1031" s="38" t="n"/>
    </row>
    <row r="1032" ht="30" customHeight="1">
      <c r="G1032" s="33" t="inlineStr">
        <is>
          <t>( x )</t>
        </is>
      </c>
      <c r="H1032" s="34" t="inlineStr">
        <is>
          <t>L5 · Estimada por los Developers — Cumple</t>
        </is>
      </c>
      <c r="I1032" s="8" t="n"/>
      <c r="J1032" s="23" t="n"/>
    </row>
    <row r="1033" ht="30" customHeight="1">
      <c r="G1033" s="33" t="inlineStr">
        <is>
          <t>( x )</t>
        </is>
      </c>
      <c r="H1033" s="34" t="inlineStr">
        <is>
          <t>L6 · Cabe en un sprint (8 puntos o menos) — Cumple</t>
        </is>
      </c>
      <c r="I1033" s="8" t="n"/>
      <c r="J1033" s="23" t="n"/>
    </row>
    <row r="1034" ht="30" customHeight="1">
      <c r="G1034" s="33" t="inlineStr">
        <is>
          <t>( x )</t>
        </is>
      </c>
      <c r="H1034" s="34" t="inlineStr">
        <is>
          <t>L7 · Reglas de dominio identificadas — Cumple</t>
        </is>
      </c>
      <c r="I1034" s="8" t="n"/>
      <c r="J1034" s="23" t="n"/>
    </row>
    <row r="1035" ht="30" customHeight="1">
      <c r="G1035" s="33" t="inlineStr">
        <is>
          <t>( x )</t>
        </is>
      </c>
      <c r="H1035" s="34" t="inlineStr">
        <is>
          <t>L8 · Datos de prueba disponibles — Cumple</t>
        </is>
      </c>
      <c r="I1035" s="8" t="n"/>
      <c r="J1035" s="23" t="n"/>
    </row>
    <row r="1036" ht="30" customHeight="1">
      <c r="G1036" s="33" t="inlineStr">
        <is>
          <t>( x )</t>
        </is>
      </c>
      <c r="H1036" s="34" t="inlineStr">
        <is>
          <t>L9 · Responsable técnico asignado — Cumple</t>
        </is>
      </c>
      <c r="I1036" s="8" t="n"/>
      <c r="J1036" s="23" t="n"/>
    </row>
    <row r="1037" ht="30" customHeight="1">
      <c r="G1037" s="33" t="inlineStr">
        <is>
          <t>( x )</t>
        </is>
      </c>
      <c r="H1037" s="34" t="inlineStr">
        <is>
          <t>L10 · Recursos identificados — Cumple: Nicolás Pachamora + equipo de desarrollo y datos de prueba</t>
        </is>
      </c>
      <c r="I1037" s="8" t="n"/>
      <c r="J1037" s="23" t="n"/>
    </row>
    <row r="1038" ht="30" customHeight="1">
      <c r="G1038" s="33" t="inlineStr">
        <is>
          <t>( x )</t>
        </is>
      </c>
      <c r="H1038" s="34" t="inlineStr">
        <is>
          <t>L11 · Requisitos técnicos de programación definidos — Cumple: Kotlin, Jetpack Compose, Room y WorkManager</t>
        </is>
      </c>
      <c r="I1038" s="8" t="n"/>
      <c r="J1038" s="23" t="n"/>
    </row>
    <row r="1039" ht="30" customHeight="1">
      <c r="G1039" s="33" t="inlineStr">
        <is>
          <t>( x )</t>
        </is>
      </c>
      <c r="H1039" s="34" t="inlineStr">
        <is>
          <t>L12 · Accesos de red disponibles — Cumple: GitHub (repositorio privado), API y PostgreSQL en docker compose, red móvil o wifi para sincronizar (y modo avión para la prueba)</t>
        </is>
      </c>
      <c r="I1039" s="8" t="n"/>
      <c r="J1039" s="23" t="n"/>
    </row>
    <row r="1040" ht="36" customHeight="1">
      <c r="G1040" s="39" t="inlineStr">
        <is>
          <t>Riesgos: Sacar más de lo disponible · se rechaza en el servidor</t>
        </is>
      </c>
      <c r="H1040" s="8" t="n"/>
      <c r="I1040" s="8" t="n"/>
      <c r="J1040" s="23" t="n"/>
    </row>
    <row r="1041" ht="36" customHeight="1">
      <c r="G1041" s="32" t="inlineStr">
        <is>
          <t>Proveedores de servicio: Teléfono Android de prueba · servidor de la API en la nube</t>
        </is>
      </c>
      <c r="H1041" s="8" t="n"/>
      <c r="I1041" s="8" t="n"/>
      <c r="J1041" s="23" t="n"/>
    </row>
    <row r="1042" ht="36" customHeight="1">
      <c r="G1042" s="36" t="inlineStr">
        <is>
          <t>Costos: 8 pts ≈ 16 horas-persona (1 punto ≈ 2 h) · servicios externos: S/ 0 (planes gratuitos)</t>
        </is>
      </c>
      <c r="H1042" s="37" t="n"/>
      <c r="I1042" s="37" t="n"/>
      <c r="J1042" s="38" t="n"/>
    </row>
    <row r="1045">
      <c r="B1045" s="18" t="inlineStr">
        <is>
          <t>HU-41 · Registrar ingreso sin compra</t>
        </is>
      </c>
    </row>
    <row r="1046" ht="18" customHeight="1">
      <c r="B1046" s="19" t="inlineStr">
        <is>
          <t>TARJETA 1 · Historia de usuario</t>
        </is>
      </c>
      <c r="C1046" s="20" t="n"/>
      <c r="D1046" s="20" t="n"/>
      <c r="E1046" s="21" t="n"/>
      <c r="G1046" s="19" t="inlineStr">
        <is>
          <t>TARJETA 2 · Definición de Listo</t>
        </is>
      </c>
      <c r="H1046" s="20" t="n"/>
      <c r="I1046" s="20" t="n"/>
      <c r="J1046" s="21" t="n"/>
      <c r="L1046" s="19" t="inlineStr">
        <is>
          <t>TARJETA 3 · Definición de Terminado</t>
        </is>
      </c>
      <c r="M1046" s="20" t="n"/>
      <c r="N1046" s="20" t="n"/>
      <c r="O1046" s="21" t="n"/>
    </row>
    <row r="1047" ht="28" customHeight="1">
      <c r="B1047" s="22" t="inlineStr">
        <is>
          <t>La unidad con la que se planifica, se estima y se acepta el trabajo</t>
        </is>
      </c>
      <c r="C1047" s="8" t="n"/>
      <c r="D1047" s="8" t="n"/>
      <c r="E1047" s="23" t="n"/>
      <c r="G1047" s="22" t="inlineStr">
        <is>
          <t>El enfoque está en la consideración del equipo de desarrollo sobre si la historia está lista para un Sprint</t>
        </is>
      </c>
      <c r="H1047" s="8" t="n"/>
      <c r="I1047" s="8" t="n"/>
      <c r="J1047" s="23" t="n"/>
      <c r="L1047" s="22" t="inlineStr">
        <is>
          <t>El enfoque está en la aceptación del cliente cuando se le entregue el producto</t>
        </is>
      </c>
      <c r="M1047" s="8" t="n"/>
      <c r="N1047" s="8" t="n"/>
      <c r="O1047" s="23" t="n"/>
    </row>
    <row r="1048">
      <c r="B1048" s="24" t="inlineStr">
        <is>
          <t>Historia de usuario</t>
        </is>
      </c>
      <c r="C1048" s="8" t="n"/>
      <c r="D1048" s="25" t="inlineStr">
        <is>
          <t>Prioridad</t>
        </is>
      </c>
      <c r="E1048" s="26" t="inlineStr">
        <is>
          <t>Estimación</t>
        </is>
      </c>
      <c r="G1048" s="24" t="inlineStr">
        <is>
          <t>Historia de usuario</t>
        </is>
      </c>
      <c r="H1048" s="8" t="n"/>
      <c r="I1048" s="25" t="inlineStr">
        <is>
          <t>Prioridad</t>
        </is>
      </c>
      <c r="J1048" s="26" t="inlineStr">
        <is>
          <t>Estimación</t>
        </is>
      </c>
      <c r="L1048" s="24" t="inlineStr">
        <is>
          <t>Historia de usuario</t>
        </is>
      </c>
      <c r="M1048" s="8" t="n"/>
      <c r="N1048" s="25" t="inlineStr">
        <is>
          <t>Prioridad</t>
        </is>
      </c>
      <c r="O1048" s="26" t="inlineStr">
        <is>
          <t>Estimación</t>
        </is>
      </c>
    </row>
    <row r="1049" ht="30" customHeight="1">
      <c r="B1049" s="27" t="inlineStr">
        <is>
          <t>HU-41 · Registrar ingreso sin compra</t>
        </is>
      </c>
      <c r="C1049" s="8" t="n"/>
      <c r="D1049" s="9" t="inlineStr">
        <is>
          <t>Media</t>
        </is>
      </c>
      <c r="E1049" s="28" t="inlineStr">
        <is>
          <t>3 pts</t>
        </is>
      </c>
      <c r="G1049" s="27" t="inlineStr">
        <is>
          <t>HU-41 · Registrar ingreso sin compra</t>
        </is>
      </c>
      <c r="H1049" s="8" t="n"/>
      <c r="I1049" s="9" t="inlineStr">
        <is>
          <t>Media</t>
        </is>
      </c>
      <c r="J1049" s="28" t="inlineStr">
        <is>
          <t>3 pts</t>
        </is>
      </c>
      <c r="L1049" s="27" t="inlineStr">
        <is>
          <t>HU-41 · Registrar ingreso sin compra</t>
        </is>
      </c>
      <c r="M1049" s="8" t="n"/>
      <c r="N1049" s="9" t="inlineStr">
        <is>
          <t>Media</t>
        </is>
      </c>
      <c r="O1049" s="28" t="inlineStr">
        <is>
          <t>3 pts</t>
        </is>
      </c>
    </row>
    <row r="1050">
      <c r="B1050" s="29" t="inlineStr">
        <is>
          <t>Descripción:</t>
        </is>
      </c>
      <c r="C1050" s="8" t="n"/>
      <c r="D1050" s="8" t="n"/>
      <c r="E1050" s="23" t="n"/>
      <c r="G1050" s="29" t="inlineStr">
        <is>
          <t>Descripción:</t>
        </is>
      </c>
      <c r="H1050" s="8" t="n"/>
      <c r="I1050" s="8" t="n"/>
      <c r="J1050" s="23" t="n"/>
      <c r="L1050" s="29" t="inlineStr">
        <is>
          <t>Descripción:</t>
        </is>
      </c>
      <c r="M1050" s="8" t="n"/>
      <c r="N1050" s="8" t="n"/>
      <c r="O1050" s="23" t="n"/>
    </row>
    <row r="1051" ht="28" customHeight="1">
      <c r="B1051" s="30" t="inlineStr">
        <is>
          <t>Como almacenero, quiero registrar un ingreso que no viene de una compra, para reflejar el material que llega por otra vía.</t>
        </is>
      </c>
      <c r="C1051" s="8" t="n"/>
      <c r="D1051" s="8" t="n"/>
      <c r="E1051" s="23" t="n"/>
      <c r="G1051" s="30" t="inlineStr">
        <is>
          <t>Como almacenero, quiero registrar un ingreso que no viene de una compra, para reflejar el material que llega por otra vía.</t>
        </is>
      </c>
      <c r="H1051" s="8" t="n"/>
      <c r="I1051" s="8" t="n"/>
      <c r="J1051" s="23" t="n"/>
      <c r="L1051" s="30" t="inlineStr">
        <is>
          <t>Como almacenero, quiero registrar un ingreso que no viene de una compra, para reflejar el material que llega por otra vía.</t>
        </is>
      </c>
      <c r="M1051" s="8" t="n"/>
      <c r="N1051" s="8" t="n"/>
      <c r="O1051" s="23" t="n"/>
    </row>
    <row r="1052" ht="28" customHeight="1">
      <c r="B1052" s="31" t="n"/>
      <c r="C1052" s="8" t="n"/>
      <c r="D1052" s="8" t="n"/>
      <c r="E1052" s="23" t="n"/>
      <c r="G1052" s="31" t="n"/>
      <c r="H1052" s="8" t="n"/>
      <c r="I1052" s="8" t="n"/>
      <c r="J1052" s="23" t="n"/>
      <c r="L1052" s="31" t="n"/>
      <c r="M1052" s="8" t="n"/>
      <c r="N1052" s="8" t="n"/>
      <c r="O1052" s="23" t="n"/>
    </row>
    <row r="1053">
      <c r="B1053" s="29" t="inlineStr">
        <is>
          <t>Ficha de la historia</t>
        </is>
      </c>
      <c r="C1053" s="8" t="n"/>
      <c r="D1053" s="8" t="n"/>
      <c r="E1053" s="23" t="n"/>
      <c r="G1053" s="29" t="inlineStr">
        <is>
          <t>Criterios de listo:</t>
        </is>
      </c>
      <c r="H1053" s="8" t="n"/>
      <c r="I1053" s="8" t="n"/>
      <c r="J1053" s="23" t="n"/>
      <c r="L1053" s="29" t="inlineStr">
        <is>
          <t>Condiciones finales (se marcan cuando el PO acepta la HU en la Review):</t>
        </is>
      </c>
      <c r="M1053" s="8" t="n"/>
      <c r="N1053" s="8" t="n"/>
      <c r="O1053" s="23" t="n"/>
    </row>
    <row r="1054" ht="30" customHeight="1">
      <c r="B1054" s="32" t="inlineStr">
        <is>
          <t>Épica: E4. Controlar el movimiento de materiales en almacén</t>
        </is>
      </c>
      <c r="C1054" s="8" t="n"/>
      <c r="D1054" s="8" t="n"/>
      <c r="E1054" s="23" t="n"/>
      <c r="G1054" s="33" t="inlineStr">
        <is>
          <t>( x )</t>
        </is>
      </c>
      <c r="H1054" s="34" t="inlineStr">
        <is>
          <t>L1 · Redactada en el formato acordado — Cumple</t>
        </is>
      </c>
      <c r="I1054" s="8" t="n"/>
      <c r="J1054" s="23" t="n"/>
      <c r="L1054" s="35" t="inlineStr">
        <is>
          <t>(    )</t>
        </is>
      </c>
      <c r="M1054" s="34" t="inlineStr">
        <is>
          <t>El ingreso sin compra se ha registrado con su origen y su costo unitario</t>
        </is>
      </c>
      <c r="N1054" s="8" t="n"/>
      <c r="O1054" s="23" t="n"/>
    </row>
    <row r="1055" ht="30" customHeight="1">
      <c r="B1055" s="32" t="inlineStr">
        <is>
          <t>Módulo: Almacén / Kardex</t>
        </is>
      </c>
      <c r="C1055" s="8" t="n"/>
      <c r="D1055" s="8" t="n"/>
      <c r="E1055" s="23" t="n"/>
      <c r="G1055" s="33" t="inlineStr">
        <is>
          <t>( x )</t>
        </is>
      </c>
      <c r="H1055" s="34" t="inlineStr">
        <is>
          <t>L2 · Nombre corto en forma de acción — Cumple</t>
        </is>
      </c>
      <c r="I1055" s="8" t="n"/>
      <c r="J1055" s="23" t="n"/>
      <c r="L1055" s="35" t="inlineStr">
        <is>
          <t>(    )</t>
        </is>
      </c>
      <c r="M1055" s="34" t="inlineStr">
        <is>
          <t>Un «saldo de otra obra» de una obra registrada se ha rechazado y se ha pedido el traslado</t>
        </is>
      </c>
      <c r="N1055" s="8" t="n"/>
      <c r="O1055" s="23" t="n"/>
    </row>
    <row r="1056" ht="30" customHeight="1">
      <c r="B1056" s="32" t="inlineStr">
        <is>
          <t>Responsable técnico: Android · Nicolás Pachamora</t>
        </is>
      </c>
      <c r="C1056" s="8" t="n"/>
      <c r="D1056" s="8" t="n"/>
      <c r="E1056" s="23" t="n"/>
      <c r="G1056" s="33" t="inlineStr">
        <is>
          <t>( x )</t>
        </is>
      </c>
      <c r="H1056" s="34" t="inlineStr">
        <is>
          <t>L3 · Criterios de aceptación escritos — Cumple</t>
        </is>
      </c>
      <c r="I1056" s="8" t="n"/>
      <c r="J1056" s="23" t="n"/>
      <c r="L1056" s="35" t="inlineStr">
        <is>
          <t>(    )</t>
        </is>
      </c>
      <c r="M1056" s="34" t="inlineStr">
        <is>
          <t>El ingreso ha quedado distinguible de los que vienen de una recepción</t>
        </is>
      </c>
      <c r="N1056" s="8" t="n"/>
      <c r="O1056" s="23" t="n"/>
    </row>
    <row r="1057" ht="36" customHeight="1">
      <c r="B1057" s="36" t="inlineStr">
        <is>
          <t>Depende de: HU-35</t>
        </is>
      </c>
      <c r="C1057" s="37" t="n"/>
      <c r="D1057" s="37" t="n"/>
      <c r="E1057" s="38" t="n"/>
      <c r="G1057" s="33" t="inlineStr">
        <is>
          <t>( x )</t>
        </is>
      </c>
      <c r="H1057" s="34" t="inlineStr">
        <is>
          <t>L4 · Dependencias resueltas — Cumple</t>
        </is>
      </c>
      <c r="I1057" s="8" t="n"/>
      <c r="J1057" s="23" t="n"/>
      <c r="L1057" s="36" t="inlineStr">
        <is>
          <t>Mitad técnica: Además, los diez criterios T1 a T10 de la hoja «3. Criterios DoR y DoD», sin excepción</t>
        </is>
      </c>
      <c r="M1057" s="37" t="n"/>
      <c r="N1057" s="37" t="n"/>
      <c r="O1057" s="38" t="n"/>
    </row>
    <row r="1058" ht="30" customHeight="1">
      <c r="G1058" s="33" t="inlineStr">
        <is>
          <t>( x )</t>
        </is>
      </c>
      <c r="H1058" s="34" t="inlineStr">
        <is>
          <t>L5 · Estimada por los Developers — Cumple</t>
        </is>
      </c>
      <c r="I1058" s="8" t="n"/>
      <c r="J1058" s="23" t="n"/>
    </row>
    <row r="1059" ht="30" customHeight="1">
      <c r="G1059" s="33" t="inlineStr">
        <is>
          <t>( x )</t>
        </is>
      </c>
      <c r="H1059" s="34" t="inlineStr">
        <is>
          <t>L6 · Cabe en un sprint (8 puntos o menos) — Cumple</t>
        </is>
      </c>
      <c r="I1059" s="8" t="n"/>
      <c r="J1059" s="23" t="n"/>
    </row>
    <row r="1060" ht="30" customHeight="1">
      <c r="G1060" s="33" t="inlineStr">
        <is>
          <t>( x )</t>
        </is>
      </c>
      <c r="H1060" s="34" t="inlineStr">
        <is>
          <t>L7 · Reglas de dominio identificadas — Cumple</t>
        </is>
      </c>
      <c r="I1060" s="8" t="n"/>
      <c r="J1060" s="23" t="n"/>
    </row>
    <row r="1061" ht="30" customHeight="1">
      <c r="G1061" s="33" t="inlineStr">
        <is>
          <t>( x )</t>
        </is>
      </c>
      <c r="H1061" s="34" t="inlineStr">
        <is>
          <t>L8 · Datos de prueba disponibles — Cumple</t>
        </is>
      </c>
      <c r="I1061" s="8" t="n"/>
      <c r="J1061" s="23" t="n"/>
    </row>
    <row r="1062" ht="30" customHeight="1">
      <c r="G1062" s="33" t="inlineStr">
        <is>
          <t>( x )</t>
        </is>
      </c>
      <c r="H1062" s="34" t="inlineStr">
        <is>
          <t>L9 · Responsable técnico asignado — Cumple</t>
        </is>
      </c>
      <c r="I1062" s="8" t="n"/>
      <c r="J1062" s="23" t="n"/>
    </row>
    <row r="1063" ht="30" customHeight="1">
      <c r="G1063" s="33" t="inlineStr">
        <is>
          <t>( x )</t>
        </is>
      </c>
      <c r="H1063" s="34" t="inlineStr">
        <is>
          <t>L10 · Recursos identificados — Cumple: Nicolás Pachamora + equipo de desarrollo y datos de prueba</t>
        </is>
      </c>
      <c r="I1063" s="8" t="n"/>
      <c r="J1063" s="23" t="n"/>
    </row>
    <row r="1064" ht="30" customHeight="1">
      <c r="G1064" s="33" t="inlineStr">
        <is>
          <t>( x )</t>
        </is>
      </c>
      <c r="H1064" s="34" t="inlineStr">
        <is>
          <t>L11 · Requisitos técnicos de programación definidos — Cumple: Kotlin, Jetpack Compose, Room y WorkManager</t>
        </is>
      </c>
      <c r="I1064" s="8" t="n"/>
      <c r="J1064" s="23" t="n"/>
    </row>
    <row r="1065" ht="30" customHeight="1">
      <c r="G1065" s="33" t="inlineStr">
        <is>
          <t>( x )</t>
        </is>
      </c>
      <c r="H1065" s="34" t="inlineStr">
        <is>
          <t>L12 · Accesos de red disponibles — Cumple: GitHub (repositorio privado), API y PostgreSQL en docker compose, red móvil o wifi para sincronizar (y modo avión para la prueba)</t>
        </is>
      </c>
      <c r="I1065" s="8" t="n"/>
      <c r="J1065" s="23" t="n"/>
    </row>
    <row r="1066" ht="36" customHeight="1">
      <c r="G1066" s="39" t="inlineStr">
        <is>
          <t>Riesgos: Usar el ingreso libre para esconder un traslado · si la obra origen existe, se exige traslado</t>
        </is>
      </c>
      <c r="H1066" s="8" t="n"/>
      <c r="I1066" s="8" t="n"/>
      <c r="J1066" s="23" t="n"/>
    </row>
    <row r="1067" ht="36" customHeight="1">
      <c r="G1067" s="32" t="inlineStr">
        <is>
          <t>Proveedores de servicio: Teléfono Android de prueba · servidor de la API en la nube</t>
        </is>
      </c>
      <c r="H1067" s="8" t="n"/>
      <c r="I1067" s="8" t="n"/>
      <c r="J1067" s="23" t="n"/>
    </row>
    <row r="1068" ht="36" customHeight="1">
      <c r="G1068" s="36" t="inlineStr">
        <is>
          <t>Costos: 3 pts ≈ 6 horas-persona (1 punto ≈ 2 h) · servicios externos: S/ 0 (planes gratuitos)</t>
        </is>
      </c>
      <c r="H1068" s="37" t="n"/>
      <c r="I1068" s="37" t="n"/>
      <c r="J1068" s="38" t="n"/>
    </row>
    <row r="1071">
      <c r="B1071" s="18" t="inlineStr">
        <is>
          <t>HU-42 · Trasladar material entre obras</t>
        </is>
      </c>
    </row>
    <row r="1072" ht="18" customHeight="1">
      <c r="B1072" s="19" t="inlineStr">
        <is>
          <t>TARJETA 1 · Historia de usuario</t>
        </is>
      </c>
      <c r="C1072" s="20" t="n"/>
      <c r="D1072" s="20" t="n"/>
      <c r="E1072" s="21" t="n"/>
      <c r="G1072" s="19" t="inlineStr">
        <is>
          <t>TARJETA 2 · Definición de Listo</t>
        </is>
      </c>
      <c r="H1072" s="20" t="n"/>
      <c r="I1072" s="20" t="n"/>
      <c r="J1072" s="21" t="n"/>
      <c r="L1072" s="19" t="inlineStr">
        <is>
          <t>TARJETA 3 · Definición de Terminado</t>
        </is>
      </c>
      <c r="M1072" s="20" t="n"/>
      <c r="N1072" s="20" t="n"/>
      <c r="O1072" s="21" t="n"/>
    </row>
    <row r="1073" ht="28" customHeight="1">
      <c r="B1073" s="22" t="inlineStr">
        <is>
          <t>La unidad con la que se planifica, se estima y se acepta el trabajo</t>
        </is>
      </c>
      <c r="C1073" s="8" t="n"/>
      <c r="D1073" s="8" t="n"/>
      <c r="E1073" s="23" t="n"/>
      <c r="G1073" s="22" t="inlineStr">
        <is>
          <t>El enfoque está en la consideración del equipo de desarrollo sobre si la historia está lista para un Sprint</t>
        </is>
      </c>
      <c r="H1073" s="8" t="n"/>
      <c r="I1073" s="8" t="n"/>
      <c r="J1073" s="23" t="n"/>
      <c r="L1073" s="22" t="inlineStr">
        <is>
          <t>El enfoque está en la aceptación del cliente cuando se le entregue el producto</t>
        </is>
      </c>
      <c r="M1073" s="8" t="n"/>
      <c r="N1073" s="8" t="n"/>
      <c r="O1073" s="23" t="n"/>
    </row>
    <row r="1074">
      <c r="B1074" s="24" t="inlineStr">
        <is>
          <t>Historia de usuario</t>
        </is>
      </c>
      <c r="C1074" s="8" t="n"/>
      <c r="D1074" s="25" t="inlineStr">
        <is>
          <t>Prioridad</t>
        </is>
      </c>
      <c r="E1074" s="26" t="inlineStr">
        <is>
          <t>Estimación</t>
        </is>
      </c>
      <c r="G1074" s="24" t="inlineStr">
        <is>
          <t>Historia de usuario</t>
        </is>
      </c>
      <c r="H1074" s="8" t="n"/>
      <c r="I1074" s="25" t="inlineStr">
        <is>
          <t>Prioridad</t>
        </is>
      </c>
      <c r="J1074" s="26" t="inlineStr">
        <is>
          <t>Estimación</t>
        </is>
      </c>
      <c r="L1074" s="24" t="inlineStr">
        <is>
          <t>Historia de usuario</t>
        </is>
      </c>
      <c r="M1074" s="8" t="n"/>
      <c r="N1074" s="25" t="inlineStr">
        <is>
          <t>Prioridad</t>
        </is>
      </c>
      <c r="O1074" s="26" t="inlineStr">
        <is>
          <t>Estimación</t>
        </is>
      </c>
    </row>
    <row r="1075" ht="30" customHeight="1">
      <c r="B1075" s="27" t="inlineStr">
        <is>
          <t>HU-42 · Trasladar material entre obras</t>
        </is>
      </c>
      <c r="C1075" s="8" t="n"/>
      <c r="D1075" s="9" t="inlineStr">
        <is>
          <t>Alta</t>
        </is>
      </c>
      <c r="E1075" s="28" t="inlineStr">
        <is>
          <t>5 pts</t>
        </is>
      </c>
      <c r="G1075" s="27" t="inlineStr">
        <is>
          <t>HU-42 · Trasladar material entre obras</t>
        </is>
      </c>
      <c r="H1075" s="8" t="n"/>
      <c r="I1075" s="9" t="inlineStr">
        <is>
          <t>Alta</t>
        </is>
      </c>
      <c r="J1075" s="28" t="inlineStr">
        <is>
          <t>5 pts</t>
        </is>
      </c>
      <c r="L1075" s="27" t="inlineStr">
        <is>
          <t>HU-42 · Trasladar material entre obras</t>
        </is>
      </c>
      <c r="M1075" s="8" t="n"/>
      <c r="N1075" s="9" t="inlineStr">
        <is>
          <t>Alta</t>
        </is>
      </c>
      <c r="O1075" s="28" t="inlineStr">
        <is>
          <t>5 pts</t>
        </is>
      </c>
    </row>
    <row r="1076">
      <c r="B1076" s="29" t="inlineStr">
        <is>
          <t>Descripción:</t>
        </is>
      </c>
      <c r="C1076" s="8" t="n"/>
      <c r="D1076" s="8" t="n"/>
      <c r="E1076" s="23" t="n"/>
      <c r="G1076" s="29" t="inlineStr">
        <is>
          <t>Descripción:</t>
        </is>
      </c>
      <c r="H1076" s="8" t="n"/>
      <c r="I1076" s="8" t="n"/>
      <c r="J1076" s="23" t="n"/>
      <c r="L1076" s="29" t="inlineStr">
        <is>
          <t>Descripción:</t>
        </is>
      </c>
      <c r="M1076" s="8" t="n"/>
      <c r="N1076" s="8" t="n"/>
      <c r="O1076" s="23" t="n"/>
    </row>
    <row r="1077" ht="28" customHeight="1">
      <c r="B1077" s="30" t="inlineStr">
        <is>
          <t>Como almacenero, quiero trasladar material de una obra a otra, para aprovechar el stock sin descuadrar ningún saldo.</t>
        </is>
      </c>
      <c r="C1077" s="8" t="n"/>
      <c r="D1077" s="8" t="n"/>
      <c r="E1077" s="23" t="n"/>
      <c r="G1077" s="30" t="inlineStr">
        <is>
          <t>Como almacenero, quiero trasladar material de una obra a otra, para aprovechar el stock sin descuadrar ningún saldo.</t>
        </is>
      </c>
      <c r="H1077" s="8" t="n"/>
      <c r="I1077" s="8" t="n"/>
      <c r="J1077" s="23" t="n"/>
      <c r="L1077" s="30" t="inlineStr">
        <is>
          <t>Como almacenero, quiero trasladar material de una obra a otra, para aprovechar el stock sin descuadrar ningún saldo.</t>
        </is>
      </c>
      <c r="M1077" s="8" t="n"/>
      <c r="N1077" s="8" t="n"/>
      <c r="O1077" s="23" t="n"/>
    </row>
    <row r="1078" ht="28" customHeight="1">
      <c r="B1078" s="31" t="n"/>
      <c r="C1078" s="8" t="n"/>
      <c r="D1078" s="8" t="n"/>
      <c r="E1078" s="23" t="n"/>
      <c r="G1078" s="31" t="n"/>
      <c r="H1078" s="8" t="n"/>
      <c r="I1078" s="8" t="n"/>
      <c r="J1078" s="23" t="n"/>
      <c r="L1078" s="31" t="n"/>
      <c r="M1078" s="8" t="n"/>
      <c r="N1078" s="8" t="n"/>
      <c r="O1078" s="23" t="n"/>
    </row>
    <row r="1079">
      <c r="B1079" s="29" t="inlineStr">
        <is>
          <t>Ficha de la historia</t>
        </is>
      </c>
      <c r="C1079" s="8" t="n"/>
      <c r="D1079" s="8" t="n"/>
      <c r="E1079" s="23" t="n"/>
      <c r="G1079" s="29" t="inlineStr">
        <is>
          <t>Criterios de listo:</t>
        </is>
      </c>
      <c r="H1079" s="8" t="n"/>
      <c r="I1079" s="8" t="n"/>
      <c r="J1079" s="23" t="n"/>
      <c r="L1079" s="29" t="inlineStr">
        <is>
          <t>Condiciones finales (se marcan cuando el PO acepta la HU en la Review):</t>
        </is>
      </c>
      <c r="M1079" s="8" t="n"/>
      <c r="N1079" s="8" t="n"/>
      <c r="O1079" s="23" t="n"/>
    </row>
    <row r="1080" ht="30" customHeight="1">
      <c r="B1080" s="32" t="inlineStr">
        <is>
          <t>Épica: E4. Controlar el movimiento de materiales en almacén</t>
        </is>
      </c>
      <c r="C1080" s="8" t="n"/>
      <c r="D1080" s="8" t="n"/>
      <c r="E1080" s="23" t="n"/>
      <c r="G1080" s="33" t="inlineStr">
        <is>
          <t>( x )</t>
        </is>
      </c>
      <c r="H1080" s="34" t="inlineStr">
        <is>
          <t>L1 · Redactada en el formato acordado — Cumple</t>
        </is>
      </c>
      <c r="I1080" s="8" t="n"/>
      <c r="J1080" s="23" t="n"/>
      <c r="L1080" s="35" t="inlineStr">
        <is>
          <t>(    )</t>
        </is>
      </c>
      <c r="M1080" s="34" t="inlineStr">
        <is>
          <t>El traslado se ha registrado como salida en origen e ingreso en destino, con un mismo identificador</t>
        </is>
      </c>
      <c r="N1080" s="8" t="n"/>
      <c r="O1080" s="23" t="n"/>
    </row>
    <row r="1081" ht="30" customHeight="1">
      <c r="B1081" s="32" t="inlineStr">
        <is>
          <t>Módulo: Almacén / Kardex</t>
        </is>
      </c>
      <c r="C1081" s="8" t="n"/>
      <c r="D1081" s="8" t="n"/>
      <c r="E1081" s="23" t="n"/>
      <c r="G1081" s="33" t="inlineStr">
        <is>
          <t>( x )</t>
        </is>
      </c>
      <c r="H1081" s="34" t="inlineStr">
        <is>
          <t>L2 · Nombre corto en forma de acción — Cumple</t>
        </is>
      </c>
      <c r="I1081" s="8" t="n"/>
      <c r="J1081" s="23" t="n"/>
      <c r="L1081" s="35" t="inlineStr">
        <is>
          <t>(    )</t>
        </is>
      </c>
      <c r="M1081" s="34" t="inlineStr">
        <is>
          <t>Un traslado mayor al stock de origen se ha rechazado</t>
        </is>
      </c>
      <c r="N1081" s="8" t="n"/>
      <c r="O1081" s="23" t="n"/>
    </row>
    <row r="1082" ht="30" customHeight="1">
      <c r="B1082" s="32" t="inlineStr">
        <is>
          <t>Responsable técnico: Backend · Henry Ticona</t>
        </is>
      </c>
      <c r="C1082" s="8" t="n"/>
      <c r="D1082" s="8" t="n"/>
      <c r="E1082" s="23" t="n"/>
      <c r="G1082" s="33" t="inlineStr">
        <is>
          <t>( x )</t>
        </is>
      </c>
      <c r="H1082" s="34" t="inlineStr">
        <is>
          <t>L3 · Criterios de aceptación escritos — Cumple</t>
        </is>
      </c>
      <c r="I1082" s="8" t="n"/>
      <c r="J1082" s="23" t="n"/>
      <c r="L1082" s="35" t="inlineStr">
        <is>
          <t>(    )</t>
        </is>
      </c>
      <c r="M1082" s="34" t="inlineStr">
        <is>
          <t>El costo unitario ha llegado con el material al destino</t>
        </is>
      </c>
      <c r="N1082" s="8" t="n"/>
      <c r="O1082" s="23" t="n"/>
    </row>
    <row r="1083" ht="30" customHeight="1">
      <c r="B1083" s="36" t="inlineStr">
        <is>
          <t>Depende de: HU-40</t>
        </is>
      </c>
      <c r="C1083" s="37" t="n"/>
      <c r="D1083" s="37" t="n"/>
      <c r="E1083" s="38" t="n"/>
      <c r="G1083" s="33" t="inlineStr">
        <is>
          <t>( x )</t>
        </is>
      </c>
      <c r="H1083" s="34" t="inlineStr">
        <is>
          <t>L4 · Dependencias resueltas — Cumple</t>
        </is>
      </c>
      <c r="I1083" s="8" t="n"/>
      <c r="J1083" s="23" t="n"/>
      <c r="L1083" s="35" t="inlineStr">
        <is>
          <t>(    )</t>
        </is>
      </c>
      <c r="M1083" s="34" t="inlineStr">
        <is>
          <t>Una anulación se ha registrado con dos reversos, sin borrar nada</t>
        </is>
      </c>
      <c r="N1083" s="8" t="n"/>
      <c r="O1083" s="23" t="n"/>
    </row>
    <row r="1084" ht="36" customHeight="1">
      <c r="G1084" s="33" t="inlineStr">
        <is>
          <t>( x )</t>
        </is>
      </c>
      <c r="H1084" s="34" t="inlineStr">
        <is>
          <t>L5 · Estimada por los Developers — Cumple</t>
        </is>
      </c>
      <c r="I1084" s="8" t="n"/>
      <c r="J1084" s="23" t="n"/>
      <c r="L1084" s="36" t="inlineStr">
        <is>
          <t>Mitad técnica: Además, los diez criterios T1 a T10 de la hoja «3. Criterios DoR y DoD», sin excepción</t>
        </is>
      </c>
      <c r="M1084" s="37" t="n"/>
      <c r="N1084" s="37" t="n"/>
      <c r="O1084" s="38" t="n"/>
    </row>
    <row r="1085" ht="30" customHeight="1">
      <c r="G1085" s="33" t="inlineStr">
        <is>
          <t>( x )</t>
        </is>
      </c>
      <c r="H1085" s="34" t="inlineStr">
        <is>
          <t>L6 · Cabe en un sprint (8 puntos o menos) — Cumple</t>
        </is>
      </c>
      <c r="I1085" s="8" t="n"/>
      <c r="J1085" s="23" t="n"/>
    </row>
    <row r="1086" ht="30" customHeight="1">
      <c r="G1086" s="33" t="inlineStr">
        <is>
          <t>( x )</t>
        </is>
      </c>
      <c r="H1086" s="34" t="inlineStr">
        <is>
          <t>L7 · Reglas de dominio identificadas — Cumple</t>
        </is>
      </c>
      <c r="I1086" s="8" t="n"/>
      <c r="J1086" s="23" t="n"/>
    </row>
    <row r="1087" ht="30" customHeight="1">
      <c r="G1087" s="33" t="inlineStr">
        <is>
          <t>( x )</t>
        </is>
      </c>
      <c r="H1087" s="34" t="inlineStr">
        <is>
          <t>L8 · Datos de prueba disponibles — Cumple</t>
        </is>
      </c>
      <c r="I1087" s="8" t="n"/>
      <c r="J1087" s="23" t="n"/>
    </row>
    <row r="1088" ht="30" customHeight="1">
      <c r="G1088" s="33" t="inlineStr">
        <is>
          <t>( x )</t>
        </is>
      </c>
      <c r="H1088" s="34" t="inlineStr">
        <is>
          <t>L9 · Responsable técnico asignado — Cumple</t>
        </is>
      </c>
      <c r="I1088" s="8" t="n"/>
      <c r="J1088" s="23" t="n"/>
    </row>
    <row r="1089" ht="30" customHeight="1">
      <c r="G1089" s="33" t="inlineStr">
        <is>
          <t>( x )</t>
        </is>
      </c>
      <c r="H1089" s="34" t="inlineStr">
        <is>
          <t>L10 · Recursos identificados — Cumple: Henry Ticona + equipo de desarrollo y datos de prueba</t>
        </is>
      </c>
      <c r="I1089" s="8" t="n"/>
      <c r="J1089" s="23" t="n"/>
    </row>
    <row r="1090" ht="30" customHeight="1">
      <c r="G1090" s="33" t="inlineStr">
        <is>
          <t>( x )</t>
        </is>
      </c>
      <c r="H1090" s="34" t="inlineStr">
        <is>
          <t>L11 · Requisitos técnicos de programación definidos — Cumple: FastAPI, SQLAlchemy 2, Alembic y PostgreSQL 16</t>
        </is>
      </c>
      <c r="I1090" s="8" t="n"/>
      <c r="J1090" s="23" t="n"/>
    </row>
    <row r="1091" ht="30" customHeight="1">
      <c r="G1091" s="33" t="inlineStr">
        <is>
          <t>( x )</t>
        </is>
      </c>
      <c r="H1091" s="34" t="inlineStr">
        <is>
          <t>L12 · Accesos de red disponibles — Cumple: GitHub (repositorio privado), API y PostgreSQL en docker compose</t>
        </is>
      </c>
      <c r="I1091" s="8" t="n"/>
      <c r="J1091" s="23" t="n"/>
    </row>
    <row r="1092" ht="36" customHeight="1">
      <c r="G1092" s="39" t="inlineStr">
        <is>
          <t>Riesgos: Traslado a medias (sale y no entra) · salida e ingreso con un mismo identificador</t>
        </is>
      </c>
      <c r="H1092" s="8" t="n"/>
      <c r="I1092" s="8" t="n"/>
      <c r="J1092" s="23" t="n"/>
    </row>
    <row r="1093" ht="36" customHeight="1">
      <c r="G1093" s="32" t="inlineStr">
        <is>
          <t>Proveedores de servicio: PostgreSQL gestionado en la nube (capa gratuita) · GitHub</t>
        </is>
      </c>
      <c r="H1093" s="8" t="n"/>
      <c r="I1093" s="8" t="n"/>
      <c r="J1093" s="23" t="n"/>
    </row>
    <row r="1094" ht="36" customHeight="1">
      <c r="G1094" s="36" t="inlineStr">
        <is>
          <t>Costos: 5 pts ≈ 10 horas-persona (1 punto ≈ 2 h) · servicios externos: S/ 0 (planes gratuitos)</t>
        </is>
      </c>
      <c r="H1094" s="37" t="n"/>
      <c r="I1094" s="37" t="n"/>
      <c r="J1094" s="38" t="n"/>
    </row>
    <row r="1097">
      <c r="B1097" s="18" t="inlineStr">
        <is>
          <t>HU-43 · Consultar stock</t>
        </is>
      </c>
    </row>
    <row r="1098" ht="18" customHeight="1">
      <c r="B1098" s="19" t="inlineStr">
        <is>
          <t>TARJETA 1 · Historia de usuario</t>
        </is>
      </c>
      <c r="C1098" s="20" t="n"/>
      <c r="D1098" s="20" t="n"/>
      <c r="E1098" s="21" t="n"/>
      <c r="G1098" s="19" t="inlineStr">
        <is>
          <t>TARJETA 2 · Definición de Listo</t>
        </is>
      </c>
      <c r="H1098" s="20" t="n"/>
      <c r="I1098" s="20" t="n"/>
      <c r="J1098" s="21" t="n"/>
      <c r="L1098" s="19" t="inlineStr">
        <is>
          <t>TARJETA 3 · Definición de Terminado</t>
        </is>
      </c>
      <c r="M1098" s="20" t="n"/>
      <c r="N1098" s="20" t="n"/>
      <c r="O1098" s="21" t="n"/>
    </row>
    <row r="1099" ht="28" customHeight="1">
      <c r="B1099" s="22" t="inlineStr">
        <is>
          <t>La unidad con la que se planifica, se estima y se acepta el trabajo</t>
        </is>
      </c>
      <c r="C1099" s="8" t="n"/>
      <c r="D1099" s="8" t="n"/>
      <c r="E1099" s="23" t="n"/>
      <c r="G1099" s="22" t="inlineStr">
        <is>
          <t>El enfoque está en la consideración del equipo de desarrollo sobre si la historia está lista para un Sprint</t>
        </is>
      </c>
      <c r="H1099" s="8" t="n"/>
      <c r="I1099" s="8" t="n"/>
      <c r="J1099" s="23" t="n"/>
      <c r="L1099" s="22" t="inlineStr">
        <is>
          <t>El enfoque está en la aceptación del cliente cuando se le entregue el producto</t>
        </is>
      </c>
      <c r="M1099" s="8" t="n"/>
      <c r="N1099" s="8" t="n"/>
      <c r="O1099" s="23" t="n"/>
    </row>
    <row r="1100">
      <c r="B1100" s="24" t="inlineStr">
        <is>
          <t>Historia de usuario</t>
        </is>
      </c>
      <c r="C1100" s="8" t="n"/>
      <c r="D1100" s="25" t="inlineStr">
        <is>
          <t>Prioridad</t>
        </is>
      </c>
      <c r="E1100" s="26" t="inlineStr">
        <is>
          <t>Estimación</t>
        </is>
      </c>
      <c r="G1100" s="24" t="inlineStr">
        <is>
          <t>Historia de usuario</t>
        </is>
      </c>
      <c r="H1100" s="8" t="n"/>
      <c r="I1100" s="25" t="inlineStr">
        <is>
          <t>Prioridad</t>
        </is>
      </c>
      <c r="J1100" s="26" t="inlineStr">
        <is>
          <t>Estimación</t>
        </is>
      </c>
      <c r="L1100" s="24" t="inlineStr">
        <is>
          <t>Historia de usuario</t>
        </is>
      </c>
      <c r="M1100" s="8" t="n"/>
      <c r="N1100" s="25" t="inlineStr">
        <is>
          <t>Prioridad</t>
        </is>
      </c>
      <c r="O1100" s="26" t="inlineStr">
        <is>
          <t>Estimación</t>
        </is>
      </c>
    </row>
    <row r="1101" ht="30" customHeight="1">
      <c r="B1101" s="27" t="inlineStr">
        <is>
          <t>HU-43 · Consultar stock</t>
        </is>
      </c>
      <c r="C1101" s="8" t="n"/>
      <c r="D1101" s="9" t="inlineStr">
        <is>
          <t>Crítica</t>
        </is>
      </c>
      <c r="E1101" s="28" t="inlineStr">
        <is>
          <t>5 pts</t>
        </is>
      </c>
      <c r="G1101" s="27" t="inlineStr">
        <is>
          <t>HU-43 · Consultar stock</t>
        </is>
      </c>
      <c r="H1101" s="8" t="n"/>
      <c r="I1101" s="9" t="inlineStr">
        <is>
          <t>Crítica</t>
        </is>
      </c>
      <c r="J1101" s="28" t="inlineStr">
        <is>
          <t>5 pts</t>
        </is>
      </c>
      <c r="L1101" s="27" t="inlineStr">
        <is>
          <t>HU-43 · Consultar stock</t>
        </is>
      </c>
      <c r="M1101" s="8" t="n"/>
      <c r="N1101" s="9" t="inlineStr">
        <is>
          <t>Crítica</t>
        </is>
      </c>
      <c r="O1101" s="28" t="inlineStr">
        <is>
          <t>5 pts</t>
        </is>
      </c>
    </row>
    <row r="1102">
      <c r="B1102" s="29" t="inlineStr">
        <is>
          <t>Descripción:</t>
        </is>
      </c>
      <c r="C1102" s="8" t="n"/>
      <c r="D1102" s="8" t="n"/>
      <c r="E1102" s="23" t="n"/>
      <c r="G1102" s="29" t="inlineStr">
        <is>
          <t>Descripción:</t>
        </is>
      </c>
      <c r="H1102" s="8" t="n"/>
      <c r="I1102" s="8" t="n"/>
      <c r="J1102" s="23" t="n"/>
      <c r="L1102" s="29" t="inlineStr">
        <is>
          <t>Descripción:</t>
        </is>
      </c>
      <c r="M1102" s="8" t="n"/>
      <c r="N1102" s="8" t="n"/>
      <c r="O1102" s="23" t="n"/>
    </row>
    <row r="1103" ht="28" customHeight="1">
      <c r="B1103" s="30" t="inlineStr">
        <is>
          <t>Como residente de obra, quiero consultar el stock de cada insumo en cualquier momento, para programar la jornada sabiendo con qué cuento.</t>
        </is>
      </c>
      <c r="C1103" s="8" t="n"/>
      <c r="D1103" s="8" t="n"/>
      <c r="E1103" s="23" t="n"/>
      <c r="G1103" s="30" t="inlineStr">
        <is>
          <t>Como residente de obra, quiero consultar el stock de cada insumo en cualquier momento, para programar la jornada sabiendo con qué cuento.</t>
        </is>
      </c>
      <c r="H1103" s="8" t="n"/>
      <c r="I1103" s="8" t="n"/>
      <c r="J1103" s="23" t="n"/>
      <c r="L1103" s="30" t="inlineStr">
        <is>
          <t>Como residente de obra, quiero consultar el stock de cada insumo en cualquier momento, para programar la jornada sabiendo con qué cuento.</t>
        </is>
      </c>
      <c r="M1103" s="8" t="n"/>
      <c r="N1103" s="8" t="n"/>
      <c r="O1103" s="23" t="n"/>
    </row>
    <row r="1104" ht="28" customHeight="1">
      <c r="B1104" s="31" t="n"/>
      <c r="C1104" s="8" t="n"/>
      <c r="D1104" s="8" t="n"/>
      <c r="E1104" s="23" t="n"/>
      <c r="G1104" s="31" t="n"/>
      <c r="H1104" s="8" t="n"/>
      <c r="I1104" s="8" t="n"/>
      <c r="J1104" s="23" t="n"/>
      <c r="L1104" s="31" t="n"/>
      <c r="M1104" s="8" t="n"/>
      <c r="N1104" s="8" t="n"/>
      <c r="O1104" s="23" t="n"/>
    </row>
    <row r="1105">
      <c r="B1105" s="29" t="inlineStr">
        <is>
          <t>Ficha de la historia</t>
        </is>
      </c>
      <c r="C1105" s="8" t="n"/>
      <c r="D1105" s="8" t="n"/>
      <c r="E1105" s="23" t="n"/>
      <c r="G1105" s="29" t="inlineStr">
        <is>
          <t>Criterios de listo:</t>
        </is>
      </c>
      <c r="H1105" s="8" t="n"/>
      <c r="I1105" s="8" t="n"/>
      <c r="J1105" s="23" t="n"/>
      <c r="L1105" s="29" t="inlineStr">
        <is>
          <t>Condiciones finales (se marcan cuando el PO acepta la HU en la Review):</t>
        </is>
      </c>
      <c r="M1105" s="8" t="n"/>
      <c r="N1105" s="8" t="n"/>
      <c r="O1105" s="23" t="n"/>
    </row>
    <row r="1106" ht="30" customHeight="1">
      <c r="B1106" s="32" t="inlineStr">
        <is>
          <t>Épica: E4. Controlar el movimiento de materiales en almacén</t>
        </is>
      </c>
      <c r="C1106" s="8" t="n"/>
      <c r="D1106" s="8" t="n"/>
      <c r="E1106" s="23" t="n"/>
      <c r="G1106" s="33" t="inlineStr">
        <is>
          <t>( x )</t>
        </is>
      </c>
      <c r="H1106" s="34" t="inlineStr">
        <is>
          <t>L1 · Redactada en el formato acordado — Cumple</t>
        </is>
      </c>
      <c r="I1106" s="8" t="n"/>
      <c r="J1106" s="23" t="n"/>
      <c r="L1106" s="35" t="inlineStr">
        <is>
          <t>(    )</t>
        </is>
      </c>
      <c r="M1106" s="34" t="inlineStr">
        <is>
          <t>Se ha consultado el saldo por almacén y consolidado por proyecto</t>
        </is>
      </c>
      <c r="N1106" s="8" t="n"/>
      <c r="O1106" s="23" t="n"/>
    </row>
    <row r="1107" ht="30" customHeight="1">
      <c r="B1107" s="32" t="inlineStr">
        <is>
          <t>Módulo: Almacén / Kardex</t>
        </is>
      </c>
      <c r="C1107" s="8" t="n"/>
      <c r="D1107" s="8" t="n"/>
      <c r="E1107" s="23" t="n"/>
      <c r="G1107" s="33" t="inlineStr">
        <is>
          <t>( x )</t>
        </is>
      </c>
      <c r="H1107" s="34" t="inlineStr">
        <is>
          <t>L2 · Nombre corto en forma de acción — Cumple</t>
        </is>
      </c>
      <c r="I1107" s="8" t="n"/>
      <c r="J1107" s="23" t="n"/>
      <c r="L1107" s="35" t="inlineStr">
        <is>
          <t>(    )</t>
        </is>
      </c>
      <c r="M1107" s="34" t="inlineStr">
        <is>
          <t>Se ha mostrado la fecha y hora del último movimiento considerado</t>
        </is>
      </c>
      <c r="N1107" s="8" t="n"/>
      <c r="O1107" s="23" t="n"/>
    </row>
    <row r="1108" ht="30" customHeight="1">
      <c r="B1108" s="32" t="inlineStr">
        <is>
          <t>Responsable técnico: Backend · Henry Ticona</t>
        </is>
      </c>
      <c r="C1108" s="8" t="n"/>
      <c r="D1108" s="8" t="n"/>
      <c r="E1108" s="23" t="n"/>
      <c r="G1108" s="33" t="inlineStr">
        <is>
          <t>( x )</t>
        </is>
      </c>
      <c r="H1108" s="34" t="inlineStr">
        <is>
          <t>L3 · Criterios de aceptación escritos — Cumple</t>
        </is>
      </c>
      <c r="I1108" s="8" t="n"/>
      <c r="J1108" s="23" t="n"/>
      <c r="L1108" s="35" t="inlineStr">
        <is>
          <t>(    )</t>
        </is>
      </c>
      <c r="M1108" s="34" t="inlineStr">
        <is>
          <t>Se han señalado los insumos bajo su punto de reposición</t>
        </is>
      </c>
      <c r="N1108" s="8" t="n"/>
      <c r="O1108" s="23" t="n"/>
    </row>
    <row r="1109" ht="36" customHeight="1">
      <c r="B1109" s="36" t="inlineStr">
        <is>
          <t>Depende de: HU-40</t>
        </is>
      </c>
      <c r="C1109" s="37" t="n"/>
      <c r="D1109" s="37" t="n"/>
      <c r="E1109" s="38" t="n"/>
      <c r="G1109" s="33" t="inlineStr">
        <is>
          <t>( x )</t>
        </is>
      </c>
      <c r="H1109" s="34" t="inlineStr">
        <is>
          <t>L4 · Dependencias resueltas — Cumple</t>
        </is>
      </c>
      <c r="I1109" s="8" t="n"/>
      <c r="J1109" s="23" t="n"/>
      <c r="L1109" s="36" t="inlineStr">
        <is>
          <t>Mitad técnica: Además, los diez criterios T1 a T10 de la hoja «3. Criterios DoR y DoD», sin excepción</t>
        </is>
      </c>
      <c r="M1109" s="37" t="n"/>
      <c r="N1109" s="37" t="n"/>
      <c r="O1109" s="38" t="n"/>
    </row>
    <row r="1110" ht="30" customHeight="1">
      <c r="G1110" s="33" t="inlineStr">
        <is>
          <t>( x )</t>
        </is>
      </c>
      <c r="H1110" s="34" t="inlineStr">
        <is>
          <t>L5 · Estimada por los Developers — Cumple</t>
        </is>
      </c>
      <c r="I1110" s="8" t="n"/>
      <c r="J1110" s="23" t="n"/>
    </row>
    <row r="1111" ht="30" customHeight="1">
      <c r="G1111" s="33" t="inlineStr">
        <is>
          <t>( x )</t>
        </is>
      </c>
      <c r="H1111" s="34" t="inlineStr">
        <is>
          <t>L6 · Cabe en un sprint (8 puntos o menos) — Cumple</t>
        </is>
      </c>
      <c r="I1111" s="8" t="n"/>
      <c r="J1111" s="23" t="n"/>
    </row>
    <row r="1112" ht="30" customHeight="1">
      <c r="G1112" s="33" t="inlineStr">
        <is>
          <t>( x )</t>
        </is>
      </c>
      <c r="H1112" s="34" t="inlineStr">
        <is>
          <t>L7 · Reglas de dominio identificadas — Cumple</t>
        </is>
      </c>
      <c r="I1112" s="8" t="n"/>
      <c r="J1112" s="23" t="n"/>
    </row>
    <row r="1113" ht="30" customHeight="1">
      <c r="G1113" s="33" t="inlineStr">
        <is>
          <t>( x )</t>
        </is>
      </c>
      <c r="H1113" s="34" t="inlineStr">
        <is>
          <t>L8 · Datos de prueba disponibles — Cumple</t>
        </is>
      </c>
      <c r="I1113" s="8" t="n"/>
      <c r="J1113" s="23" t="n"/>
    </row>
    <row r="1114" ht="30" customHeight="1">
      <c r="G1114" s="33" t="inlineStr">
        <is>
          <t>( x )</t>
        </is>
      </c>
      <c r="H1114" s="34" t="inlineStr">
        <is>
          <t>L9 · Responsable técnico asignado — Cumple</t>
        </is>
      </c>
      <c r="I1114" s="8" t="n"/>
      <c r="J1114" s="23" t="n"/>
    </row>
    <row r="1115" ht="30" customHeight="1">
      <c r="G1115" s="33" t="inlineStr">
        <is>
          <t>( x )</t>
        </is>
      </c>
      <c r="H1115" s="34" t="inlineStr">
        <is>
          <t>L10 · Recursos identificados — Cumple: Henry Ticona + equipo de desarrollo y datos de prueba</t>
        </is>
      </c>
      <c r="I1115" s="8" t="n"/>
      <c r="J1115" s="23" t="n"/>
    </row>
    <row r="1116" ht="30" customHeight="1">
      <c r="G1116" s="33" t="inlineStr">
        <is>
          <t>( x )</t>
        </is>
      </c>
      <c r="H1116" s="34" t="inlineStr">
        <is>
          <t>L11 · Requisitos técnicos de programación definidos — Cumple: FastAPI, SQLAlchemy 2, Alembic y PostgreSQL 16</t>
        </is>
      </c>
      <c r="I1116" s="8" t="n"/>
      <c r="J1116" s="23" t="n"/>
    </row>
    <row r="1117" ht="30" customHeight="1">
      <c r="G1117" s="33" t="inlineStr">
        <is>
          <t>( x )</t>
        </is>
      </c>
      <c r="H1117" s="34" t="inlineStr">
        <is>
          <t>L12 · Accesos de red disponibles — Cumple: GitHub (repositorio privado), API y PostgreSQL en docker compose</t>
        </is>
      </c>
      <c r="I1117" s="8" t="n"/>
      <c r="J1117" s="23" t="n"/>
    </row>
    <row r="1118" ht="36" customHeight="1">
      <c r="G1118" s="39" t="inlineStr">
        <is>
          <t>Riesgos: Saldo distinto en el celular y en el servidor · el saldo lo calcula solo el servidor</t>
        </is>
      </c>
      <c r="H1118" s="8" t="n"/>
      <c r="I1118" s="8" t="n"/>
      <c r="J1118" s="23" t="n"/>
    </row>
    <row r="1119" ht="36" customHeight="1">
      <c r="G1119" s="32" t="inlineStr">
        <is>
          <t>Proveedores de servicio: PostgreSQL gestionado en la nube (capa gratuita) · GitHub</t>
        </is>
      </c>
      <c r="H1119" s="8" t="n"/>
      <c r="I1119" s="8" t="n"/>
      <c r="J1119" s="23" t="n"/>
    </row>
    <row r="1120" ht="36" customHeight="1">
      <c r="G1120" s="36" t="inlineStr">
        <is>
          <t>Costos: 5 pts ≈ 10 horas-persona (1 punto ≈ 2 h) · servicios externos: S/ 0 (planes gratuitos)</t>
        </is>
      </c>
      <c r="H1120" s="37" t="n"/>
      <c r="I1120" s="37" t="n"/>
      <c r="J1120" s="38" t="n"/>
    </row>
    <row r="1123">
      <c r="B1123" s="18" t="inlineStr">
        <is>
          <t>HU-44 · Reportar entradas y salidas semanales</t>
        </is>
      </c>
    </row>
    <row r="1124" ht="18" customHeight="1">
      <c r="B1124" s="19" t="inlineStr">
        <is>
          <t>TARJETA 1 · Historia de usuario</t>
        </is>
      </c>
      <c r="C1124" s="20" t="n"/>
      <c r="D1124" s="20" t="n"/>
      <c r="E1124" s="21" t="n"/>
      <c r="G1124" s="19" t="inlineStr">
        <is>
          <t>TARJETA 2 · Definición de Listo</t>
        </is>
      </c>
      <c r="H1124" s="20" t="n"/>
      <c r="I1124" s="20" t="n"/>
      <c r="J1124" s="21" t="n"/>
      <c r="L1124" s="19" t="inlineStr">
        <is>
          <t>TARJETA 3 · Definición de Terminado</t>
        </is>
      </c>
      <c r="M1124" s="20" t="n"/>
      <c r="N1124" s="20" t="n"/>
      <c r="O1124" s="21" t="n"/>
    </row>
    <row r="1125" ht="28" customHeight="1">
      <c r="B1125" s="22" t="inlineStr">
        <is>
          <t>La unidad con la que se planifica, se estima y se acepta el trabajo</t>
        </is>
      </c>
      <c r="C1125" s="8" t="n"/>
      <c r="D1125" s="8" t="n"/>
      <c r="E1125" s="23" t="n"/>
      <c r="G1125" s="22" t="inlineStr">
        <is>
          <t>El enfoque está en la consideración del equipo de desarrollo sobre si la historia está lista para un Sprint</t>
        </is>
      </c>
      <c r="H1125" s="8" t="n"/>
      <c r="I1125" s="8" t="n"/>
      <c r="J1125" s="23" t="n"/>
      <c r="L1125" s="22" t="inlineStr">
        <is>
          <t>El enfoque está en la aceptación del cliente cuando se le entregue el producto</t>
        </is>
      </c>
      <c r="M1125" s="8" t="n"/>
      <c r="N1125" s="8" t="n"/>
      <c r="O1125" s="23" t="n"/>
    </row>
    <row r="1126">
      <c r="B1126" s="24" t="inlineStr">
        <is>
          <t>Historia de usuario</t>
        </is>
      </c>
      <c r="C1126" s="8" t="n"/>
      <c r="D1126" s="25" t="inlineStr">
        <is>
          <t>Prioridad</t>
        </is>
      </c>
      <c r="E1126" s="26" t="inlineStr">
        <is>
          <t>Estimación</t>
        </is>
      </c>
      <c r="G1126" s="24" t="inlineStr">
        <is>
          <t>Historia de usuario</t>
        </is>
      </c>
      <c r="H1126" s="8" t="n"/>
      <c r="I1126" s="25" t="inlineStr">
        <is>
          <t>Prioridad</t>
        </is>
      </c>
      <c r="J1126" s="26" t="inlineStr">
        <is>
          <t>Estimación</t>
        </is>
      </c>
      <c r="L1126" s="24" t="inlineStr">
        <is>
          <t>Historia de usuario</t>
        </is>
      </c>
      <c r="M1126" s="8" t="n"/>
      <c r="N1126" s="25" t="inlineStr">
        <is>
          <t>Prioridad</t>
        </is>
      </c>
      <c r="O1126" s="26" t="inlineStr">
        <is>
          <t>Estimación</t>
        </is>
      </c>
    </row>
    <row r="1127" ht="30" customHeight="1">
      <c r="B1127" s="27" t="inlineStr">
        <is>
          <t>HU-44 · Reportar entradas y salidas semanales</t>
        </is>
      </c>
      <c r="C1127" s="8" t="n"/>
      <c r="D1127" s="9" t="inlineStr">
        <is>
          <t>Media</t>
        </is>
      </c>
      <c r="E1127" s="28" t="inlineStr">
        <is>
          <t>3 pts</t>
        </is>
      </c>
      <c r="G1127" s="27" t="inlineStr">
        <is>
          <t>HU-44 · Reportar entradas y salidas semanales</t>
        </is>
      </c>
      <c r="H1127" s="8" t="n"/>
      <c r="I1127" s="9" t="inlineStr">
        <is>
          <t>Media</t>
        </is>
      </c>
      <c r="J1127" s="28" t="inlineStr">
        <is>
          <t>3 pts</t>
        </is>
      </c>
      <c r="L1127" s="27" t="inlineStr">
        <is>
          <t>HU-44 · Reportar entradas y salidas semanales</t>
        </is>
      </c>
      <c r="M1127" s="8" t="n"/>
      <c r="N1127" s="9" t="inlineStr">
        <is>
          <t>Media</t>
        </is>
      </c>
      <c r="O1127" s="28" t="inlineStr">
        <is>
          <t>3 pts</t>
        </is>
      </c>
    </row>
    <row r="1128">
      <c r="B1128" s="29" t="inlineStr">
        <is>
          <t>Descripción:</t>
        </is>
      </c>
      <c r="C1128" s="8" t="n"/>
      <c r="D1128" s="8" t="n"/>
      <c r="E1128" s="23" t="n"/>
      <c r="G1128" s="29" t="inlineStr">
        <is>
          <t>Descripción:</t>
        </is>
      </c>
      <c r="H1128" s="8" t="n"/>
      <c r="I1128" s="8" t="n"/>
      <c r="J1128" s="23" t="n"/>
      <c r="L1128" s="29" t="inlineStr">
        <is>
          <t>Descripción:</t>
        </is>
      </c>
      <c r="M1128" s="8" t="n"/>
      <c r="N1128" s="8" t="n"/>
      <c r="O1128" s="23" t="n"/>
    </row>
    <row r="1129" ht="28" customHeight="1">
      <c r="B1129" s="30" t="inlineStr">
        <is>
          <t>Como almacenero, quiero revisar las entradas y salidas agrupadas por semana, para cuadrar el almacén con el corte que ya usamos.</t>
        </is>
      </c>
      <c r="C1129" s="8" t="n"/>
      <c r="D1129" s="8" t="n"/>
      <c r="E1129" s="23" t="n"/>
      <c r="G1129" s="30" t="inlineStr">
        <is>
          <t>Como almacenero, quiero revisar las entradas y salidas agrupadas por semana, para cuadrar el almacén con el corte que ya usamos.</t>
        </is>
      </c>
      <c r="H1129" s="8" t="n"/>
      <c r="I1129" s="8" t="n"/>
      <c r="J1129" s="23" t="n"/>
      <c r="L1129" s="30" t="inlineStr">
        <is>
          <t>Como almacenero, quiero revisar las entradas y salidas agrupadas por semana, para cuadrar el almacén con el corte que ya usamos.</t>
        </is>
      </c>
      <c r="M1129" s="8" t="n"/>
      <c r="N1129" s="8" t="n"/>
      <c r="O1129" s="23" t="n"/>
    </row>
    <row r="1130" ht="28" customHeight="1">
      <c r="B1130" s="31" t="n"/>
      <c r="C1130" s="8" t="n"/>
      <c r="D1130" s="8" t="n"/>
      <c r="E1130" s="23" t="n"/>
      <c r="G1130" s="31" t="n"/>
      <c r="H1130" s="8" t="n"/>
      <c r="I1130" s="8" t="n"/>
      <c r="J1130" s="23" t="n"/>
      <c r="L1130" s="31" t="n"/>
      <c r="M1130" s="8" t="n"/>
      <c r="N1130" s="8" t="n"/>
      <c r="O1130" s="23" t="n"/>
    </row>
    <row r="1131">
      <c r="B1131" s="29" t="inlineStr">
        <is>
          <t>Ficha de la historia</t>
        </is>
      </c>
      <c r="C1131" s="8" t="n"/>
      <c r="D1131" s="8" t="n"/>
      <c r="E1131" s="23" t="n"/>
      <c r="G1131" s="29" t="inlineStr">
        <is>
          <t>Criterios de listo:</t>
        </is>
      </c>
      <c r="H1131" s="8" t="n"/>
      <c r="I1131" s="8" t="n"/>
      <c r="J1131" s="23" t="n"/>
      <c r="L1131" s="29" t="inlineStr">
        <is>
          <t>Condiciones finales (se marcan cuando el PO acepta la HU en la Review):</t>
        </is>
      </c>
      <c r="M1131" s="8" t="n"/>
      <c r="N1131" s="8" t="n"/>
      <c r="O1131" s="23" t="n"/>
    </row>
    <row r="1132" ht="30" customHeight="1">
      <c r="B1132" s="32" t="inlineStr">
        <is>
          <t>Épica: E4. Controlar el movimiento de materiales en almacén</t>
        </is>
      </c>
      <c r="C1132" s="8" t="n"/>
      <c r="D1132" s="8" t="n"/>
      <c r="E1132" s="23" t="n"/>
      <c r="G1132" s="33" t="inlineStr">
        <is>
          <t>( x )</t>
        </is>
      </c>
      <c r="H1132" s="34" t="inlineStr">
        <is>
          <t>L1 · Redactada en el formato acordado — Cumple</t>
        </is>
      </c>
      <c r="I1132" s="8" t="n"/>
      <c r="J1132" s="23" t="n"/>
      <c r="L1132" s="35" t="inlineStr">
        <is>
          <t>(    )</t>
        </is>
      </c>
      <c r="M1132" s="34" t="inlineStr">
        <is>
          <t>Se ha generado el reporte de la semana elegida</t>
        </is>
      </c>
      <c r="N1132" s="8" t="n"/>
      <c r="O1132" s="23" t="n"/>
    </row>
    <row r="1133" ht="30" customHeight="1">
      <c r="B1133" s="32" t="inlineStr">
        <is>
          <t>Módulo: Almacén / Kardex</t>
        </is>
      </c>
      <c r="C1133" s="8" t="n"/>
      <c r="D1133" s="8" t="n"/>
      <c r="E1133" s="23" t="n"/>
      <c r="G1133" s="33" t="inlineStr">
        <is>
          <t>( x )</t>
        </is>
      </c>
      <c r="H1133" s="34" t="inlineStr">
        <is>
          <t>L2 · Nombre corto en forma de acción — Cumple</t>
        </is>
      </c>
      <c r="I1133" s="8" t="n"/>
      <c r="J1133" s="23" t="n"/>
      <c r="L1133" s="35" t="inlineStr">
        <is>
          <t>(    )</t>
        </is>
      </c>
      <c r="M1133" s="34" t="inlineStr">
        <is>
          <t>Ha mostrado saldo inicial, entradas, salidas y saldo final de los insumos con movimiento</t>
        </is>
      </c>
      <c r="N1133" s="8" t="n"/>
      <c r="O1133" s="23" t="n"/>
    </row>
    <row r="1134" ht="30" customHeight="1">
      <c r="B1134" s="32" t="inlineStr">
        <is>
          <t>Responsable técnico: Web · Víctor Luján</t>
        </is>
      </c>
      <c r="C1134" s="8" t="n"/>
      <c r="D1134" s="8" t="n"/>
      <c r="E1134" s="23" t="n"/>
      <c r="G1134" s="33" t="inlineStr">
        <is>
          <t>( x )</t>
        </is>
      </c>
      <c r="H1134" s="34" t="inlineStr">
        <is>
          <t>L3 · Criterios de aceptación escritos — Cumple</t>
        </is>
      </c>
      <c r="I1134" s="8" t="n"/>
      <c r="J1134" s="23" t="n"/>
      <c r="L1134" s="35" t="inlineStr">
        <is>
          <t>(    )</t>
        </is>
      </c>
      <c r="M1134" s="34" t="inlineStr">
        <is>
          <t>El reporte se ha exportado</t>
        </is>
      </c>
      <c r="N1134" s="8" t="n"/>
      <c r="O1134" s="23" t="n"/>
    </row>
    <row r="1135" ht="36" customHeight="1">
      <c r="B1135" s="36" t="inlineStr">
        <is>
          <t>Depende de: HU-03, HU-40</t>
        </is>
      </c>
      <c r="C1135" s="37" t="n"/>
      <c r="D1135" s="37" t="n"/>
      <c r="E1135" s="38" t="n"/>
      <c r="G1135" s="33" t="inlineStr">
        <is>
          <t>( x )</t>
        </is>
      </c>
      <c r="H1135" s="34" t="inlineStr">
        <is>
          <t>L4 · Dependencias resueltas — Cumple</t>
        </is>
      </c>
      <c r="I1135" s="8" t="n"/>
      <c r="J1135" s="23" t="n"/>
      <c r="L1135" s="36" t="inlineStr">
        <is>
          <t>Mitad técnica: Además, los diez criterios T1 a T10 de la hoja «3. Criterios DoR y DoD», sin excepción</t>
        </is>
      </c>
      <c r="M1135" s="37" t="n"/>
      <c r="N1135" s="37" t="n"/>
      <c r="O1135" s="38" t="n"/>
    </row>
    <row r="1136" ht="30" customHeight="1">
      <c r="G1136" s="33" t="inlineStr">
        <is>
          <t>( x )</t>
        </is>
      </c>
      <c r="H1136" s="34" t="inlineStr">
        <is>
          <t>L5 · Estimada por los Developers — Cumple</t>
        </is>
      </c>
      <c r="I1136" s="8" t="n"/>
      <c r="J1136" s="23" t="n"/>
    </row>
    <row r="1137" ht="30" customHeight="1">
      <c r="G1137" s="33" t="inlineStr">
        <is>
          <t>( x )</t>
        </is>
      </c>
      <c r="H1137" s="34" t="inlineStr">
        <is>
          <t>L6 · Cabe en un sprint (8 puntos o menos) — Cumple</t>
        </is>
      </c>
      <c r="I1137" s="8" t="n"/>
      <c r="J1137" s="23" t="n"/>
    </row>
    <row r="1138" ht="30" customHeight="1">
      <c r="G1138" s="33" t="inlineStr">
        <is>
          <t>( x )</t>
        </is>
      </c>
      <c r="H1138" s="34" t="inlineStr">
        <is>
          <t>L7 · Reglas de dominio identificadas — Cumple</t>
        </is>
      </c>
      <c r="I1138" s="8" t="n"/>
      <c r="J1138" s="23" t="n"/>
    </row>
    <row r="1139" ht="30" customHeight="1">
      <c r="G1139" s="33" t="inlineStr">
        <is>
          <t>( x )</t>
        </is>
      </c>
      <c r="H1139" s="34" t="inlineStr">
        <is>
          <t>L8 · Datos de prueba disponibles — Cumple</t>
        </is>
      </c>
      <c r="I1139" s="8" t="n"/>
      <c r="J1139" s="23" t="n"/>
    </row>
    <row r="1140" ht="30" customHeight="1">
      <c r="G1140" s="33" t="inlineStr">
        <is>
          <t>( x )</t>
        </is>
      </c>
      <c r="H1140" s="34" t="inlineStr">
        <is>
          <t>L9 · Responsable técnico asignado — Cumple</t>
        </is>
      </c>
      <c r="I1140" s="8" t="n"/>
      <c r="J1140" s="23" t="n"/>
    </row>
    <row r="1141" ht="30" customHeight="1">
      <c r="G1141" s="33" t="inlineStr">
        <is>
          <t>( x )</t>
        </is>
      </c>
      <c r="H1141" s="34" t="inlineStr">
        <is>
          <t>L10 · Recursos identificados — Cumple: Víctor Luján + equipo de desarrollo y datos de prueba</t>
        </is>
      </c>
      <c r="I1141" s="8" t="n"/>
      <c r="J1141" s="23" t="n"/>
    </row>
    <row r="1142" ht="30" customHeight="1">
      <c r="G1142" s="33" t="inlineStr">
        <is>
          <t>( x )</t>
        </is>
      </c>
      <c r="H1142" s="34" t="inlineStr">
        <is>
          <t>L11 · Requisitos técnicos de programación definidos — Cumple: React 18, TypeScript y Vite</t>
        </is>
      </c>
      <c r="I1142" s="8" t="n"/>
      <c r="J1142" s="23" t="n"/>
    </row>
    <row r="1143" ht="30" customHeight="1">
      <c r="G1143" s="33" t="inlineStr">
        <is>
          <t>( x )</t>
        </is>
      </c>
      <c r="H1143" s="34" t="inlineStr">
        <is>
          <t>L12 · Accesos de red disponibles — Cumple: GitHub (repositorio privado), API y PostgreSQL en docker compose</t>
        </is>
      </c>
      <c r="I1143" s="8" t="n"/>
      <c r="J1143" s="23" t="n"/>
    </row>
    <row r="1144" ht="36" customHeight="1">
      <c r="G1144" s="39" t="inlineStr">
        <is>
          <t>Riesgos: Saldos que no cuadran entre semanas · saldo inicial + entradas − salidas = saldo final</t>
        </is>
      </c>
      <c r="H1144" s="8" t="n"/>
      <c r="I1144" s="8" t="n"/>
      <c r="J1144" s="23" t="n"/>
    </row>
    <row r="1145" ht="36" customHeight="1">
      <c r="G1145" s="32" t="inlineStr">
        <is>
          <t>Proveedores de servicio: Navegador · API en la nube (PostgreSQL gestionado, capa gratuita)</t>
        </is>
      </c>
      <c r="H1145" s="8" t="n"/>
      <c r="I1145" s="8" t="n"/>
      <c r="J1145" s="23" t="n"/>
    </row>
    <row r="1146" ht="36" customHeight="1">
      <c r="G1146" s="36" t="inlineStr">
        <is>
          <t>Costos: 3 pts ≈ 6 horas-persona (1 punto ≈ 2 h) · servicios externos: S/ 0 (planes gratuitos)</t>
        </is>
      </c>
      <c r="H1146" s="37" t="n"/>
      <c r="I1146" s="37" t="n"/>
      <c r="J1146" s="38" t="n"/>
    </row>
    <row r="1149">
      <c r="B1149" s="18" t="inlineStr">
        <is>
          <t>HU-45 · Corregir movimientos</t>
        </is>
      </c>
    </row>
    <row r="1150" ht="18" customHeight="1">
      <c r="B1150" s="19" t="inlineStr">
        <is>
          <t>TARJETA 1 · Historia de usuario</t>
        </is>
      </c>
      <c r="C1150" s="20" t="n"/>
      <c r="D1150" s="20" t="n"/>
      <c r="E1150" s="21" t="n"/>
      <c r="G1150" s="19" t="inlineStr">
        <is>
          <t>TARJETA 2 · Definición de Listo</t>
        </is>
      </c>
      <c r="H1150" s="20" t="n"/>
      <c r="I1150" s="20" t="n"/>
      <c r="J1150" s="21" t="n"/>
      <c r="L1150" s="19" t="inlineStr">
        <is>
          <t>TARJETA 3 · Definición de Terminado</t>
        </is>
      </c>
      <c r="M1150" s="20" t="n"/>
      <c r="N1150" s="20" t="n"/>
      <c r="O1150" s="21" t="n"/>
    </row>
    <row r="1151" ht="28" customHeight="1">
      <c r="B1151" s="22" t="inlineStr">
        <is>
          <t>La unidad con la que se planifica, se estima y se acepta el trabajo</t>
        </is>
      </c>
      <c r="C1151" s="8" t="n"/>
      <c r="D1151" s="8" t="n"/>
      <c r="E1151" s="23" t="n"/>
      <c r="G1151" s="22" t="inlineStr">
        <is>
          <t>El enfoque está en la consideración del equipo de desarrollo sobre si la historia está lista para un Sprint</t>
        </is>
      </c>
      <c r="H1151" s="8" t="n"/>
      <c r="I1151" s="8" t="n"/>
      <c r="J1151" s="23" t="n"/>
      <c r="L1151" s="22" t="inlineStr">
        <is>
          <t>El enfoque está en la aceptación del cliente cuando se le entregue el producto</t>
        </is>
      </c>
      <c r="M1151" s="8" t="n"/>
      <c r="N1151" s="8" t="n"/>
      <c r="O1151" s="23" t="n"/>
    </row>
    <row r="1152">
      <c r="B1152" s="24" t="inlineStr">
        <is>
          <t>Historia de usuario</t>
        </is>
      </c>
      <c r="C1152" s="8" t="n"/>
      <c r="D1152" s="25" t="inlineStr">
        <is>
          <t>Prioridad</t>
        </is>
      </c>
      <c r="E1152" s="26" t="inlineStr">
        <is>
          <t>Estimación</t>
        </is>
      </c>
      <c r="G1152" s="24" t="inlineStr">
        <is>
          <t>Historia de usuario</t>
        </is>
      </c>
      <c r="H1152" s="8" t="n"/>
      <c r="I1152" s="25" t="inlineStr">
        <is>
          <t>Prioridad</t>
        </is>
      </c>
      <c r="J1152" s="26" t="inlineStr">
        <is>
          <t>Estimación</t>
        </is>
      </c>
      <c r="L1152" s="24" t="inlineStr">
        <is>
          <t>Historia de usuario</t>
        </is>
      </c>
      <c r="M1152" s="8" t="n"/>
      <c r="N1152" s="25" t="inlineStr">
        <is>
          <t>Prioridad</t>
        </is>
      </c>
      <c r="O1152" s="26" t="inlineStr">
        <is>
          <t>Estimación</t>
        </is>
      </c>
    </row>
    <row r="1153" ht="30" customHeight="1">
      <c r="B1153" s="27" t="inlineStr">
        <is>
          <t>HU-45 · Corregir movimientos</t>
        </is>
      </c>
      <c r="C1153" s="8" t="n"/>
      <c r="D1153" s="9" t="inlineStr">
        <is>
          <t>Crítica</t>
        </is>
      </c>
      <c r="E1153" s="28" t="inlineStr">
        <is>
          <t>5 pts</t>
        </is>
      </c>
      <c r="G1153" s="27" t="inlineStr">
        <is>
          <t>HU-45 · Corregir movimientos</t>
        </is>
      </c>
      <c r="H1153" s="8" t="n"/>
      <c r="I1153" s="9" t="inlineStr">
        <is>
          <t>Crítica</t>
        </is>
      </c>
      <c r="J1153" s="28" t="inlineStr">
        <is>
          <t>5 pts</t>
        </is>
      </c>
      <c r="L1153" s="27" t="inlineStr">
        <is>
          <t>HU-45 · Corregir movimientos</t>
        </is>
      </c>
      <c r="M1153" s="8" t="n"/>
      <c r="N1153" s="9" t="inlineStr">
        <is>
          <t>Crítica</t>
        </is>
      </c>
      <c r="O1153" s="28" t="inlineStr">
        <is>
          <t>5 pts</t>
        </is>
      </c>
    </row>
    <row r="1154">
      <c r="B1154" s="29" t="inlineStr">
        <is>
          <t>Descripción:</t>
        </is>
      </c>
      <c r="C1154" s="8" t="n"/>
      <c r="D1154" s="8" t="n"/>
      <c r="E1154" s="23" t="n"/>
      <c r="G1154" s="29" t="inlineStr">
        <is>
          <t>Descripción:</t>
        </is>
      </c>
      <c r="H1154" s="8" t="n"/>
      <c r="I1154" s="8" t="n"/>
      <c r="J1154" s="23" t="n"/>
      <c r="L1154" s="29" t="inlineStr">
        <is>
          <t>Descripción:</t>
        </is>
      </c>
      <c r="M1154" s="8" t="n"/>
      <c r="N1154" s="8" t="n"/>
      <c r="O1154" s="23" t="n"/>
    </row>
    <row r="1155" ht="28" customHeight="1">
      <c r="B1155" s="30" t="inlineStr">
        <is>
          <t>Como almacenero, quiero corregir un movimiento sin borrar el original, para conservar el rastro de lo registrado y lo corregido.</t>
        </is>
      </c>
      <c r="C1155" s="8" t="n"/>
      <c r="D1155" s="8" t="n"/>
      <c r="E1155" s="23" t="n"/>
      <c r="G1155" s="30" t="inlineStr">
        <is>
          <t>Como almacenero, quiero corregir un movimiento sin borrar el original, para conservar el rastro de lo registrado y lo corregido.</t>
        </is>
      </c>
      <c r="H1155" s="8" t="n"/>
      <c r="I1155" s="8" t="n"/>
      <c r="J1155" s="23" t="n"/>
      <c r="L1155" s="30" t="inlineStr">
        <is>
          <t>Como almacenero, quiero corregir un movimiento sin borrar el original, para conservar el rastro de lo registrado y lo corregido.</t>
        </is>
      </c>
      <c r="M1155" s="8" t="n"/>
      <c r="N1155" s="8" t="n"/>
      <c r="O1155" s="23" t="n"/>
    </row>
    <row r="1156" ht="28" customHeight="1">
      <c r="B1156" s="31" t="n"/>
      <c r="C1156" s="8" t="n"/>
      <c r="D1156" s="8" t="n"/>
      <c r="E1156" s="23" t="n"/>
      <c r="G1156" s="31" t="n"/>
      <c r="H1156" s="8" t="n"/>
      <c r="I1156" s="8" t="n"/>
      <c r="J1156" s="23" t="n"/>
      <c r="L1156" s="31" t="n"/>
      <c r="M1156" s="8" t="n"/>
      <c r="N1156" s="8" t="n"/>
      <c r="O1156" s="23" t="n"/>
    </row>
    <row r="1157">
      <c r="B1157" s="29" t="inlineStr">
        <is>
          <t>Ficha de la historia</t>
        </is>
      </c>
      <c r="C1157" s="8" t="n"/>
      <c r="D1157" s="8" t="n"/>
      <c r="E1157" s="23" t="n"/>
      <c r="G1157" s="29" t="inlineStr">
        <is>
          <t>Criterios de listo:</t>
        </is>
      </c>
      <c r="H1157" s="8" t="n"/>
      <c r="I1157" s="8" t="n"/>
      <c r="J1157" s="23" t="n"/>
      <c r="L1157" s="29" t="inlineStr">
        <is>
          <t>Condiciones finales (se marcan cuando el PO acepta la HU en la Review):</t>
        </is>
      </c>
      <c r="M1157" s="8" t="n"/>
      <c r="N1157" s="8" t="n"/>
      <c r="O1157" s="23" t="n"/>
    </row>
    <row r="1158" ht="30" customHeight="1">
      <c r="B1158" s="32" t="inlineStr">
        <is>
          <t>Épica: E4. Controlar el movimiento de materiales en almacén</t>
        </is>
      </c>
      <c r="C1158" s="8" t="n"/>
      <c r="D1158" s="8" t="n"/>
      <c r="E1158" s="23" t="n"/>
      <c r="G1158" s="33" t="inlineStr">
        <is>
          <t>( x )</t>
        </is>
      </c>
      <c r="H1158" s="34" t="inlineStr">
        <is>
          <t>L1 · Redactada en el formato acordado — Cumple</t>
        </is>
      </c>
      <c r="I1158" s="8" t="n"/>
      <c r="J1158" s="23" t="n"/>
      <c r="L1158" s="35" t="inlineStr">
        <is>
          <t>(    )</t>
        </is>
      </c>
      <c r="M1158" s="34" t="inlineStr">
        <is>
          <t>La corrección se ha registrado como un reverso que apunta al original</t>
        </is>
      </c>
      <c r="N1158" s="8" t="n"/>
      <c r="O1158" s="23" t="n"/>
    </row>
    <row r="1159" ht="30" customHeight="1">
      <c r="B1159" s="32" t="inlineStr">
        <is>
          <t>Módulo: Almacén / Kardex</t>
        </is>
      </c>
      <c r="C1159" s="8" t="n"/>
      <c r="D1159" s="8" t="n"/>
      <c r="E1159" s="23" t="n"/>
      <c r="G1159" s="33" t="inlineStr">
        <is>
          <t>( x )</t>
        </is>
      </c>
      <c r="H1159" s="34" t="inlineStr">
        <is>
          <t>L2 · Nombre corto en forma de acción — Cumple</t>
        </is>
      </c>
      <c r="I1159" s="8" t="n"/>
      <c r="J1159" s="23" t="n"/>
      <c r="L1159" s="35" t="inlineStr">
        <is>
          <t>(    )</t>
        </is>
      </c>
      <c r="M1159" s="34" t="inlineStr">
        <is>
          <t>El movimiento original se ha conservado sin cambios</t>
        </is>
      </c>
      <c r="N1159" s="8" t="n"/>
      <c r="O1159" s="23" t="n"/>
    </row>
    <row r="1160" ht="30" customHeight="1">
      <c r="B1160" s="32" t="inlineStr">
        <is>
          <t>Responsable técnico: Backend · Henry Ticona</t>
        </is>
      </c>
      <c r="C1160" s="8" t="n"/>
      <c r="D1160" s="8" t="n"/>
      <c r="E1160" s="23" t="n"/>
      <c r="G1160" s="33" t="inlineStr">
        <is>
          <t>( x )</t>
        </is>
      </c>
      <c r="H1160" s="34" t="inlineStr">
        <is>
          <t>L3 · Criterios de aceptación escritos — Cumple</t>
        </is>
      </c>
      <c r="I1160" s="8" t="n"/>
      <c r="J1160" s="23" t="n"/>
      <c r="L1160" s="35" t="inlineStr">
        <is>
          <t>(    )</t>
        </is>
      </c>
      <c r="M1160" s="34" t="inlineStr">
        <is>
          <t>El saldo se ha recalculado con ambos movimientos</t>
        </is>
      </c>
      <c r="N1160" s="8" t="n"/>
      <c r="O1160" s="23" t="n"/>
    </row>
    <row r="1161" ht="30" customHeight="1">
      <c r="B1161" s="36" t="inlineStr">
        <is>
          <t>Depende de: HU-40</t>
        </is>
      </c>
      <c r="C1161" s="37" t="n"/>
      <c r="D1161" s="37" t="n"/>
      <c r="E1161" s="38" t="n"/>
      <c r="G1161" s="33" t="inlineStr">
        <is>
          <t>( x )</t>
        </is>
      </c>
      <c r="H1161" s="34" t="inlineStr">
        <is>
          <t>L4 · Dependencias resueltas — Cumple</t>
        </is>
      </c>
      <c r="I1161" s="8" t="n"/>
      <c r="J1161" s="23" t="n"/>
      <c r="L1161" s="35" t="inlineStr">
        <is>
          <t>(    )</t>
        </is>
      </c>
      <c r="M1161" s="34" t="inlineStr">
        <is>
          <t>Se ha consultado el movimiento anulado junto con el que lo anuló</t>
        </is>
      </c>
      <c r="N1161" s="8" t="n"/>
      <c r="O1161" s="23" t="n"/>
    </row>
    <row r="1162" ht="36" customHeight="1">
      <c r="G1162" s="33" t="inlineStr">
        <is>
          <t>( x )</t>
        </is>
      </c>
      <c r="H1162" s="34" t="inlineStr">
        <is>
          <t>L5 · Estimada por los Developers — Cumple</t>
        </is>
      </c>
      <c r="I1162" s="8" t="n"/>
      <c r="J1162" s="23" t="n"/>
      <c r="L1162" s="36" t="inlineStr">
        <is>
          <t>Mitad técnica: Además, los diez criterios T1 a T10 de la hoja «3. Criterios DoR y DoD», sin excepción</t>
        </is>
      </c>
      <c r="M1162" s="37" t="n"/>
      <c r="N1162" s="37" t="n"/>
      <c r="O1162" s="38" t="n"/>
    </row>
    <row r="1163" ht="30" customHeight="1">
      <c r="G1163" s="33" t="inlineStr">
        <is>
          <t>( x )</t>
        </is>
      </c>
      <c r="H1163" s="34" t="inlineStr">
        <is>
          <t>L6 · Cabe en un sprint (8 puntos o menos) — Cumple</t>
        </is>
      </c>
      <c r="I1163" s="8" t="n"/>
      <c r="J1163" s="23" t="n"/>
    </row>
    <row r="1164" ht="30" customHeight="1">
      <c r="G1164" s="33" t="inlineStr">
        <is>
          <t>( x )</t>
        </is>
      </c>
      <c r="H1164" s="34" t="inlineStr">
        <is>
          <t>L7 · Reglas de dominio identificadas — Cumple</t>
        </is>
      </c>
      <c r="I1164" s="8" t="n"/>
      <c r="J1164" s="23" t="n"/>
    </row>
    <row r="1165" ht="30" customHeight="1">
      <c r="G1165" s="33" t="inlineStr">
        <is>
          <t>( x )</t>
        </is>
      </c>
      <c r="H1165" s="34" t="inlineStr">
        <is>
          <t>L8 · Datos de prueba disponibles — Cumple</t>
        </is>
      </c>
      <c r="I1165" s="8" t="n"/>
      <c r="J1165" s="23" t="n"/>
    </row>
    <row r="1166" ht="30" customHeight="1">
      <c r="G1166" s="33" t="inlineStr">
        <is>
          <t>( x )</t>
        </is>
      </c>
      <c r="H1166" s="34" t="inlineStr">
        <is>
          <t>L9 · Responsable técnico asignado — Cumple</t>
        </is>
      </c>
      <c r="I1166" s="8" t="n"/>
      <c r="J1166" s="23" t="n"/>
    </row>
    <row r="1167" ht="30" customHeight="1">
      <c r="G1167" s="33" t="inlineStr">
        <is>
          <t>( x )</t>
        </is>
      </c>
      <c r="H1167" s="34" t="inlineStr">
        <is>
          <t>L10 · Recursos identificados — Cumple: Henry Ticona + equipo de desarrollo y datos de prueba</t>
        </is>
      </c>
      <c r="I1167" s="8" t="n"/>
      <c r="J1167" s="23" t="n"/>
    </row>
    <row r="1168" ht="30" customHeight="1">
      <c r="G1168" s="33" t="inlineStr">
        <is>
          <t>( x )</t>
        </is>
      </c>
      <c r="H1168" s="34" t="inlineStr">
        <is>
          <t>L11 · Requisitos técnicos de programación definidos — Cumple: FastAPI, SQLAlchemy 2, Alembic y PostgreSQL 16</t>
        </is>
      </c>
      <c r="I1168" s="8" t="n"/>
      <c r="J1168" s="23" t="n"/>
    </row>
    <row r="1169" ht="30" customHeight="1">
      <c r="G1169" s="33" t="inlineStr">
        <is>
          <t>( x )</t>
        </is>
      </c>
      <c r="H1169" s="34" t="inlineStr">
        <is>
          <t>L12 · Accesos de red disponibles — Cumple: GitHub (repositorio privado), API y PostgreSQL en docker compose</t>
        </is>
      </c>
      <c r="I1169" s="8" t="n"/>
      <c r="J1169" s="23" t="n"/>
    </row>
    <row r="1170" ht="36" customHeight="1">
      <c r="G1170" s="39" t="inlineStr">
        <is>
          <t>Riesgos: Corregir borrando el rastro · reverso que apunta al original</t>
        </is>
      </c>
      <c r="H1170" s="8" t="n"/>
      <c r="I1170" s="8" t="n"/>
      <c r="J1170" s="23" t="n"/>
    </row>
    <row r="1171" ht="36" customHeight="1">
      <c r="G1171" s="32" t="inlineStr">
        <is>
          <t>Proveedores de servicio: PostgreSQL gestionado en la nube (capa gratuita) · GitHub</t>
        </is>
      </c>
      <c r="H1171" s="8" t="n"/>
      <c r="I1171" s="8" t="n"/>
      <c r="J1171" s="23" t="n"/>
    </row>
    <row r="1172" ht="36" customHeight="1">
      <c r="G1172" s="36" t="inlineStr">
        <is>
          <t>Costos: 5 pts ≈ 10 horas-persona (1 punto ≈ 2 h) · servicios externos: S/ 0 (planes gratuitos)</t>
        </is>
      </c>
      <c r="H1172" s="37" t="n"/>
      <c r="I1172" s="37" t="n"/>
      <c r="J1172" s="38" t="n"/>
    </row>
    <row r="1175">
      <c r="B1175" s="18" t="inlineStr">
        <is>
          <t>HU-46 · Hacer conteo físico</t>
        </is>
      </c>
    </row>
    <row r="1176" ht="18" customHeight="1">
      <c r="B1176" s="19" t="inlineStr">
        <is>
          <t>TARJETA 1 · Historia de usuario</t>
        </is>
      </c>
      <c r="C1176" s="20" t="n"/>
      <c r="D1176" s="20" t="n"/>
      <c r="E1176" s="21" t="n"/>
      <c r="G1176" s="19" t="inlineStr">
        <is>
          <t>TARJETA 2 · Definición de Listo</t>
        </is>
      </c>
      <c r="H1176" s="20" t="n"/>
      <c r="I1176" s="20" t="n"/>
      <c r="J1176" s="21" t="n"/>
      <c r="L1176" s="19" t="inlineStr">
        <is>
          <t>TARJETA 3 · Definición de Terminado</t>
        </is>
      </c>
      <c r="M1176" s="20" t="n"/>
      <c r="N1176" s="20" t="n"/>
      <c r="O1176" s="21" t="n"/>
    </row>
    <row r="1177" ht="28" customHeight="1">
      <c r="B1177" s="22" t="inlineStr">
        <is>
          <t>La unidad con la que se planifica, se estima y se acepta el trabajo</t>
        </is>
      </c>
      <c r="C1177" s="8" t="n"/>
      <c r="D1177" s="8" t="n"/>
      <c r="E1177" s="23" t="n"/>
      <c r="G1177" s="22" t="inlineStr">
        <is>
          <t>El enfoque está en la consideración del equipo de desarrollo sobre si la historia está lista para un Sprint</t>
        </is>
      </c>
      <c r="H1177" s="8" t="n"/>
      <c r="I1177" s="8" t="n"/>
      <c r="J1177" s="23" t="n"/>
      <c r="L1177" s="22" t="inlineStr">
        <is>
          <t>El enfoque está en la aceptación del cliente cuando se le entregue el producto</t>
        </is>
      </c>
      <c r="M1177" s="8" t="n"/>
      <c r="N1177" s="8" t="n"/>
      <c r="O1177" s="23" t="n"/>
    </row>
    <row r="1178">
      <c r="B1178" s="24" t="inlineStr">
        <is>
          <t>Historia de usuario</t>
        </is>
      </c>
      <c r="C1178" s="8" t="n"/>
      <c r="D1178" s="25" t="inlineStr">
        <is>
          <t>Prioridad</t>
        </is>
      </c>
      <c r="E1178" s="26" t="inlineStr">
        <is>
          <t>Estimación</t>
        </is>
      </c>
      <c r="G1178" s="24" t="inlineStr">
        <is>
          <t>Historia de usuario</t>
        </is>
      </c>
      <c r="H1178" s="8" t="n"/>
      <c r="I1178" s="25" t="inlineStr">
        <is>
          <t>Prioridad</t>
        </is>
      </c>
      <c r="J1178" s="26" t="inlineStr">
        <is>
          <t>Estimación</t>
        </is>
      </c>
      <c r="L1178" s="24" t="inlineStr">
        <is>
          <t>Historia de usuario</t>
        </is>
      </c>
      <c r="M1178" s="8" t="n"/>
      <c r="N1178" s="25" t="inlineStr">
        <is>
          <t>Prioridad</t>
        </is>
      </c>
      <c r="O1178" s="26" t="inlineStr">
        <is>
          <t>Estimación</t>
        </is>
      </c>
    </row>
    <row r="1179" ht="30" customHeight="1">
      <c r="B1179" s="27" t="inlineStr">
        <is>
          <t>HU-46 · Hacer conteo físico</t>
        </is>
      </c>
      <c r="C1179" s="8" t="n"/>
      <c r="D1179" s="9" t="inlineStr">
        <is>
          <t>Alta</t>
        </is>
      </c>
      <c r="E1179" s="28" t="inlineStr">
        <is>
          <t>5 pts</t>
        </is>
      </c>
      <c r="G1179" s="27" t="inlineStr">
        <is>
          <t>HU-46 · Hacer conteo físico</t>
        </is>
      </c>
      <c r="H1179" s="8" t="n"/>
      <c r="I1179" s="9" t="inlineStr">
        <is>
          <t>Alta</t>
        </is>
      </c>
      <c r="J1179" s="28" t="inlineStr">
        <is>
          <t>5 pts</t>
        </is>
      </c>
      <c r="L1179" s="27" t="inlineStr">
        <is>
          <t>HU-46 · Hacer conteo físico</t>
        </is>
      </c>
      <c r="M1179" s="8" t="n"/>
      <c r="N1179" s="9" t="inlineStr">
        <is>
          <t>Alta</t>
        </is>
      </c>
      <c r="O1179" s="28" t="inlineStr">
        <is>
          <t>5 pts</t>
        </is>
      </c>
    </row>
    <row r="1180">
      <c r="B1180" s="29" t="inlineStr">
        <is>
          <t>Descripción:</t>
        </is>
      </c>
      <c r="C1180" s="8" t="n"/>
      <c r="D1180" s="8" t="n"/>
      <c r="E1180" s="23" t="n"/>
      <c r="G1180" s="29" t="inlineStr">
        <is>
          <t>Descripción:</t>
        </is>
      </c>
      <c r="H1180" s="8" t="n"/>
      <c r="I1180" s="8" t="n"/>
      <c r="J1180" s="23" t="n"/>
      <c r="L1180" s="29" t="inlineStr">
        <is>
          <t>Descripción:</t>
        </is>
      </c>
      <c r="M1180" s="8" t="n"/>
      <c r="N1180" s="8" t="n"/>
      <c r="O1180" s="23" t="n"/>
    </row>
    <row r="1181" ht="28" customHeight="1">
      <c r="B1181" s="30" t="inlineStr">
        <is>
          <t>Como almacenero, quiero registrar el conteo físico y justificar cada diferencia, para cuadrar el saldo del sistema con el almacén.</t>
        </is>
      </c>
      <c r="C1181" s="8" t="n"/>
      <c r="D1181" s="8" t="n"/>
      <c r="E1181" s="23" t="n"/>
      <c r="G1181" s="30" t="inlineStr">
        <is>
          <t>Como almacenero, quiero registrar el conteo físico y justificar cada diferencia, para cuadrar el saldo del sistema con el almacén.</t>
        </is>
      </c>
      <c r="H1181" s="8" t="n"/>
      <c r="I1181" s="8" t="n"/>
      <c r="J1181" s="23" t="n"/>
      <c r="L1181" s="30" t="inlineStr">
        <is>
          <t>Como almacenero, quiero registrar el conteo físico y justificar cada diferencia, para cuadrar el saldo del sistema con el almacén.</t>
        </is>
      </c>
      <c r="M1181" s="8" t="n"/>
      <c r="N1181" s="8" t="n"/>
      <c r="O1181" s="23" t="n"/>
    </row>
    <row r="1182" ht="28" customHeight="1">
      <c r="B1182" s="31" t="n"/>
      <c r="C1182" s="8" t="n"/>
      <c r="D1182" s="8" t="n"/>
      <c r="E1182" s="23" t="n"/>
      <c r="G1182" s="31" t="n"/>
      <c r="H1182" s="8" t="n"/>
      <c r="I1182" s="8" t="n"/>
      <c r="J1182" s="23" t="n"/>
      <c r="L1182" s="31" t="n"/>
      <c r="M1182" s="8" t="n"/>
      <c r="N1182" s="8" t="n"/>
      <c r="O1182" s="23" t="n"/>
    </row>
    <row r="1183">
      <c r="B1183" s="29" t="inlineStr">
        <is>
          <t>Ficha de la historia</t>
        </is>
      </c>
      <c r="C1183" s="8" t="n"/>
      <c r="D1183" s="8" t="n"/>
      <c r="E1183" s="23" t="n"/>
      <c r="G1183" s="29" t="inlineStr">
        <is>
          <t>Criterios de listo:</t>
        </is>
      </c>
      <c r="H1183" s="8" t="n"/>
      <c r="I1183" s="8" t="n"/>
      <c r="J1183" s="23" t="n"/>
      <c r="L1183" s="29" t="inlineStr">
        <is>
          <t>Condiciones finales (se marcan cuando el PO acepta la HU en la Review):</t>
        </is>
      </c>
      <c r="M1183" s="8" t="n"/>
      <c r="N1183" s="8" t="n"/>
      <c r="O1183" s="23" t="n"/>
    </row>
    <row r="1184" ht="30" customHeight="1">
      <c r="B1184" s="32" t="inlineStr">
        <is>
          <t>Épica: E4. Controlar el movimiento de materiales en almacén</t>
        </is>
      </c>
      <c r="C1184" s="8" t="n"/>
      <c r="D1184" s="8" t="n"/>
      <c r="E1184" s="23" t="n"/>
      <c r="G1184" s="33" t="inlineStr">
        <is>
          <t>( x )</t>
        </is>
      </c>
      <c r="H1184" s="34" t="inlineStr">
        <is>
          <t>L1 · Redactada en el formato acordado — Cumple</t>
        </is>
      </c>
      <c r="I1184" s="8" t="n"/>
      <c r="J1184" s="23" t="n"/>
      <c r="L1184" s="35" t="inlineStr">
        <is>
          <t>(    )</t>
        </is>
      </c>
      <c r="M1184" s="34" t="inlineStr">
        <is>
          <t>El conteo físico se ha registrado por almacén y fecha</t>
        </is>
      </c>
      <c r="N1184" s="8" t="n"/>
      <c r="O1184" s="23" t="n"/>
    </row>
    <row r="1185" ht="30" customHeight="1">
      <c r="B1185" s="32" t="inlineStr">
        <is>
          <t>Módulo: Almacén / Kardex</t>
        </is>
      </c>
      <c r="C1185" s="8" t="n"/>
      <c r="D1185" s="8" t="n"/>
      <c r="E1185" s="23" t="n"/>
      <c r="G1185" s="33" t="inlineStr">
        <is>
          <t>( x )</t>
        </is>
      </c>
      <c r="H1185" s="34" t="inlineStr">
        <is>
          <t>L2 · Nombre corto en forma de acción — Cumple</t>
        </is>
      </c>
      <c r="I1185" s="8" t="n"/>
      <c r="J1185" s="23" t="n"/>
      <c r="L1185" s="35" t="inlineStr">
        <is>
          <t>(    )</t>
        </is>
      </c>
      <c r="M1185" s="34" t="inlineStr">
        <is>
          <t>Se ha mostrado saldo teórico, contado y diferencia por insumo</t>
        </is>
      </c>
      <c r="N1185" s="8" t="n"/>
      <c r="O1185" s="23" t="n"/>
    </row>
    <row r="1186" ht="30" customHeight="1">
      <c r="B1186" s="32" t="inlineStr">
        <is>
          <t>Responsable técnico: Android · Nicolás Pachamora</t>
        </is>
      </c>
      <c r="C1186" s="8" t="n"/>
      <c r="D1186" s="8" t="n"/>
      <c r="E1186" s="23" t="n"/>
      <c r="G1186" s="33" t="inlineStr">
        <is>
          <t>( x )</t>
        </is>
      </c>
      <c r="H1186" s="34" t="inlineStr">
        <is>
          <t>L3 · Criterios de aceptación escritos — Cumple</t>
        </is>
      </c>
      <c r="I1186" s="8" t="n"/>
      <c r="J1186" s="23" t="n"/>
      <c r="L1186" s="35" t="inlineStr">
        <is>
          <t>(    )</t>
        </is>
      </c>
      <c r="M1186" s="34" t="inlineStr">
        <is>
          <t>Una diferencia sin motivo no se ha podido confirmar</t>
        </is>
      </c>
      <c r="N1186" s="8" t="n"/>
      <c r="O1186" s="23" t="n"/>
    </row>
    <row r="1187" ht="30" customHeight="1">
      <c r="B1187" s="36" t="inlineStr">
        <is>
          <t>Depende de: HU-43</t>
        </is>
      </c>
      <c r="C1187" s="37" t="n"/>
      <c r="D1187" s="37" t="n"/>
      <c r="E1187" s="38" t="n"/>
      <c r="G1187" s="33" t="inlineStr">
        <is>
          <t>( x )</t>
        </is>
      </c>
      <c r="H1187" s="34" t="inlineStr">
        <is>
          <t>L4 · Dependencias resueltas — Cumple</t>
        </is>
      </c>
      <c r="I1187" s="8" t="n"/>
      <c r="J1187" s="23" t="n"/>
      <c r="L1187" s="35" t="inlineStr">
        <is>
          <t>(    )</t>
        </is>
      </c>
      <c r="M1187" s="34" t="inlineStr">
        <is>
          <t>Al confirmar, se ha generado un ajuste valorizado por cada diferencia</t>
        </is>
      </c>
      <c r="N1187" s="8" t="n"/>
      <c r="O1187" s="23" t="n"/>
    </row>
    <row r="1188" ht="36" customHeight="1">
      <c r="G1188" s="33" t="inlineStr">
        <is>
          <t>( x )</t>
        </is>
      </c>
      <c r="H1188" s="34" t="inlineStr">
        <is>
          <t>L5 · Estimada por los Developers — Cumple</t>
        </is>
      </c>
      <c r="I1188" s="8" t="n"/>
      <c r="J1188" s="23" t="n"/>
      <c r="L1188" s="36" t="inlineStr">
        <is>
          <t>Mitad técnica: Además, los diez criterios T1 a T10 de la hoja «3. Criterios DoR y DoD», sin excepción</t>
        </is>
      </c>
      <c r="M1188" s="37" t="n"/>
      <c r="N1188" s="37" t="n"/>
      <c r="O1188" s="38" t="n"/>
    </row>
    <row r="1189" ht="30" customHeight="1">
      <c r="G1189" s="33" t="inlineStr">
        <is>
          <t>( x )</t>
        </is>
      </c>
      <c r="H1189" s="34" t="inlineStr">
        <is>
          <t>L6 · Cabe en un sprint (8 puntos o menos) — Cumple</t>
        </is>
      </c>
      <c r="I1189" s="8" t="n"/>
      <c r="J1189" s="23" t="n"/>
    </row>
    <row r="1190" ht="30" customHeight="1">
      <c r="G1190" s="33" t="inlineStr">
        <is>
          <t>( x )</t>
        </is>
      </c>
      <c r="H1190" s="34" t="inlineStr">
        <is>
          <t>L7 · Reglas de dominio identificadas — Cumple</t>
        </is>
      </c>
      <c r="I1190" s="8" t="n"/>
      <c r="J1190" s="23" t="n"/>
    </row>
    <row r="1191" ht="30" customHeight="1">
      <c r="G1191" s="33" t="inlineStr">
        <is>
          <t>( x )</t>
        </is>
      </c>
      <c r="H1191" s="34" t="inlineStr">
        <is>
          <t>L8 · Datos de prueba disponibles — Cumple</t>
        </is>
      </c>
      <c r="I1191" s="8" t="n"/>
      <c r="J1191" s="23" t="n"/>
    </row>
    <row r="1192" ht="30" customHeight="1">
      <c r="G1192" s="33" t="inlineStr">
        <is>
          <t>( x )</t>
        </is>
      </c>
      <c r="H1192" s="34" t="inlineStr">
        <is>
          <t>L9 · Responsable técnico asignado — Cumple</t>
        </is>
      </c>
      <c r="I1192" s="8" t="n"/>
      <c r="J1192" s="23" t="n"/>
    </row>
    <row r="1193" ht="30" customHeight="1">
      <c r="G1193" s="33" t="inlineStr">
        <is>
          <t>( x )</t>
        </is>
      </c>
      <c r="H1193" s="34" t="inlineStr">
        <is>
          <t>L10 · Recursos identificados — Cumple: Nicolás Pachamora + equipo de desarrollo y datos de prueba</t>
        </is>
      </c>
      <c r="I1193" s="8" t="n"/>
      <c r="J1193" s="23" t="n"/>
    </row>
    <row r="1194" ht="30" customHeight="1">
      <c r="G1194" s="33" t="inlineStr">
        <is>
          <t>( x )</t>
        </is>
      </c>
      <c r="H1194" s="34" t="inlineStr">
        <is>
          <t>L11 · Requisitos técnicos de programación definidos — Cumple: Kotlin, Jetpack Compose, Room y WorkManager</t>
        </is>
      </c>
      <c r="I1194" s="8" t="n"/>
      <c r="J1194" s="23" t="n"/>
    </row>
    <row r="1195" ht="30" customHeight="1">
      <c r="G1195" s="33" t="inlineStr">
        <is>
          <t>( x )</t>
        </is>
      </c>
      <c r="H1195" s="34" t="inlineStr">
        <is>
          <t>L12 · Accesos de red disponibles — Cumple: GitHub (repositorio privado), API y PostgreSQL en docker compose, red móvil o wifi para sincronizar (y modo avión para la prueba)</t>
        </is>
      </c>
      <c r="I1195" s="8" t="n"/>
      <c r="J1195" s="23" t="n"/>
    </row>
    <row r="1196" ht="36" customHeight="1">
      <c r="G1196" s="39" t="inlineStr">
        <is>
          <t>Riesgos: Ajustes sin justificar · toda diferencia exige motivo antes de confirmar</t>
        </is>
      </c>
      <c r="H1196" s="8" t="n"/>
      <c r="I1196" s="8" t="n"/>
      <c r="J1196" s="23" t="n"/>
    </row>
    <row r="1197" ht="36" customHeight="1">
      <c r="G1197" s="32" t="inlineStr">
        <is>
          <t>Proveedores de servicio: Teléfono Android de prueba · servidor de la API en la nube</t>
        </is>
      </c>
      <c r="H1197" s="8" t="n"/>
      <c r="I1197" s="8" t="n"/>
      <c r="J1197" s="23" t="n"/>
    </row>
    <row r="1198" ht="36" customHeight="1">
      <c r="G1198" s="36" t="inlineStr">
        <is>
          <t>Costos: 5 pts ≈ 10 horas-persona (1 punto ≈ 2 h) · servicios externos: S/ 0 (planes gratuitos)</t>
        </is>
      </c>
      <c r="H1198" s="37" t="n"/>
      <c r="I1198" s="37" t="n"/>
      <c r="J1198" s="38" t="n"/>
    </row>
    <row r="1201">
      <c r="B1201" s="18" t="inlineStr">
        <is>
          <t>HU-47 · Cerrar obra</t>
        </is>
      </c>
    </row>
    <row r="1202" ht="18" customHeight="1">
      <c r="B1202" s="19" t="inlineStr">
        <is>
          <t>TARJETA 1 · Historia de usuario</t>
        </is>
      </c>
      <c r="C1202" s="20" t="n"/>
      <c r="D1202" s="20" t="n"/>
      <c r="E1202" s="21" t="n"/>
      <c r="G1202" s="19" t="inlineStr">
        <is>
          <t>TARJETA 2 · Definición de Listo</t>
        </is>
      </c>
      <c r="H1202" s="20" t="n"/>
      <c r="I1202" s="20" t="n"/>
      <c r="J1202" s="21" t="n"/>
      <c r="L1202" s="19" t="inlineStr">
        <is>
          <t>TARJETA 3 · Definición de Terminado</t>
        </is>
      </c>
      <c r="M1202" s="20" t="n"/>
      <c r="N1202" s="20" t="n"/>
      <c r="O1202" s="21" t="n"/>
    </row>
    <row r="1203" ht="28" customHeight="1">
      <c r="B1203" s="22" t="inlineStr">
        <is>
          <t>La unidad con la que se planifica, se estima y se acepta el trabajo</t>
        </is>
      </c>
      <c r="C1203" s="8" t="n"/>
      <c r="D1203" s="8" t="n"/>
      <c r="E1203" s="23" t="n"/>
      <c r="G1203" s="22" t="inlineStr">
        <is>
          <t>El enfoque está en la consideración del equipo de desarrollo sobre si la historia está lista para un Sprint</t>
        </is>
      </c>
      <c r="H1203" s="8" t="n"/>
      <c r="I1203" s="8" t="n"/>
      <c r="J1203" s="23" t="n"/>
      <c r="L1203" s="22" t="inlineStr">
        <is>
          <t>El enfoque está en la aceptación del cliente cuando se le entregue el producto</t>
        </is>
      </c>
      <c r="M1203" s="8" t="n"/>
      <c r="N1203" s="8" t="n"/>
      <c r="O1203" s="23" t="n"/>
    </row>
    <row r="1204">
      <c r="B1204" s="24" t="inlineStr">
        <is>
          <t>Historia de usuario</t>
        </is>
      </c>
      <c r="C1204" s="8" t="n"/>
      <c r="D1204" s="25" t="inlineStr">
        <is>
          <t>Prioridad</t>
        </is>
      </c>
      <c r="E1204" s="26" t="inlineStr">
        <is>
          <t>Estimación</t>
        </is>
      </c>
      <c r="G1204" s="24" t="inlineStr">
        <is>
          <t>Historia de usuario</t>
        </is>
      </c>
      <c r="H1204" s="8" t="n"/>
      <c r="I1204" s="25" t="inlineStr">
        <is>
          <t>Prioridad</t>
        </is>
      </c>
      <c r="J1204" s="26" t="inlineStr">
        <is>
          <t>Estimación</t>
        </is>
      </c>
      <c r="L1204" s="24" t="inlineStr">
        <is>
          <t>Historia de usuario</t>
        </is>
      </c>
      <c r="M1204" s="8" t="n"/>
      <c r="N1204" s="25" t="inlineStr">
        <is>
          <t>Prioridad</t>
        </is>
      </c>
      <c r="O1204" s="26" t="inlineStr">
        <is>
          <t>Estimación</t>
        </is>
      </c>
    </row>
    <row r="1205" ht="30" customHeight="1">
      <c r="B1205" s="27" t="inlineStr">
        <is>
          <t>HU-47 · Cerrar obra</t>
        </is>
      </c>
      <c r="C1205" s="8" t="n"/>
      <c r="D1205" s="9" t="inlineStr">
        <is>
          <t>Alta</t>
        </is>
      </c>
      <c r="E1205" s="28" t="inlineStr">
        <is>
          <t>5 pts</t>
        </is>
      </c>
      <c r="G1205" s="27" t="inlineStr">
        <is>
          <t>HU-47 · Cerrar obra</t>
        </is>
      </c>
      <c r="H1205" s="8" t="n"/>
      <c r="I1205" s="9" t="inlineStr">
        <is>
          <t>Alta</t>
        </is>
      </c>
      <c r="J1205" s="28" t="inlineStr">
        <is>
          <t>5 pts</t>
        </is>
      </c>
      <c r="L1205" s="27" t="inlineStr">
        <is>
          <t>HU-47 · Cerrar obra</t>
        </is>
      </c>
      <c r="M1205" s="8" t="n"/>
      <c r="N1205" s="9" t="inlineStr">
        <is>
          <t>Alta</t>
        </is>
      </c>
      <c r="O1205" s="28" t="inlineStr">
        <is>
          <t>5 pts</t>
        </is>
      </c>
    </row>
    <row r="1206">
      <c r="B1206" s="29" t="inlineStr">
        <is>
          <t>Descripción:</t>
        </is>
      </c>
      <c r="C1206" s="8" t="n"/>
      <c r="D1206" s="8" t="n"/>
      <c r="E1206" s="23" t="n"/>
      <c r="G1206" s="29" t="inlineStr">
        <is>
          <t>Descripción:</t>
        </is>
      </c>
      <c r="H1206" s="8" t="n"/>
      <c r="I1206" s="8" t="n"/>
      <c r="J1206" s="23" t="n"/>
      <c r="L1206" s="29" t="inlineStr">
        <is>
          <t>Descripción:</t>
        </is>
      </c>
      <c r="M1206" s="8" t="n"/>
      <c r="N1206" s="8" t="n"/>
      <c r="O1206" s="23" t="n"/>
    </row>
    <row r="1207" ht="28" customHeight="1">
      <c r="B1207" s="30" t="inlineStr">
        <is>
          <t>Como almacenero, quiero registrar el inventario final de la obra y transferir el saldo al almacén central, para que el material sobrante quede disponible para la siguiente obra.</t>
        </is>
      </c>
      <c r="C1207" s="8" t="n"/>
      <c r="D1207" s="8" t="n"/>
      <c r="E1207" s="23" t="n"/>
      <c r="G1207" s="30" t="inlineStr">
        <is>
          <t>Como almacenero, quiero registrar el inventario final de la obra y transferir el saldo al almacén central, para que el material sobrante quede disponible para la siguiente obra.</t>
        </is>
      </c>
      <c r="H1207" s="8" t="n"/>
      <c r="I1207" s="8" t="n"/>
      <c r="J1207" s="23" t="n"/>
      <c r="L1207" s="30" t="inlineStr">
        <is>
          <t>Como almacenero, quiero registrar el inventario final de la obra y transferir el saldo al almacén central, para que el material sobrante quede disponible para la siguiente obra.</t>
        </is>
      </c>
      <c r="M1207" s="8" t="n"/>
      <c r="N1207" s="8" t="n"/>
      <c r="O1207" s="23" t="n"/>
    </row>
    <row r="1208" ht="28" customHeight="1">
      <c r="B1208" s="31" t="n"/>
      <c r="C1208" s="8" t="n"/>
      <c r="D1208" s="8" t="n"/>
      <c r="E1208" s="23" t="n"/>
      <c r="G1208" s="31" t="n"/>
      <c r="H1208" s="8" t="n"/>
      <c r="I1208" s="8" t="n"/>
      <c r="J1208" s="23" t="n"/>
      <c r="L1208" s="31" t="n"/>
      <c r="M1208" s="8" t="n"/>
      <c r="N1208" s="8" t="n"/>
      <c r="O1208" s="23" t="n"/>
    </row>
    <row r="1209">
      <c r="B1209" s="29" t="inlineStr">
        <is>
          <t>Ficha de la historia</t>
        </is>
      </c>
      <c r="C1209" s="8" t="n"/>
      <c r="D1209" s="8" t="n"/>
      <c r="E1209" s="23" t="n"/>
      <c r="G1209" s="29" t="inlineStr">
        <is>
          <t>Criterios de listo:</t>
        </is>
      </c>
      <c r="H1209" s="8" t="n"/>
      <c r="I1209" s="8" t="n"/>
      <c r="J1209" s="23" t="n"/>
      <c r="L1209" s="29" t="inlineStr">
        <is>
          <t>Condiciones finales (se marcan cuando el PO acepta la HU en la Review):</t>
        </is>
      </c>
      <c r="M1209" s="8" t="n"/>
      <c r="N1209" s="8" t="n"/>
      <c r="O1209" s="23" t="n"/>
    </row>
    <row r="1210" ht="30" customHeight="1">
      <c r="B1210" s="32" t="inlineStr">
        <is>
          <t>Épica: E4. Controlar el movimiento de materiales en almacén</t>
        </is>
      </c>
      <c r="C1210" s="8" t="n"/>
      <c r="D1210" s="8" t="n"/>
      <c r="E1210" s="23" t="n"/>
      <c r="G1210" s="33" t="inlineStr">
        <is>
          <t>( x )</t>
        </is>
      </c>
      <c r="H1210" s="34" t="inlineStr">
        <is>
          <t>L1 · Redactada en el formato acordado — Cumple</t>
        </is>
      </c>
      <c r="I1210" s="8" t="n"/>
      <c r="J1210" s="23" t="n"/>
      <c r="L1210" s="35" t="inlineStr">
        <is>
          <t>(    )</t>
        </is>
      </c>
      <c r="M1210" s="34" t="inlineStr">
        <is>
          <t>El saldo final de la obra se ha listado con su costo promedio</t>
        </is>
      </c>
      <c r="N1210" s="8" t="n"/>
      <c r="O1210" s="23" t="n"/>
    </row>
    <row r="1211" ht="30" customHeight="1">
      <c r="B1211" s="32" t="inlineStr">
        <is>
          <t>Módulo: Almacén / Kardex</t>
        </is>
      </c>
      <c r="C1211" s="8" t="n"/>
      <c r="D1211" s="8" t="n"/>
      <c r="E1211" s="23" t="n"/>
      <c r="G1211" s="33" t="inlineStr">
        <is>
          <t>( x )</t>
        </is>
      </c>
      <c r="H1211" s="34" t="inlineStr">
        <is>
          <t>L2 · Nombre corto en forma de acción — Cumple</t>
        </is>
      </c>
      <c r="I1211" s="8" t="n"/>
      <c r="J1211" s="23" t="n"/>
      <c r="L1211" s="35" t="inlineStr">
        <is>
          <t>(    )</t>
        </is>
      </c>
      <c r="M1211" s="34" t="inlineStr">
        <is>
          <t>El conteo de ese saldo se ha confirmado antes de cerrar; con saldos sin confirmar, el cierre se ha rechazado</t>
        </is>
      </c>
      <c r="N1211" s="8" t="n"/>
      <c r="O1211" s="23" t="n"/>
    </row>
    <row r="1212" ht="30" customHeight="1">
      <c r="B1212" s="32" t="inlineStr">
        <is>
          <t>Responsable técnico: Backend · Henry Ticona</t>
        </is>
      </c>
      <c r="C1212" s="8" t="n"/>
      <c r="D1212" s="8" t="n"/>
      <c r="E1212" s="23" t="n"/>
      <c r="G1212" s="33" t="inlineStr">
        <is>
          <t>( x )</t>
        </is>
      </c>
      <c r="H1212" s="34" t="inlineStr">
        <is>
          <t>L3 · Criterios de aceptación escritos — Cumple</t>
        </is>
      </c>
      <c r="I1212" s="8" t="n"/>
      <c r="J1212" s="23" t="n"/>
      <c r="L1212" s="35" t="inlineStr">
        <is>
          <t>(    )</t>
        </is>
      </c>
      <c r="M1212" s="34" t="inlineStr">
        <is>
          <t>El saldo se ha trasladado al almacén central con su costo</t>
        </is>
      </c>
      <c r="N1212" s="8" t="n"/>
      <c r="O1212" s="23" t="n"/>
    </row>
    <row r="1213" ht="30" customHeight="1">
      <c r="B1213" s="36" t="inlineStr">
        <is>
          <t>Depende de: HU-46, HU-42</t>
        </is>
      </c>
      <c r="C1213" s="37" t="n"/>
      <c r="D1213" s="37" t="n"/>
      <c r="E1213" s="38" t="n"/>
      <c r="G1213" s="33" t="inlineStr">
        <is>
          <t>( x )</t>
        </is>
      </c>
      <c r="H1213" s="34" t="inlineStr">
        <is>
          <t>L4 · Dependencias resueltas — Cumple</t>
        </is>
      </c>
      <c r="I1213" s="8" t="n"/>
      <c r="J1213" s="23" t="n"/>
      <c r="L1213" s="35" t="inlineStr">
        <is>
          <t>(    )</t>
        </is>
      </c>
      <c r="M1213" s="34" t="inlineStr">
        <is>
          <t>Se ha generado el acta con lo comprado, lo consumido y lo transferido</t>
        </is>
      </c>
      <c r="N1213" s="8" t="n"/>
      <c r="O1213" s="23" t="n"/>
    </row>
    <row r="1214" ht="36" customHeight="1">
      <c r="G1214" s="33" t="inlineStr">
        <is>
          <t>( x )</t>
        </is>
      </c>
      <c r="H1214" s="34" t="inlineStr">
        <is>
          <t>L5 · Estimada por los Developers — Cumple</t>
        </is>
      </c>
      <c r="I1214" s="8" t="n"/>
      <c r="J1214" s="23" t="n"/>
      <c r="L1214" s="36" t="inlineStr">
        <is>
          <t>Mitad técnica: Además, los diez criterios T1 a T10 de la hoja «3. Criterios DoR y DoD», sin excepción</t>
        </is>
      </c>
      <c r="M1214" s="37" t="n"/>
      <c r="N1214" s="37" t="n"/>
      <c r="O1214" s="38" t="n"/>
    </row>
    <row r="1215" ht="30" customHeight="1">
      <c r="G1215" s="33" t="inlineStr">
        <is>
          <t>( x )</t>
        </is>
      </c>
      <c r="H1215" s="34" t="inlineStr">
        <is>
          <t>L6 · Cabe en un sprint (8 puntos o menos) — Cumple</t>
        </is>
      </c>
      <c r="I1215" s="8" t="n"/>
      <c r="J1215" s="23" t="n"/>
    </row>
    <row r="1216" ht="30" customHeight="1">
      <c r="G1216" s="33" t="inlineStr">
        <is>
          <t>( x )</t>
        </is>
      </c>
      <c r="H1216" s="34" t="inlineStr">
        <is>
          <t>L7 · Reglas de dominio identificadas — Cumple</t>
        </is>
      </c>
      <c r="I1216" s="8" t="n"/>
      <c r="J1216" s="23" t="n"/>
    </row>
    <row r="1217" ht="30" customHeight="1">
      <c r="G1217" s="33" t="inlineStr">
        <is>
          <t>( x )</t>
        </is>
      </c>
      <c r="H1217" s="34" t="inlineStr">
        <is>
          <t>L8 · Datos de prueba disponibles — Cumple</t>
        </is>
      </c>
      <c r="I1217" s="8" t="n"/>
      <c r="J1217" s="23" t="n"/>
    </row>
    <row r="1218" ht="30" customHeight="1">
      <c r="G1218" s="33" t="inlineStr">
        <is>
          <t>( x )</t>
        </is>
      </c>
      <c r="H1218" s="34" t="inlineStr">
        <is>
          <t>L9 · Responsable técnico asignado — Cumple</t>
        </is>
      </c>
      <c r="I1218" s="8" t="n"/>
      <c r="J1218" s="23" t="n"/>
    </row>
    <row r="1219" ht="30" customHeight="1">
      <c r="G1219" s="33" t="inlineStr">
        <is>
          <t>( x )</t>
        </is>
      </c>
      <c r="H1219" s="34" t="inlineStr">
        <is>
          <t>L10 · Recursos identificados — Cumple: Henry Ticona + equipo de desarrollo y datos de prueba</t>
        </is>
      </c>
      <c r="I1219" s="8" t="n"/>
      <c r="J1219" s="23" t="n"/>
    </row>
    <row r="1220" ht="30" customHeight="1">
      <c r="G1220" s="33" t="inlineStr">
        <is>
          <t>( x )</t>
        </is>
      </c>
      <c r="H1220" s="34" t="inlineStr">
        <is>
          <t>L11 · Requisitos técnicos de programación definidos — Cumple: FastAPI, SQLAlchemy 2, Alembic y PostgreSQL 16</t>
        </is>
      </c>
      <c r="I1220" s="8" t="n"/>
      <c r="J1220" s="23" t="n"/>
    </row>
    <row r="1221" ht="30" customHeight="1">
      <c r="G1221" s="33" t="inlineStr">
        <is>
          <t>( x )</t>
        </is>
      </c>
      <c r="H1221" s="34" t="inlineStr">
        <is>
          <t>L12 · Accesos de red disponibles — Cumple: GitHub (repositorio privado), API y PostgreSQL en docker compose</t>
        </is>
      </c>
      <c r="I1221" s="8" t="n"/>
      <c r="J1221" s="23" t="n"/>
    </row>
    <row r="1222" ht="36" customHeight="1">
      <c r="G1222" s="39" t="inlineStr">
        <is>
          <t>Riesgos: Cerrar con saldo sin contar · se confirma el conteo físico antes del cierre</t>
        </is>
      </c>
      <c r="H1222" s="8" t="n"/>
      <c r="I1222" s="8" t="n"/>
      <c r="J1222" s="23" t="n"/>
    </row>
    <row r="1223" ht="36" customHeight="1">
      <c r="G1223" s="32" t="inlineStr">
        <is>
          <t>Proveedores de servicio: PostgreSQL gestionado en la nube (capa gratuita) · GitHub</t>
        </is>
      </c>
      <c r="H1223" s="8" t="n"/>
      <c r="I1223" s="8" t="n"/>
      <c r="J1223" s="23" t="n"/>
    </row>
    <row r="1224" ht="36" customHeight="1">
      <c r="G1224" s="36" t="inlineStr">
        <is>
          <t>Costos: 5 pts ≈ 10 horas-persona (1 punto ≈ 2 h) · servicios externos: S/ 0 (planes gratuitos)</t>
        </is>
      </c>
      <c r="H1224" s="37" t="n"/>
      <c r="I1224" s="37" t="n"/>
      <c r="J1224" s="38" t="n"/>
    </row>
    <row r="1227">
      <c r="B1227" s="18" t="inlineStr">
        <is>
          <t>HU-48 · Ingresar herramientas</t>
        </is>
      </c>
    </row>
    <row r="1228" ht="18" customHeight="1">
      <c r="B1228" s="19" t="inlineStr">
        <is>
          <t>TARJETA 1 · Historia de usuario</t>
        </is>
      </c>
      <c r="C1228" s="20" t="n"/>
      <c r="D1228" s="20" t="n"/>
      <c r="E1228" s="21" t="n"/>
      <c r="G1228" s="19" t="inlineStr">
        <is>
          <t>TARJETA 2 · Definición de Listo</t>
        </is>
      </c>
      <c r="H1228" s="20" t="n"/>
      <c r="I1228" s="20" t="n"/>
      <c r="J1228" s="21" t="n"/>
      <c r="L1228" s="19" t="inlineStr">
        <is>
          <t>TARJETA 3 · Definición de Terminado</t>
        </is>
      </c>
      <c r="M1228" s="20" t="n"/>
      <c r="N1228" s="20" t="n"/>
      <c r="O1228" s="21" t="n"/>
    </row>
    <row r="1229" ht="28" customHeight="1">
      <c r="B1229" s="22" t="inlineStr">
        <is>
          <t>La unidad con la que se planifica, se estima y se acepta el trabajo</t>
        </is>
      </c>
      <c r="C1229" s="8" t="n"/>
      <c r="D1229" s="8" t="n"/>
      <c r="E1229" s="23" t="n"/>
      <c r="G1229" s="22" t="inlineStr">
        <is>
          <t>El enfoque está en la consideración del equipo de desarrollo sobre si la historia está lista para un Sprint</t>
        </is>
      </c>
      <c r="H1229" s="8" t="n"/>
      <c r="I1229" s="8" t="n"/>
      <c r="J1229" s="23" t="n"/>
      <c r="L1229" s="22" t="inlineStr">
        <is>
          <t>El enfoque está en la aceptación del cliente cuando se le entregue el producto</t>
        </is>
      </c>
      <c r="M1229" s="8" t="n"/>
      <c r="N1229" s="8" t="n"/>
      <c r="O1229" s="23" t="n"/>
    </row>
    <row r="1230">
      <c r="B1230" s="24" t="inlineStr">
        <is>
          <t>Historia de usuario</t>
        </is>
      </c>
      <c r="C1230" s="8" t="n"/>
      <c r="D1230" s="25" t="inlineStr">
        <is>
          <t>Prioridad</t>
        </is>
      </c>
      <c r="E1230" s="26" t="inlineStr">
        <is>
          <t>Estimación</t>
        </is>
      </c>
      <c r="G1230" s="24" t="inlineStr">
        <is>
          <t>Historia de usuario</t>
        </is>
      </c>
      <c r="H1230" s="8" t="n"/>
      <c r="I1230" s="25" t="inlineStr">
        <is>
          <t>Prioridad</t>
        </is>
      </c>
      <c r="J1230" s="26" t="inlineStr">
        <is>
          <t>Estimación</t>
        </is>
      </c>
      <c r="L1230" s="24" t="inlineStr">
        <is>
          <t>Historia de usuario</t>
        </is>
      </c>
      <c r="M1230" s="8" t="n"/>
      <c r="N1230" s="25" t="inlineStr">
        <is>
          <t>Prioridad</t>
        </is>
      </c>
      <c r="O1230" s="26" t="inlineStr">
        <is>
          <t>Estimación</t>
        </is>
      </c>
    </row>
    <row r="1231" ht="30" customHeight="1">
      <c r="B1231" s="27" t="inlineStr">
        <is>
          <t>HU-48 · Ingresar herramientas</t>
        </is>
      </c>
      <c r="C1231" s="8" t="n"/>
      <c r="D1231" s="9" t="inlineStr">
        <is>
          <t>Alta</t>
        </is>
      </c>
      <c r="E1231" s="28" t="inlineStr">
        <is>
          <t>5 pts</t>
        </is>
      </c>
      <c r="G1231" s="27" t="inlineStr">
        <is>
          <t>HU-48 · Ingresar herramientas</t>
        </is>
      </c>
      <c r="H1231" s="8" t="n"/>
      <c r="I1231" s="9" t="inlineStr">
        <is>
          <t>Alta</t>
        </is>
      </c>
      <c r="J1231" s="28" t="inlineStr">
        <is>
          <t>5 pts</t>
        </is>
      </c>
      <c r="L1231" s="27" t="inlineStr">
        <is>
          <t>HU-48 · Ingresar herramientas</t>
        </is>
      </c>
      <c r="M1231" s="8" t="n"/>
      <c r="N1231" s="9" t="inlineStr">
        <is>
          <t>Alta</t>
        </is>
      </c>
      <c r="O1231" s="28" t="inlineStr">
        <is>
          <t>5 pts</t>
        </is>
      </c>
    </row>
    <row r="1232">
      <c r="B1232" s="29" t="inlineStr">
        <is>
          <t>Descripción:</t>
        </is>
      </c>
      <c r="C1232" s="8" t="n"/>
      <c r="D1232" s="8" t="n"/>
      <c r="E1232" s="23" t="n"/>
      <c r="G1232" s="29" t="inlineStr">
        <is>
          <t>Descripción:</t>
        </is>
      </c>
      <c r="H1232" s="8" t="n"/>
      <c r="I1232" s="8" t="n"/>
      <c r="J1232" s="23" t="n"/>
      <c r="L1232" s="29" t="inlineStr">
        <is>
          <t>Descripción:</t>
        </is>
      </c>
      <c r="M1232" s="8" t="n"/>
      <c r="N1232" s="8" t="n"/>
      <c r="O1232" s="23" t="n"/>
    </row>
    <row r="1233" ht="28" customHeight="1">
      <c r="B1233" s="30" t="inlineStr">
        <is>
          <t>Como almacenero, quiero registrar las herramientas y equipos que entran a obra con su estado inicial, para saber con qué se cuenta y en qué condición llegó.</t>
        </is>
      </c>
      <c r="C1233" s="8" t="n"/>
      <c r="D1233" s="8" t="n"/>
      <c r="E1233" s="23" t="n"/>
      <c r="G1233" s="30" t="inlineStr">
        <is>
          <t>Como almacenero, quiero registrar las herramientas y equipos que entran a obra con su estado inicial, para saber con qué se cuenta y en qué condición llegó.</t>
        </is>
      </c>
      <c r="H1233" s="8" t="n"/>
      <c r="I1233" s="8" t="n"/>
      <c r="J1233" s="23" t="n"/>
      <c r="L1233" s="30" t="inlineStr">
        <is>
          <t>Como almacenero, quiero registrar las herramientas y equipos que entran a obra con su estado inicial, para saber con qué se cuenta y en qué condición llegó.</t>
        </is>
      </c>
      <c r="M1233" s="8" t="n"/>
      <c r="N1233" s="8" t="n"/>
      <c r="O1233" s="23" t="n"/>
    </row>
    <row r="1234" ht="28" customHeight="1">
      <c r="B1234" s="31" t="n"/>
      <c r="C1234" s="8" t="n"/>
      <c r="D1234" s="8" t="n"/>
      <c r="E1234" s="23" t="n"/>
      <c r="G1234" s="31" t="n"/>
      <c r="H1234" s="8" t="n"/>
      <c r="I1234" s="8" t="n"/>
      <c r="J1234" s="23" t="n"/>
      <c r="L1234" s="31" t="n"/>
      <c r="M1234" s="8" t="n"/>
      <c r="N1234" s="8" t="n"/>
      <c r="O1234" s="23" t="n"/>
    </row>
    <row r="1235">
      <c r="B1235" s="29" t="inlineStr">
        <is>
          <t>Ficha de la historia</t>
        </is>
      </c>
      <c r="C1235" s="8" t="n"/>
      <c r="D1235" s="8" t="n"/>
      <c r="E1235" s="23" t="n"/>
      <c r="G1235" s="29" t="inlineStr">
        <is>
          <t>Criterios de listo:</t>
        </is>
      </c>
      <c r="H1235" s="8" t="n"/>
      <c r="I1235" s="8" t="n"/>
      <c r="J1235" s="23" t="n"/>
      <c r="L1235" s="29" t="inlineStr">
        <is>
          <t>Condiciones finales (se marcan cuando el PO acepta la HU en la Review):</t>
        </is>
      </c>
      <c r="M1235" s="8" t="n"/>
      <c r="N1235" s="8" t="n"/>
      <c r="O1235" s="23" t="n"/>
    </row>
    <row r="1236" ht="30" customHeight="1">
      <c r="B1236" s="32" t="inlineStr">
        <is>
          <t>Épica: E5. Controlar las existencias de herramientas y equipos</t>
        </is>
      </c>
      <c r="C1236" s="8" t="n"/>
      <c r="D1236" s="8" t="n"/>
      <c r="E1236" s="23" t="n"/>
      <c r="G1236" s="33" t="inlineStr">
        <is>
          <t>( x )</t>
        </is>
      </c>
      <c r="H1236" s="34" t="inlineStr">
        <is>
          <t>L1 · Redactada en el formato acordado — Cumple</t>
        </is>
      </c>
      <c r="I1236" s="8" t="n"/>
      <c r="J1236" s="23" t="n"/>
      <c r="L1236" s="35" t="inlineStr">
        <is>
          <t>(    )</t>
        </is>
      </c>
      <c r="M1236" s="34" t="inlineStr">
        <is>
          <t>Cada herramienta se ha registrado individualmente con descripción, código y estado de ingreso</t>
        </is>
      </c>
      <c r="N1236" s="8" t="n"/>
      <c r="O1236" s="23" t="n"/>
    </row>
    <row r="1237" ht="30" customHeight="1">
      <c r="B1237" s="32" t="inlineStr">
        <is>
          <t>Módulo: Herramientas / Equipos</t>
        </is>
      </c>
      <c r="C1237" s="8" t="n"/>
      <c r="D1237" s="8" t="n"/>
      <c r="E1237" s="23" t="n"/>
      <c r="G1237" s="33" t="inlineStr">
        <is>
          <t>( x )</t>
        </is>
      </c>
      <c r="H1237" s="34" t="inlineStr">
        <is>
          <t>L2 · Nombre corto en forma de acción — Cumple</t>
        </is>
      </c>
      <c r="I1237" s="8" t="n"/>
      <c r="J1237" s="23" t="n"/>
      <c r="L1237" s="35" t="inlineStr">
        <is>
          <t>(    )</t>
        </is>
      </c>
      <c r="M1237" s="34" t="inlineStr">
        <is>
          <t>El estado se ha elegido de la lista (nueva, buena, regular, deteriorada)</t>
        </is>
      </c>
      <c r="N1237" s="8" t="n"/>
      <c r="O1237" s="23" t="n"/>
    </row>
    <row r="1238" ht="30" customHeight="1">
      <c r="B1238" s="32" t="inlineStr">
        <is>
          <t>Responsable técnico: Android · Nicolás Pachamora</t>
        </is>
      </c>
      <c r="C1238" s="8" t="n"/>
      <c r="D1238" s="8" t="n"/>
      <c r="E1238" s="23" t="n"/>
      <c r="G1238" s="33" t="inlineStr">
        <is>
          <t>( x )</t>
        </is>
      </c>
      <c r="H1238" s="34" t="inlineStr">
        <is>
          <t>L3 · Criterios de aceptación escritos — Cumple</t>
        </is>
      </c>
      <c r="I1238" s="8" t="n"/>
      <c r="J1238" s="23" t="n"/>
      <c r="L1238" s="35" t="inlineStr">
        <is>
          <t>(    )</t>
        </is>
      </c>
      <c r="M1238" s="34" t="inlineStr">
        <is>
          <t>Se han adjuntado fotos del estado declarado</t>
        </is>
      </c>
      <c r="N1238" s="8" t="n"/>
      <c r="O1238" s="23" t="n"/>
    </row>
    <row r="1239" ht="36" customHeight="1">
      <c r="B1239" s="36" t="inlineStr">
        <is>
          <t>Depende de: HU-01</t>
        </is>
      </c>
      <c r="C1239" s="37" t="n"/>
      <c r="D1239" s="37" t="n"/>
      <c r="E1239" s="38" t="n"/>
      <c r="G1239" s="33" t="inlineStr">
        <is>
          <t>( x )</t>
        </is>
      </c>
      <c r="H1239" s="34" t="inlineStr">
        <is>
          <t>L4 · Dependencias resueltas — Cumple</t>
        </is>
      </c>
      <c r="I1239" s="8" t="n"/>
      <c r="J1239" s="23" t="n"/>
      <c r="L1239" s="36" t="inlineStr">
        <is>
          <t>Mitad técnica: Además, los diez criterios T1 a T10 de la hoja «3. Criterios DoR y DoD», sin excepción</t>
        </is>
      </c>
      <c r="M1239" s="37" t="n"/>
      <c r="N1239" s="37" t="n"/>
      <c r="O1239" s="38" t="n"/>
    </row>
    <row r="1240" ht="30" customHeight="1">
      <c r="G1240" s="33" t="inlineStr">
        <is>
          <t>( x )</t>
        </is>
      </c>
      <c r="H1240" s="34" t="inlineStr">
        <is>
          <t>L5 · Estimada por los Developers — Cumple</t>
        </is>
      </c>
      <c r="I1240" s="8" t="n"/>
      <c r="J1240" s="23" t="n"/>
    </row>
    <row r="1241" ht="30" customHeight="1">
      <c r="G1241" s="33" t="inlineStr">
        <is>
          <t>( x )</t>
        </is>
      </c>
      <c r="H1241" s="34" t="inlineStr">
        <is>
          <t>L6 · Cabe en un sprint (8 puntos o menos) — Cumple</t>
        </is>
      </c>
      <c r="I1241" s="8" t="n"/>
      <c r="J1241" s="23" t="n"/>
    </row>
    <row r="1242" ht="30" customHeight="1">
      <c r="G1242" s="33" t="inlineStr">
        <is>
          <t>( x )</t>
        </is>
      </c>
      <c r="H1242" s="34" t="inlineStr">
        <is>
          <t>L7 · Reglas de dominio identificadas — Cumple</t>
        </is>
      </c>
      <c r="I1242" s="8" t="n"/>
      <c r="J1242" s="23" t="n"/>
    </row>
    <row r="1243" ht="30" customHeight="1">
      <c r="G1243" s="33" t="inlineStr">
        <is>
          <t>( x )</t>
        </is>
      </c>
      <c r="H1243" s="34" t="inlineStr">
        <is>
          <t>L8 · Datos de prueba disponibles — Cumple</t>
        </is>
      </c>
      <c r="I1243" s="8" t="n"/>
      <c r="J1243" s="23" t="n"/>
    </row>
    <row r="1244" ht="30" customHeight="1">
      <c r="G1244" s="33" t="inlineStr">
        <is>
          <t>( x )</t>
        </is>
      </c>
      <c r="H1244" s="34" t="inlineStr">
        <is>
          <t>L9 · Responsable técnico asignado — Cumple</t>
        </is>
      </c>
      <c r="I1244" s="8" t="n"/>
      <c r="J1244" s="23" t="n"/>
    </row>
    <row r="1245" ht="30" customHeight="1">
      <c r="G1245" s="33" t="inlineStr">
        <is>
          <t>( x )</t>
        </is>
      </c>
      <c r="H1245" s="34" t="inlineStr">
        <is>
          <t>L10 · Recursos identificados — Cumple: Nicolás Pachamora + equipo de desarrollo y datos de prueba</t>
        </is>
      </c>
      <c r="I1245" s="8" t="n"/>
      <c r="J1245" s="23" t="n"/>
    </row>
    <row r="1246" ht="30" customHeight="1">
      <c r="G1246" s="33" t="inlineStr">
        <is>
          <t>( x )</t>
        </is>
      </c>
      <c r="H1246" s="34" t="inlineStr">
        <is>
          <t>L11 · Requisitos técnicos de programación definidos — Cumple: Kotlin, Jetpack Compose, Room y WorkManager</t>
        </is>
      </c>
      <c r="I1246" s="8" t="n"/>
      <c r="J1246" s="23" t="n"/>
    </row>
    <row r="1247" ht="30" customHeight="1">
      <c r="G1247" s="33" t="inlineStr">
        <is>
          <t>( x )</t>
        </is>
      </c>
      <c r="H1247" s="34" t="inlineStr">
        <is>
          <t>L12 · Accesos de red disponibles — Cumple: GitHub (repositorio privado), API y PostgreSQL en docker compose, red móvil o wifi para sincronizar (y modo avión para la prueba)</t>
        </is>
      </c>
      <c r="I1247" s="8" t="n"/>
      <c r="J1247" s="23" t="n"/>
    </row>
    <row r="1248" ht="36" customHeight="1">
      <c r="G1248" s="39" t="inlineStr">
        <is>
          <t>Riesgos: Herramientas registradas por cantidad y no por unidad · cada una con su código</t>
        </is>
      </c>
      <c r="H1248" s="8" t="n"/>
      <c r="I1248" s="8" t="n"/>
      <c r="J1248" s="23" t="n"/>
    </row>
    <row r="1249" ht="36" customHeight="1">
      <c r="G1249" s="32" t="inlineStr">
        <is>
          <t>Proveedores de servicio: Teléfono Android de prueba · servidor de la API en la nube</t>
        </is>
      </c>
      <c r="H1249" s="8" t="n"/>
      <c r="I1249" s="8" t="n"/>
      <c r="J1249" s="23" t="n"/>
    </row>
    <row r="1250" ht="36" customHeight="1">
      <c r="G1250" s="36" t="inlineStr">
        <is>
          <t>Costos: 5 pts ≈ 10 horas-persona (1 punto ≈ 2 h) · servicios externos: S/ 0 (planes gratuitos)</t>
        </is>
      </c>
      <c r="H1250" s="37" t="n"/>
      <c r="I1250" s="37" t="n"/>
      <c r="J1250" s="38" t="n"/>
    </row>
    <row r="1253">
      <c r="B1253" s="18" t="inlineStr">
        <is>
          <t>HU-49 · Prestar herramientas</t>
        </is>
      </c>
    </row>
    <row r="1254" ht="18" customHeight="1">
      <c r="B1254" s="19" t="inlineStr">
        <is>
          <t>TARJETA 1 · Historia de usuario</t>
        </is>
      </c>
      <c r="C1254" s="20" t="n"/>
      <c r="D1254" s="20" t="n"/>
      <c r="E1254" s="21" t="n"/>
      <c r="G1254" s="19" t="inlineStr">
        <is>
          <t>TARJETA 2 · Definición de Listo</t>
        </is>
      </c>
      <c r="H1254" s="20" t="n"/>
      <c r="I1254" s="20" t="n"/>
      <c r="J1254" s="21" t="n"/>
      <c r="L1254" s="19" t="inlineStr">
        <is>
          <t>TARJETA 3 · Definición de Terminado</t>
        </is>
      </c>
      <c r="M1254" s="20" t="n"/>
      <c r="N1254" s="20" t="n"/>
      <c r="O1254" s="21" t="n"/>
    </row>
    <row r="1255" ht="28" customHeight="1">
      <c r="B1255" s="22" t="inlineStr">
        <is>
          <t>La unidad con la que se planifica, se estima y se acepta el trabajo</t>
        </is>
      </c>
      <c r="C1255" s="8" t="n"/>
      <c r="D1255" s="8" t="n"/>
      <c r="E1255" s="23" t="n"/>
      <c r="G1255" s="22" t="inlineStr">
        <is>
          <t>El enfoque está en la consideración del equipo de desarrollo sobre si la historia está lista para un Sprint</t>
        </is>
      </c>
      <c r="H1255" s="8" t="n"/>
      <c r="I1255" s="8" t="n"/>
      <c r="J1255" s="23" t="n"/>
      <c r="L1255" s="22" t="inlineStr">
        <is>
          <t>El enfoque está en la aceptación del cliente cuando se le entregue el producto</t>
        </is>
      </c>
      <c r="M1255" s="8" t="n"/>
      <c r="N1255" s="8" t="n"/>
      <c r="O1255" s="23" t="n"/>
    </row>
    <row r="1256">
      <c r="B1256" s="24" t="inlineStr">
        <is>
          <t>Historia de usuario</t>
        </is>
      </c>
      <c r="C1256" s="8" t="n"/>
      <c r="D1256" s="25" t="inlineStr">
        <is>
          <t>Prioridad</t>
        </is>
      </c>
      <c r="E1256" s="26" t="inlineStr">
        <is>
          <t>Estimación</t>
        </is>
      </c>
      <c r="G1256" s="24" t="inlineStr">
        <is>
          <t>Historia de usuario</t>
        </is>
      </c>
      <c r="H1256" s="8" t="n"/>
      <c r="I1256" s="25" t="inlineStr">
        <is>
          <t>Prioridad</t>
        </is>
      </c>
      <c r="J1256" s="26" t="inlineStr">
        <is>
          <t>Estimación</t>
        </is>
      </c>
      <c r="L1256" s="24" t="inlineStr">
        <is>
          <t>Historia de usuario</t>
        </is>
      </c>
      <c r="M1256" s="8" t="n"/>
      <c r="N1256" s="25" t="inlineStr">
        <is>
          <t>Prioridad</t>
        </is>
      </c>
      <c r="O1256" s="26" t="inlineStr">
        <is>
          <t>Estimación</t>
        </is>
      </c>
    </row>
    <row r="1257" ht="30" customHeight="1">
      <c r="B1257" s="27" t="inlineStr">
        <is>
          <t>HU-49 · Prestar herramientas</t>
        </is>
      </c>
      <c r="C1257" s="8" t="n"/>
      <c r="D1257" s="9" t="inlineStr">
        <is>
          <t>Alta</t>
        </is>
      </c>
      <c r="E1257" s="28" t="inlineStr">
        <is>
          <t>3 pts</t>
        </is>
      </c>
      <c r="G1257" s="27" t="inlineStr">
        <is>
          <t>HU-49 · Prestar herramientas</t>
        </is>
      </c>
      <c r="H1257" s="8" t="n"/>
      <c r="I1257" s="9" t="inlineStr">
        <is>
          <t>Alta</t>
        </is>
      </c>
      <c r="J1257" s="28" t="inlineStr">
        <is>
          <t>3 pts</t>
        </is>
      </c>
      <c r="L1257" s="27" t="inlineStr">
        <is>
          <t>HU-49 · Prestar herramientas</t>
        </is>
      </c>
      <c r="M1257" s="8" t="n"/>
      <c r="N1257" s="9" t="inlineStr">
        <is>
          <t>Alta</t>
        </is>
      </c>
      <c r="O1257" s="28" t="inlineStr">
        <is>
          <t>3 pts</t>
        </is>
      </c>
    </row>
    <row r="1258">
      <c r="B1258" s="29" t="inlineStr">
        <is>
          <t>Descripción:</t>
        </is>
      </c>
      <c r="C1258" s="8" t="n"/>
      <c r="D1258" s="8" t="n"/>
      <c r="E1258" s="23" t="n"/>
      <c r="G1258" s="29" t="inlineStr">
        <is>
          <t>Descripción:</t>
        </is>
      </c>
      <c r="H1258" s="8" t="n"/>
      <c r="I1258" s="8" t="n"/>
      <c r="J1258" s="23" t="n"/>
      <c r="L1258" s="29" t="inlineStr">
        <is>
          <t>Descripción:</t>
        </is>
      </c>
      <c r="M1258" s="8" t="n"/>
      <c r="N1258" s="8" t="n"/>
      <c r="O1258" s="23" t="n"/>
    </row>
    <row r="1259" ht="28" customHeight="1">
      <c r="B1259" s="30" t="inlineStr">
        <is>
          <t>Como almacenero, quiero registrar a quién se entrega una herramienta, para conocer quién es responsable de ella durante su uso.</t>
        </is>
      </c>
      <c r="C1259" s="8" t="n"/>
      <c r="D1259" s="8" t="n"/>
      <c r="E1259" s="23" t="n"/>
      <c r="G1259" s="30" t="inlineStr">
        <is>
          <t>Como almacenero, quiero registrar a quién se entrega una herramienta, para conocer quién es responsable de ella durante su uso.</t>
        </is>
      </c>
      <c r="H1259" s="8" t="n"/>
      <c r="I1259" s="8" t="n"/>
      <c r="J1259" s="23" t="n"/>
      <c r="L1259" s="30" t="inlineStr">
        <is>
          <t>Como almacenero, quiero registrar a quién se entrega una herramienta, para conocer quién es responsable de ella durante su uso.</t>
        </is>
      </c>
      <c r="M1259" s="8" t="n"/>
      <c r="N1259" s="8" t="n"/>
      <c r="O1259" s="23" t="n"/>
    </row>
    <row r="1260" ht="28" customHeight="1">
      <c r="B1260" s="31" t="n"/>
      <c r="C1260" s="8" t="n"/>
      <c r="D1260" s="8" t="n"/>
      <c r="E1260" s="23" t="n"/>
      <c r="G1260" s="31" t="n"/>
      <c r="H1260" s="8" t="n"/>
      <c r="I1260" s="8" t="n"/>
      <c r="J1260" s="23" t="n"/>
      <c r="L1260" s="31" t="n"/>
      <c r="M1260" s="8" t="n"/>
      <c r="N1260" s="8" t="n"/>
      <c r="O1260" s="23" t="n"/>
    </row>
    <row r="1261">
      <c r="B1261" s="29" t="inlineStr">
        <is>
          <t>Ficha de la historia</t>
        </is>
      </c>
      <c r="C1261" s="8" t="n"/>
      <c r="D1261" s="8" t="n"/>
      <c r="E1261" s="23" t="n"/>
      <c r="G1261" s="29" t="inlineStr">
        <is>
          <t>Criterios de listo:</t>
        </is>
      </c>
      <c r="H1261" s="8" t="n"/>
      <c r="I1261" s="8" t="n"/>
      <c r="J1261" s="23" t="n"/>
      <c r="L1261" s="29" t="inlineStr">
        <is>
          <t>Condiciones finales (se marcan cuando el PO acepta la HU en la Review):</t>
        </is>
      </c>
      <c r="M1261" s="8" t="n"/>
      <c r="N1261" s="8" t="n"/>
      <c r="O1261" s="23" t="n"/>
    </row>
    <row r="1262" ht="30" customHeight="1">
      <c r="B1262" s="32" t="inlineStr">
        <is>
          <t>Épica: E5. Controlar las existencias de herramientas y equipos</t>
        </is>
      </c>
      <c r="C1262" s="8" t="n"/>
      <c r="D1262" s="8" t="n"/>
      <c r="E1262" s="23" t="n"/>
      <c r="G1262" s="33" t="inlineStr">
        <is>
          <t>( x )</t>
        </is>
      </c>
      <c r="H1262" s="34" t="inlineStr">
        <is>
          <t>L1 · Redactada en el formato acordado — Cumple</t>
        </is>
      </c>
      <c r="I1262" s="8" t="n"/>
      <c r="J1262" s="23" t="n"/>
      <c r="L1262" s="35" t="inlineStr">
        <is>
          <t>(    )</t>
        </is>
      </c>
      <c r="M1262" s="34" t="inlineStr">
        <is>
          <t>La entrega se ha registrado con herramienta, persona y fecha</t>
        </is>
      </c>
      <c r="N1262" s="8" t="n"/>
      <c r="O1262" s="23" t="n"/>
    </row>
    <row r="1263" ht="30" customHeight="1">
      <c r="B1263" s="32" t="inlineStr">
        <is>
          <t>Módulo: Herramientas / Equipos</t>
        </is>
      </c>
      <c r="C1263" s="8" t="n"/>
      <c r="D1263" s="8" t="n"/>
      <c r="E1263" s="23" t="n"/>
      <c r="G1263" s="33" t="inlineStr">
        <is>
          <t>( x )</t>
        </is>
      </c>
      <c r="H1263" s="34" t="inlineStr">
        <is>
          <t>L2 · Nombre corto en forma de acción — Cumple</t>
        </is>
      </c>
      <c r="I1263" s="8" t="n"/>
      <c r="J1263" s="23" t="n"/>
      <c r="L1263" s="35" t="inlineStr">
        <is>
          <t>(    )</t>
        </is>
      </c>
      <c r="M1263" s="34" t="inlineStr">
        <is>
          <t>La herramienta ha quedado «en uso» con su responsable visible</t>
        </is>
      </c>
      <c r="N1263" s="8" t="n"/>
      <c r="O1263" s="23" t="n"/>
    </row>
    <row r="1264" ht="30" customHeight="1">
      <c r="B1264" s="32" t="inlineStr">
        <is>
          <t>Responsable técnico: Android · Nicolás Pachamora</t>
        </is>
      </c>
      <c r="C1264" s="8" t="n"/>
      <c r="D1264" s="8" t="n"/>
      <c r="E1264" s="23" t="n"/>
      <c r="G1264" s="33" t="inlineStr">
        <is>
          <t>( x )</t>
        </is>
      </c>
      <c r="H1264" s="34" t="inlineStr">
        <is>
          <t>L3 · Criterios de aceptación escritos — Cumple</t>
        </is>
      </c>
      <c r="I1264" s="8" t="n"/>
      <c r="J1264" s="23" t="n"/>
      <c r="L1264" s="35" t="inlineStr">
        <is>
          <t>(    )</t>
        </is>
      </c>
      <c r="M1264" s="34" t="inlineStr">
        <is>
          <t>Una segunda entrega sin devolución previa se ha rechazado</t>
        </is>
      </c>
      <c r="N1264" s="8" t="n"/>
      <c r="O1264" s="23" t="n"/>
    </row>
    <row r="1265" ht="36" customHeight="1">
      <c r="B1265" s="36" t="inlineStr">
        <is>
          <t>Depende de: HU-48</t>
        </is>
      </c>
      <c r="C1265" s="37" t="n"/>
      <c r="D1265" s="37" t="n"/>
      <c r="E1265" s="38" t="n"/>
      <c r="G1265" s="33" t="inlineStr">
        <is>
          <t>( x )</t>
        </is>
      </c>
      <c r="H1265" s="34" t="inlineStr">
        <is>
          <t>L4 · Dependencias resueltas — Cumple</t>
        </is>
      </c>
      <c r="I1265" s="8" t="n"/>
      <c r="J1265" s="23" t="n"/>
      <c r="L1265" s="36" t="inlineStr">
        <is>
          <t>Mitad técnica: Además, los diez criterios T1 a T10 de la hoja «3. Criterios DoR y DoD», sin excepción</t>
        </is>
      </c>
      <c r="M1265" s="37" t="n"/>
      <c r="N1265" s="37" t="n"/>
      <c r="O1265" s="38" t="n"/>
    </row>
    <row r="1266" ht="30" customHeight="1">
      <c r="G1266" s="33" t="inlineStr">
        <is>
          <t>( x )</t>
        </is>
      </c>
      <c r="H1266" s="34" t="inlineStr">
        <is>
          <t>L5 · Estimada por los Developers — Cumple</t>
        </is>
      </c>
      <c r="I1266" s="8" t="n"/>
      <c r="J1266" s="23" t="n"/>
    </row>
    <row r="1267" ht="30" customHeight="1">
      <c r="G1267" s="33" t="inlineStr">
        <is>
          <t>( x )</t>
        </is>
      </c>
      <c r="H1267" s="34" t="inlineStr">
        <is>
          <t>L6 · Cabe en un sprint (8 puntos o menos) — Cumple</t>
        </is>
      </c>
      <c r="I1267" s="8" t="n"/>
      <c r="J1267" s="23" t="n"/>
    </row>
    <row r="1268" ht="30" customHeight="1">
      <c r="G1268" s="33" t="inlineStr">
        <is>
          <t>( x )</t>
        </is>
      </c>
      <c r="H1268" s="34" t="inlineStr">
        <is>
          <t>L7 · Reglas de dominio identificadas — Cumple</t>
        </is>
      </c>
      <c r="I1268" s="8" t="n"/>
      <c r="J1268" s="23" t="n"/>
    </row>
    <row r="1269" ht="30" customHeight="1">
      <c r="G1269" s="33" t="inlineStr">
        <is>
          <t>( x )</t>
        </is>
      </c>
      <c r="H1269" s="34" t="inlineStr">
        <is>
          <t>L8 · Datos de prueba disponibles — Cumple</t>
        </is>
      </c>
      <c r="I1269" s="8" t="n"/>
      <c r="J1269" s="23" t="n"/>
    </row>
    <row r="1270" ht="30" customHeight="1">
      <c r="G1270" s="33" t="inlineStr">
        <is>
          <t>( x )</t>
        </is>
      </c>
      <c r="H1270" s="34" t="inlineStr">
        <is>
          <t>L9 · Responsable técnico asignado — Cumple</t>
        </is>
      </c>
      <c r="I1270" s="8" t="n"/>
      <c r="J1270" s="23" t="n"/>
    </row>
    <row r="1271" ht="30" customHeight="1">
      <c r="G1271" s="33" t="inlineStr">
        <is>
          <t>( x )</t>
        </is>
      </c>
      <c r="H1271" s="34" t="inlineStr">
        <is>
          <t>L10 · Recursos identificados — Cumple: Nicolás Pachamora + equipo de desarrollo y datos de prueba</t>
        </is>
      </c>
      <c r="I1271" s="8" t="n"/>
      <c r="J1271" s="23" t="n"/>
    </row>
    <row r="1272" ht="30" customHeight="1">
      <c r="G1272" s="33" t="inlineStr">
        <is>
          <t>( x )</t>
        </is>
      </c>
      <c r="H1272" s="34" t="inlineStr">
        <is>
          <t>L11 · Requisitos técnicos de programación definidos — Cumple: Kotlin, Jetpack Compose, Room y WorkManager</t>
        </is>
      </c>
      <c r="I1272" s="8" t="n"/>
      <c r="J1272" s="23" t="n"/>
    </row>
    <row r="1273" ht="30" customHeight="1">
      <c r="G1273" s="33" t="inlineStr">
        <is>
          <t>( x )</t>
        </is>
      </c>
      <c r="H1273" s="34" t="inlineStr">
        <is>
          <t>L12 · Accesos de red disponibles — Cumple: GitHub (repositorio privado), API y PostgreSQL en docker compose, red móvil o wifi para sincronizar (y modo avión para la prueba)</t>
        </is>
      </c>
      <c r="I1273" s="8" t="n"/>
      <c r="J1273" s="23" t="n"/>
    </row>
    <row r="1274" ht="36" customHeight="1">
      <c r="G1274" s="39" t="inlineStr">
        <is>
          <t>Riesgos: Entregar dos veces la misma herramienta · no se entrega sin devolverse antes</t>
        </is>
      </c>
      <c r="H1274" s="8" t="n"/>
      <c r="I1274" s="8" t="n"/>
      <c r="J1274" s="23" t="n"/>
    </row>
    <row r="1275" ht="36" customHeight="1">
      <c r="G1275" s="32" t="inlineStr">
        <is>
          <t>Proveedores de servicio: Teléfono Android de prueba · servidor de la API en la nube</t>
        </is>
      </c>
      <c r="H1275" s="8" t="n"/>
      <c r="I1275" s="8" t="n"/>
      <c r="J1275" s="23" t="n"/>
    </row>
    <row r="1276" ht="36" customHeight="1">
      <c r="G1276" s="36" t="inlineStr">
        <is>
          <t>Costos: 3 pts ≈ 6 horas-persona (1 punto ≈ 2 h) · servicios externos: S/ 0 (planes gratuitos)</t>
        </is>
      </c>
      <c r="H1276" s="37" t="n"/>
      <c r="I1276" s="37" t="n"/>
      <c r="J1276" s="38" t="n"/>
    </row>
    <row r="1279">
      <c r="B1279" s="18" t="inlineStr">
        <is>
          <t>HU-50 · Devolver herramientas</t>
        </is>
      </c>
    </row>
    <row r="1280" ht="18" customHeight="1">
      <c r="B1280" s="19" t="inlineStr">
        <is>
          <t>TARJETA 1 · Historia de usuario</t>
        </is>
      </c>
      <c r="C1280" s="20" t="n"/>
      <c r="D1280" s="20" t="n"/>
      <c r="E1280" s="21" t="n"/>
      <c r="G1280" s="19" t="inlineStr">
        <is>
          <t>TARJETA 2 · Definición de Listo</t>
        </is>
      </c>
      <c r="H1280" s="20" t="n"/>
      <c r="I1280" s="20" t="n"/>
      <c r="J1280" s="21" t="n"/>
      <c r="L1280" s="19" t="inlineStr">
        <is>
          <t>TARJETA 3 · Definición de Terminado</t>
        </is>
      </c>
      <c r="M1280" s="20" t="n"/>
      <c r="N1280" s="20" t="n"/>
      <c r="O1280" s="21" t="n"/>
    </row>
    <row r="1281" ht="28" customHeight="1">
      <c r="B1281" s="22" t="inlineStr">
        <is>
          <t>La unidad con la que se planifica, se estima y se acepta el trabajo</t>
        </is>
      </c>
      <c r="C1281" s="8" t="n"/>
      <c r="D1281" s="8" t="n"/>
      <c r="E1281" s="23" t="n"/>
      <c r="G1281" s="22" t="inlineStr">
        <is>
          <t>El enfoque está en la consideración del equipo de desarrollo sobre si la historia está lista para un Sprint</t>
        </is>
      </c>
      <c r="H1281" s="8" t="n"/>
      <c r="I1281" s="8" t="n"/>
      <c r="J1281" s="23" t="n"/>
      <c r="L1281" s="22" t="inlineStr">
        <is>
          <t>El enfoque está en la aceptación del cliente cuando se le entregue el producto</t>
        </is>
      </c>
      <c r="M1281" s="8" t="n"/>
      <c r="N1281" s="8" t="n"/>
      <c r="O1281" s="23" t="n"/>
    </row>
    <row r="1282">
      <c r="B1282" s="24" t="inlineStr">
        <is>
          <t>Historia de usuario</t>
        </is>
      </c>
      <c r="C1282" s="8" t="n"/>
      <c r="D1282" s="25" t="inlineStr">
        <is>
          <t>Prioridad</t>
        </is>
      </c>
      <c r="E1282" s="26" t="inlineStr">
        <is>
          <t>Estimación</t>
        </is>
      </c>
      <c r="G1282" s="24" t="inlineStr">
        <is>
          <t>Historia de usuario</t>
        </is>
      </c>
      <c r="H1282" s="8" t="n"/>
      <c r="I1282" s="25" t="inlineStr">
        <is>
          <t>Prioridad</t>
        </is>
      </c>
      <c r="J1282" s="26" t="inlineStr">
        <is>
          <t>Estimación</t>
        </is>
      </c>
      <c r="L1282" s="24" t="inlineStr">
        <is>
          <t>Historia de usuario</t>
        </is>
      </c>
      <c r="M1282" s="8" t="n"/>
      <c r="N1282" s="25" t="inlineStr">
        <is>
          <t>Prioridad</t>
        </is>
      </c>
      <c r="O1282" s="26" t="inlineStr">
        <is>
          <t>Estimación</t>
        </is>
      </c>
    </row>
    <row r="1283" ht="30" customHeight="1">
      <c r="B1283" s="27" t="inlineStr">
        <is>
          <t>HU-50 · Devolver herramientas</t>
        </is>
      </c>
      <c r="C1283" s="8" t="n"/>
      <c r="D1283" s="9" t="inlineStr">
        <is>
          <t>Alta</t>
        </is>
      </c>
      <c r="E1283" s="28" t="inlineStr">
        <is>
          <t>3 pts</t>
        </is>
      </c>
      <c r="G1283" s="27" t="inlineStr">
        <is>
          <t>HU-50 · Devolver herramientas</t>
        </is>
      </c>
      <c r="H1283" s="8" t="n"/>
      <c r="I1283" s="9" t="inlineStr">
        <is>
          <t>Alta</t>
        </is>
      </c>
      <c r="J1283" s="28" t="inlineStr">
        <is>
          <t>3 pts</t>
        </is>
      </c>
      <c r="L1283" s="27" t="inlineStr">
        <is>
          <t>HU-50 · Devolver herramientas</t>
        </is>
      </c>
      <c r="M1283" s="8" t="n"/>
      <c r="N1283" s="9" t="inlineStr">
        <is>
          <t>Alta</t>
        </is>
      </c>
      <c r="O1283" s="28" t="inlineStr">
        <is>
          <t>3 pts</t>
        </is>
      </c>
    </row>
    <row r="1284">
      <c r="B1284" s="29" t="inlineStr">
        <is>
          <t>Descripción:</t>
        </is>
      </c>
      <c r="C1284" s="8" t="n"/>
      <c r="D1284" s="8" t="n"/>
      <c r="E1284" s="23" t="n"/>
      <c r="G1284" s="29" t="inlineStr">
        <is>
          <t>Descripción:</t>
        </is>
      </c>
      <c r="H1284" s="8" t="n"/>
      <c r="I1284" s="8" t="n"/>
      <c r="J1284" s="23" t="n"/>
      <c r="L1284" s="29" t="inlineStr">
        <is>
          <t>Descripción:</t>
        </is>
      </c>
      <c r="M1284" s="8" t="n"/>
      <c r="N1284" s="8" t="n"/>
      <c r="O1284" s="23" t="n"/>
    </row>
    <row r="1285" ht="28" customHeight="1">
      <c r="B1285" s="30" t="inlineStr">
        <is>
          <t>Como almacenero, quiero registrar la devolución de una herramienta y el estado en que vuelve, para conocer su disponibilidad y su condición actual.</t>
        </is>
      </c>
      <c r="C1285" s="8" t="n"/>
      <c r="D1285" s="8" t="n"/>
      <c r="E1285" s="23" t="n"/>
      <c r="G1285" s="30" t="inlineStr">
        <is>
          <t>Como almacenero, quiero registrar la devolución de una herramienta y el estado en que vuelve, para conocer su disponibilidad y su condición actual.</t>
        </is>
      </c>
      <c r="H1285" s="8" t="n"/>
      <c r="I1285" s="8" t="n"/>
      <c r="J1285" s="23" t="n"/>
      <c r="L1285" s="30" t="inlineStr">
        <is>
          <t>Como almacenero, quiero registrar la devolución de una herramienta y el estado en que vuelve, para conocer su disponibilidad y su condición actual.</t>
        </is>
      </c>
      <c r="M1285" s="8" t="n"/>
      <c r="N1285" s="8" t="n"/>
      <c r="O1285" s="23" t="n"/>
    </row>
    <row r="1286" ht="28" customHeight="1">
      <c r="B1286" s="31" t="n"/>
      <c r="C1286" s="8" t="n"/>
      <c r="D1286" s="8" t="n"/>
      <c r="E1286" s="23" t="n"/>
      <c r="G1286" s="31" t="n"/>
      <c r="H1286" s="8" t="n"/>
      <c r="I1286" s="8" t="n"/>
      <c r="J1286" s="23" t="n"/>
      <c r="L1286" s="31" t="n"/>
      <c r="M1286" s="8" t="n"/>
      <c r="N1286" s="8" t="n"/>
      <c r="O1286" s="23" t="n"/>
    </row>
    <row r="1287">
      <c r="B1287" s="29" t="inlineStr">
        <is>
          <t>Ficha de la historia</t>
        </is>
      </c>
      <c r="C1287" s="8" t="n"/>
      <c r="D1287" s="8" t="n"/>
      <c r="E1287" s="23" t="n"/>
      <c r="G1287" s="29" t="inlineStr">
        <is>
          <t>Criterios de listo:</t>
        </is>
      </c>
      <c r="H1287" s="8" t="n"/>
      <c r="I1287" s="8" t="n"/>
      <c r="J1287" s="23" t="n"/>
      <c r="L1287" s="29" t="inlineStr">
        <is>
          <t>Condiciones finales (se marcan cuando el PO acepta la HU en la Review):</t>
        </is>
      </c>
      <c r="M1287" s="8" t="n"/>
      <c r="N1287" s="8" t="n"/>
      <c r="O1287" s="23" t="n"/>
    </row>
    <row r="1288" ht="30" customHeight="1">
      <c r="B1288" s="32" t="inlineStr">
        <is>
          <t>Épica: E5. Controlar las existencias de herramientas y equipos</t>
        </is>
      </c>
      <c r="C1288" s="8" t="n"/>
      <c r="D1288" s="8" t="n"/>
      <c r="E1288" s="23" t="n"/>
      <c r="G1288" s="33" t="inlineStr">
        <is>
          <t>( x )</t>
        </is>
      </c>
      <c r="H1288" s="34" t="inlineStr">
        <is>
          <t>L1 · Redactada en el formato acordado — Cumple</t>
        </is>
      </c>
      <c r="I1288" s="8" t="n"/>
      <c r="J1288" s="23" t="n"/>
      <c r="L1288" s="35" t="inlineStr">
        <is>
          <t>(    )</t>
        </is>
      </c>
      <c r="M1288" s="34" t="inlineStr">
        <is>
          <t>La devolución se ha registrado con fecha, estado y quién devuelve</t>
        </is>
      </c>
      <c r="N1288" s="8" t="n"/>
      <c r="O1288" s="23" t="n"/>
    </row>
    <row r="1289" ht="30" customHeight="1">
      <c r="B1289" s="32" t="inlineStr">
        <is>
          <t>Módulo: Herramientas / Equipos</t>
        </is>
      </c>
      <c r="C1289" s="8" t="n"/>
      <c r="D1289" s="8" t="n"/>
      <c r="E1289" s="23" t="n"/>
      <c r="G1289" s="33" t="inlineStr">
        <is>
          <t>( x )</t>
        </is>
      </c>
      <c r="H1289" s="34" t="inlineStr">
        <is>
          <t>L2 · Nombre corto en forma de acción — Cumple</t>
        </is>
      </c>
      <c r="I1289" s="8" t="n"/>
      <c r="J1289" s="23" t="n"/>
      <c r="L1289" s="35" t="inlineStr">
        <is>
          <t>(    )</t>
        </is>
      </c>
      <c r="M1289" s="34" t="inlineStr">
        <is>
          <t>Si el estado empeoró, se ha exigido la observación</t>
        </is>
      </c>
      <c r="N1289" s="8" t="n"/>
      <c r="O1289" s="23" t="n"/>
    </row>
    <row r="1290" ht="30" customHeight="1">
      <c r="B1290" s="32" t="inlineStr">
        <is>
          <t>Responsable técnico: Android · Nicolás Pachamora</t>
        </is>
      </c>
      <c r="C1290" s="8" t="n"/>
      <c r="D1290" s="8" t="n"/>
      <c r="E1290" s="23" t="n"/>
      <c r="G1290" s="33" t="inlineStr">
        <is>
          <t>( x )</t>
        </is>
      </c>
      <c r="H1290" s="34" t="inlineStr">
        <is>
          <t>L3 · Criterios de aceptación escritos — Cumple</t>
        </is>
      </c>
      <c r="I1290" s="8" t="n"/>
      <c r="J1290" s="23" t="n"/>
      <c r="L1290" s="35" t="inlineStr">
        <is>
          <t>(    )</t>
        </is>
      </c>
      <c r="M1290" s="34" t="inlineStr">
        <is>
          <t>La herramienta ha vuelto a «disponible»</t>
        </is>
      </c>
      <c r="N1290" s="8" t="n"/>
      <c r="O1290" s="23" t="n"/>
    </row>
    <row r="1291" ht="36" customHeight="1">
      <c r="B1291" s="36" t="inlineStr">
        <is>
          <t>Depende de: HU-49</t>
        </is>
      </c>
      <c r="C1291" s="37" t="n"/>
      <c r="D1291" s="37" t="n"/>
      <c r="E1291" s="38" t="n"/>
      <c r="G1291" s="33" t="inlineStr">
        <is>
          <t>( x )</t>
        </is>
      </c>
      <c r="H1291" s="34" t="inlineStr">
        <is>
          <t>L4 · Dependencias resueltas — Cumple</t>
        </is>
      </c>
      <c r="I1291" s="8" t="n"/>
      <c r="J1291" s="23" t="n"/>
      <c r="L1291" s="36" t="inlineStr">
        <is>
          <t>Mitad técnica: Además, los diez criterios T1 a T10 de la hoja «3. Criterios DoR y DoD», sin excepción</t>
        </is>
      </c>
      <c r="M1291" s="37" t="n"/>
      <c r="N1291" s="37" t="n"/>
      <c r="O1291" s="38" t="n"/>
    </row>
    <row r="1292" ht="30" customHeight="1">
      <c r="G1292" s="33" t="inlineStr">
        <is>
          <t>( x )</t>
        </is>
      </c>
      <c r="H1292" s="34" t="inlineStr">
        <is>
          <t>L5 · Estimada por los Developers — Cumple</t>
        </is>
      </c>
      <c r="I1292" s="8" t="n"/>
      <c r="J1292" s="23" t="n"/>
    </row>
    <row r="1293" ht="30" customHeight="1">
      <c r="G1293" s="33" t="inlineStr">
        <is>
          <t>( x )</t>
        </is>
      </c>
      <c r="H1293" s="34" t="inlineStr">
        <is>
          <t>L6 · Cabe en un sprint (8 puntos o menos) — Cumple</t>
        </is>
      </c>
      <c r="I1293" s="8" t="n"/>
      <c r="J1293" s="23" t="n"/>
    </row>
    <row r="1294" ht="30" customHeight="1">
      <c r="G1294" s="33" t="inlineStr">
        <is>
          <t>( x )</t>
        </is>
      </c>
      <c r="H1294" s="34" t="inlineStr">
        <is>
          <t>L7 · Reglas de dominio identificadas — Cumple</t>
        </is>
      </c>
      <c r="I1294" s="8" t="n"/>
      <c r="J1294" s="23" t="n"/>
    </row>
    <row r="1295" ht="30" customHeight="1">
      <c r="G1295" s="33" t="inlineStr">
        <is>
          <t>( x )</t>
        </is>
      </c>
      <c r="H1295" s="34" t="inlineStr">
        <is>
          <t>L8 · Datos de prueba disponibles — Cumple</t>
        </is>
      </c>
      <c r="I1295" s="8" t="n"/>
      <c r="J1295" s="23" t="n"/>
    </row>
    <row r="1296" ht="30" customHeight="1">
      <c r="G1296" s="33" t="inlineStr">
        <is>
          <t>( x )</t>
        </is>
      </c>
      <c r="H1296" s="34" t="inlineStr">
        <is>
          <t>L9 · Responsable técnico asignado — Cumple</t>
        </is>
      </c>
      <c r="I1296" s="8" t="n"/>
      <c r="J1296" s="23" t="n"/>
    </row>
    <row r="1297" ht="30" customHeight="1">
      <c r="G1297" s="33" t="inlineStr">
        <is>
          <t>( x )</t>
        </is>
      </c>
      <c r="H1297" s="34" t="inlineStr">
        <is>
          <t>L10 · Recursos identificados — Cumple: Nicolás Pachamora + equipo de desarrollo y datos de prueba</t>
        </is>
      </c>
      <c r="I1297" s="8" t="n"/>
      <c r="J1297" s="23" t="n"/>
    </row>
    <row r="1298" ht="30" customHeight="1">
      <c r="G1298" s="33" t="inlineStr">
        <is>
          <t>( x )</t>
        </is>
      </c>
      <c r="H1298" s="34" t="inlineStr">
        <is>
          <t>L11 · Requisitos técnicos de programación definidos — Cumple: Kotlin, Jetpack Compose, Room y WorkManager</t>
        </is>
      </c>
      <c r="I1298" s="8" t="n"/>
      <c r="J1298" s="23" t="n"/>
    </row>
    <row r="1299" ht="30" customHeight="1">
      <c r="G1299" s="33" t="inlineStr">
        <is>
          <t>( x )</t>
        </is>
      </c>
      <c r="H1299" s="34" t="inlineStr">
        <is>
          <t>L12 · Accesos de red disponibles — Cumple: GitHub (repositorio privado), API y PostgreSQL en docker compose, red móvil o wifi para sincronizar (y modo avión para la prueba)</t>
        </is>
      </c>
      <c r="I1299" s="8" t="n"/>
      <c r="J1299" s="23" t="n"/>
    </row>
    <row r="1300" ht="36" customHeight="1">
      <c r="G1300" s="39" t="inlineStr">
        <is>
          <t>Riesgos: Devolución dañada sin registro · si el estado empeoró, se exige observación</t>
        </is>
      </c>
      <c r="H1300" s="8" t="n"/>
      <c r="I1300" s="8" t="n"/>
      <c r="J1300" s="23" t="n"/>
    </row>
    <row r="1301" ht="36" customHeight="1">
      <c r="G1301" s="32" t="inlineStr">
        <is>
          <t>Proveedores de servicio: Teléfono Android de prueba · servidor de la API en la nube</t>
        </is>
      </c>
      <c r="H1301" s="8" t="n"/>
      <c r="I1301" s="8" t="n"/>
      <c r="J1301" s="23" t="n"/>
    </row>
    <row r="1302" ht="36" customHeight="1">
      <c r="G1302" s="36" t="inlineStr">
        <is>
          <t>Costos: 3 pts ≈ 6 horas-persona (1 punto ≈ 2 h) · servicios externos: S/ 0 (planes gratuitos)</t>
        </is>
      </c>
      <c r="H1302" s="37" t="n"/>
      <c r="I1302" s="37" t="n"/>
      <c r="J1302" s="38" t="n"/>
    </row>
    <row r="1305">
      <c r="B1305" s="18" t="inlineStr">
        <is>
          <t>HU-51 · Consultar quién tiene cada herramienta</t>
        </is>
      </c>
    </row>
    <row r="1306" ht="18" customHeight="1">
      <c r="B1306" s="19" t="inlineStr">
        <is>
          <t>TARJETA 1 · Historia de usuario</t>
        </is>
      </c>
      <c r="C1306" s="20" t="n"/>
      <c r="D1306" s="20" t="n"/>
      <c r="E1306" s="21" t="n"/>
      <c r="G1306" s="19" t="inlineStr">
        <is>
          <t>TARJETA 2 · Definición de Listo</t>
        </is>
      </c>
      <c r="H1306" s="20" t="n"/>
      <c r="I1306" s="20" t="n"/>
      <c r="J1306" s="21" t="n"/>
      <c r="L1306" s="19" t="inlineStr">
        <is>
          <t>TARJETA 3 · Definición de Terminado</t>
        </is>
      </c>
      <c r="M1306" s="20" t="n"/>
      <c r="N1306" s="20" t="n"/>
      <c r="O1306" s="21" t="n"/>
    </row>
    <row r="1307" ht="28" customHeight="1">
      <c r="B1307" s="22" t="inlineStr">
        <is>
          <t>La unidad con la que se planifica, se estima y se acepta el trabajo</t>
        </is>
      </c>
      <c r="C1307" s="8" t="n"/>
      <c r="D1307" s="8" t="n"/>
      <c r="E1307" s="23" t="n"/>
      <c r="G1307" s="22" t="inlineStr">
        <is>
          <t>El enfoque está en la consideración del equipo de desarrollo sobre si la historia está lista para un Sprint</t>
        </is>
      </c>
      <c r="H1307" s="8" t="n"/>
      <c r="I1307" s="8" t="n"/>
      <c r="J1307" s="23" t="n"/>
      <c r="L1307" s="22" t="inlineStr">
        <is>
          <t>El enfoque está en la aceptación del cliente cuando se le entregue el producto</t>
        </is>
      </c>
      <c r="M1307" s="8" t="n"/>
      <c r="N1307" s="8" t="n"/>
      <c r="O1307" s="23" t="n"/>
    </row>
    <row r="1308">
      <c r="B1308" s="24" t="inlineStr">
        <is>
          <t>Historia de usuario</t>
        </is>
      </c>
      <c r="C1308" s="8" t="n"/>
      <c r="D1308" s="25" t="inlineStr">
        <is>
          <t>Prioridad</t>
        </is>
      </c>
      <c r="E1308" s="26" t="inlineStr">
        <is>
          <t>Estimación</t>
        </is>
      </c>
      <c r="G1308" s="24" t="inlineStr">
        <is>
          <t>Historia de usuario</t>
        </is>
      </c>
      <c r="H1308" s="8" t="n"/>
      <c r="I1308" s="25" t="inlineStr">
        <is>
          <t>Prioridad</t>
        </is>
      </c>
      <c r="J1308" s="26" t="inlineStr">
        <is>
          <t>Estimación</t>
        </is>
      </c>
      <c r="L1308" s="24" t="inlineStr">
        <is>
          <t>Historia de usuario</t>
        </is>
      </c>
      <c r="M1308" s="8" t="n"/>
      <c r="N1308" s="25" t="inlineStr">
        <is>
          <t>Prioridad</t>
        </is>
      </c>
      <c r="O1308" s="26" t="inlineStr">
        <is>
          <t>Estimación</t>
        </is>
      </c>
    </row>
    <row r="1309" ht="30" customHeight="1">
      <c r="B1309" s="27" t="inlineStr">
        <is>
          <t>HU-51 · Consultar quién tiene cada herramienta</t>
        </is>
      </c>
      <c r="C1309" s="8" t="n"/>
      <c r="D1309" s="9" t="inlineStr">
        <is>
          <t>Alta</t>
        </is>
      </c>
      <c r="E1309" s="28" t="inlineStr">
        <is>
          <t>3 pts</t>
        </is>
      </c>
      <c r="G1309" s="27" t="inlineStr">
        <is>
          <t>HU-51 · Consultar quién tiene cada herramienta</t>
        </is>
      </c>
      <c r="H1309" s="8" t="n"/>
      <c r="I1309" s="9" t="inlineStr">
        <is>
          <t>Alta</t>
        </is>
      </c>
      <c r="J1309" s="28" t="inlineStr">
        <is>
          <t>3 pts</t>
        </is>
      </c>
      <c r="L1309" s="27" t="inlineStr">
        <is>
          <t>HU-51 · Consultar quién tiene cada herramienta</t>
        </is>
      </c>
      <c r="M1309" s="8" t="n"/>
      <c r="N1309" s="9" t="inlineStr">
        <is>
          <t>Alta</t>
        </is>
      </c>
      <c r="O1309" s="28" t="inlineStr">
        <is>
          <t>3 pts</t>
        </is>
      </c>
    </row>
    <row r="1310">
      <c r="B1310" s="29" t="inlineStr">
        <is>
          <t>Descripción:</t>
        </is>
      </c>
      <c r="C1310" s="8" t="n"/>
      <c r="D1310" s="8" t="n"/>
      <c r="E1310" s="23" t="n"/>
      <c r="G1310" s="29" t="inlineStr">
        <is>
          <t>Descripción:</t>
        </is>
      </c>
      <c r="H1310" s="8" t="n"/>
      <c r="I1310" s="8" t="n"/>
      <c r="J1310" s="23" t="n"/>
      <c r="L1310" s="29" t="inlineStr">
        <is>
          <t>Descripción:</t>
        </is>
      </c>
      <c r="M1310" s="8" t="n"/>
      <c r="N1310" s="8" t="n"/>
      <c r="O1310" s="23" t="n"/>
    </row>
    <row r="1311" ht="28" customHeight="1">
      <c r="B1311" s="30" t="inlineStr">
        <is>
          <t>Como residente de obra, quiero consultar dónde está y quién tiene cada herramienta, para ubicarla sin preguntar de persona en persona.</t>
        </is>
      </c>
      <c r="C1311" s="8" t="n"/>
      <c r="D1311" s="8" t="n"/>
      <c r="E1311" s="23" t="n"/>
      <c r="G1311" s="30" t="inlineStr">
        <is>
          <t>Como residente de obra, quiero consultar dónde está y quién tiene cada herramienta, para ubicarla sin preguntar de persona en persona.</t>
        </is>
      </c>
      <c r="H1311" s="8" t="n"/>
      <c r="I1311" s="8" t="n"/>
      <c r="J1311" s="23" t="n"/>
      <c r="L1311" s="30" t="inlineStr">
        <is>
          <t>Como residente de obra, quiero consultar dónde está y quién tiene cada herramienta, para ubicarla sin preguntar de persona en persona.</t>
        </is>
      </c>
      <c r="M1311" s="8" t="n"/>
      <c r="N1311" s="8" t="n"/>
      <c r="O1311" s="23" t="n"/>
    </row>
    <row r="1312" ht="28" customHeight="1">
      <c r="B1312" s="31" t="n"/>
      <c r="C1312" s="8" t="n"/>
      <c r="D1312" s="8" t="n"/>
      <c r="E1312" s="23" t="n"/>
      <c r="G1312" s="31" t="n"/>
      <c r="H1312" s="8" t="n"/>
      <c r="I1312" s="8" t="n"/>
      <c r="J1312" s="23" t="n"/>
      <c r="L1312" s="31" t="n"/>
      <c r="M1312" s="8" t="n"/>
      <c r="N1312" s="8" t="n"/>
      <c r="O1312" s="23" t="n"/>
    </row>
    <row r="1313">
      <c r="B1313" s="29" t="inlineStr">
        <is>
          <t>Ficha de la historia</t>
        </is>
      </c>
      <c r="C1313" s="8" t="n"/>
      <c r="D1313" s="8" t="n"/>
      <c r="E1313" s="23" t="n"/>
      <c r="G1313" s="29" t="inlineStr">
        <is>
          <t>Criterios de listo:</t>
        </is>
      </c>
      <c r="H1313" s="8" t="n"/>
      <c r="I1313" s="8" t="n"/>
      <c r="J1313" s="23" t="n"/>
      <c r="L1313" s="29" t="inlineStr">
        <is>
          <t>Condiciones finales (se marcan cuando el PO acepta la HU en la Review):</t>
        </is>
      </c>
      <c r="M1313" s="8" t="n"/>
      <c r="N1313" s="8" t="n"/>
      <c r="O1313" s="23" t="n"/>
    </row>
    <row r="1314" ht="30" customHeight="1">
      <c r="B1314" s="32" t="inlineStr">
        <is>
          <t>Épica: E5. Controlar las existencias de herramientas y equipos</t>
        </is>
      </c>
      <c r="C1314" s="8" t="n"/>
      <c r="D1314" s="8" t="n"/>
      <c r="E1314" s="23" t="n"/>
      <c r="G1314" s="33" t="inlineStr">
        <is>
          <t>( x )</t>
        </is>
      </c>
      <c r="H1314" s="34" t="inlineStr">
        <is>
          <t>L1 · Redactada en el formato acordado — Cumple</t>
        </is>
      </c>
      <c r="I1314" s="8" t="n"/>
      <c r="J1314" s="23" t="n"/>
      <c r="L1314" s="35" t="inlineStr">
        <is>
          <t>(    )</t>
        </is>
      </c>
      <c r="M1314" s="34" t="inlineStr">
        <is>
          <t>Se han listado las herramientas con su estado y su responsable actual</t>
        </is>
      </c>
      <c r="N1314" s="8" t="n"/>
      <c r="O1314" s="23" t="n"/>
    </row>
    <row r="1315" ht="30" customHeight="1">
      <c r="B1315" s="32" t="inlineStr">
        <is>
          <t>Módulo: Herramientas / Equipos</t>
        </is>
      </c>
      <c r="C1315" s="8" t="n"/>
      <c r="D1315" s="8" t="n"/>
      <c r="E1315" s="23" t="n"/>
      <c r="G1315" s="33" t="inlineStr">
        <is>
          <t>( x )</t>
        </is>
      </c>
      <c r="H1315" s="34" t="inlineStr">
        <is>
          <t>L2 · Nombre corto en forma de acción — Cumple</t>
        </is>
      </c>
      <c r="I1315" s="8" t="n"/>
      <c r="J1315" s="23" t="n"/>
      <c r="L1315" s="35" t="inlineStr">
        <is>
          <t>(    )</t>
        </is>
      </c>
      <c r="M1315" s="34" t="inlineStr">
        <is>
          <t>La lista se ha filtrado por estado</t>
        </is>
      </c>
      <c r="N1315" s="8" t="n"/>
      <c r="O1315" s="23" t="n"/>
    </row>
    <row r="1316" ht="30" customHeight="1">
      <c r="B1316" s="32" t="inlineStr">
        <is>
          <t>Responsable técnico: Web · Víctor Luján</t>
        </is>
      </c>
      <c r="C1316" s="8" t="n"/>
      <c r="D1316" s="8" t="n"/>
      <c r="E1316" s="23" t="n"/>
      <c r="G1316" s="33" t="inlineStr">
        <is>
          <t>( x )</t>
        </is>
      </c>
      <c r="H1316" s="34" t="inlineStr">
        <is>
          <t>L3 · Criterios de aceptación escritos — Cumple</t>
        </is>
      </c>
      <c r="I1316" s="8" t="n"/>
      <c r="J1316" s="23" t="n"/>
      <c r="L1316" s="35" t="inlineStr">
        <is>
          <t>(    )</t>
        </is>
      </c>
      <c r="M1316" s="34" t="inlineStr">
        <is>
          <t>Se ha mostrado el historial de entregas y devoluciones de cada una</t>
        </is>
      </c>
      <c r="N1316" s="8" t="n"/>
      <c r="O1316" s="23" t="n"/>
    </row>
    <row r="1317" ht="36" customHeight="1">
      <c r="B1317" s="36" t="inlineStr">
        <is>
          <t>Depende de: HU-49</t>
        </is>
      </c>
      <c r="C1317" s="37" t="n"/>
      <c r="D1317" s="37" t="n"/>
      <c r="E1317" s="38" t="n"/>
      <c r="G1317" s="33" t="inlineStr">
        <is>
          <t>( x )</t>
        </is>
      </c>
      <c r="H1317" s="34" t="inlineStr">
        <is>
          <t>L4 · Dependencias resueltas — Cumple</t>
        </is>
      </c>
      <c r="I1317" s="8" t="n"/>
      <c r="J1317" s="23" t="n"/>
      <c r="L1317" s="36" t="inlineStr">
        <is>
          <t>Mitad técnica: Además, los diez criterios T1 a T10 de la hoja «3. Criterios DoR y DoD», sin excepción</t>
        </is>
      </c>
      <c r="M1317" s="37" t="n"/>
      <c r="N1317" s="37" t="n"/>
      <c r="O1317" s="38" t="n"/>
    </row>
    <row r="1318" ht="30" customHeight="1">
      <c r="G1318" s="33" t="inlineStr">
        <is>
          <t>( x )</t>
        </is>
      </c>
      <c r="H1318" s="34" t="inlineStr">
        <is>
          <t>L5 · Estimada por los Developers — Cumple</t>
        </is>
      </c>
      <c r="I1318" s="8" t="n"/>
      <c r="J1318" s="23" t="n"/>
    </row>
    <row r="1319" ht="30" customHeight="1">
      <c r="G1319" s="33" t="inlineStr">
        <is>
          <t>( x )</t>
        </is>
      </c>
      <c r="H1319" s="34" t="inlineStr">
        <is>
          <t>L6 · Cabe en un sprint (8 puntos o menos) — Cumple</t>
        </is>
      </c>
      <c r="I1319" s="8" t="n"/>
      <c r="J1319" s="23" t="n"/>
    </row>
    <row r="1320" ht="30" customHeight="1">
      <c r="G1320" s="33" t="inlineStr">
        <is>
          <t>( x )</t>
        </is>
      </c>
      <c r="H1320" s="34" t="inlineStr">
        <is>
          <t>L7 · Reglas de dominio identificadas — Cumple</t>
        </is>
      </c>
      <c r="I1320" s="8" t="n"/>
      <c r="J1320" s="23" t="n"/>
    </row>
    <row r="1321" ht="30" customHeight="1">
      <c r="G1321" s="33" t="inlineStr">
        <is>
          <t>( x )</t>
        </is>
      </c>
      <c r="H1321" s="34" t="inlineStr">
        <is>
          <t>L8 · Datos de prueba disponibles — Cumple</t>
        </is>
      </c>
      <c r="I1321" s="8" t="n"/>
      <c r="J1321" s="23" t="n"/>
    </row>
    <row r="1322" ht="30" customHeight="1">
      <c r="G1322" s="33" t="inlineStr">
        <is>
          <t>( x )</t>
        </is>
      </c>
      <c r="H1322" s="34" t="inlineStr">
        <is>
          <t>L9 · Responsable técnico asignado — Cumple</t>
        </is>
      </c>
      <c r="I1322" s="8" t="n"/>
      <c r="J1322" s="23" t="n"/>
    </row>
    <row r="1323" ht="30" customHeight="1">
      <c r="G1323" s="33" t="inlineStr">
        <is>
          <t>( x )</t>
        </is>
      </c>
      <c r="H1323" s="34" t="inlineStr">
        <is>
          <t>L10 · Recursos identificados — Cumple: Víctor Luján + equipo de desarrollo y datos de prueba</t>
        </is>
      </c>
      <c r="I1323" s="8" t="n"/>
      <c r="J1323" s="23" t="n"/>
    </row>
    <row r="1324" ht="30" customHeight="1">
      <c r="G1324" s="33" t="inlineStr">
        <is>
          <t>( x )</t>
        </is>
      </c>
      <c r="H1324" s="34" t="inlineStr">
        <is>
          <t>L11 · Requisitos técnicos de programación definidos — Cumple: React 18, TypeScript y Vite</t>
        </is>
      </c>
      <c r="I1324" s="8" t="n"/>
      <c r="J1324" s="23" t="n"/>
    </row>
    <row r="1325" ht="30" customHeight="1">
      <c r="G1325" s="33" t="inlineStr">
        <is>
          <t>( x )</t>
        </is>
      </c>
      <c r="H1325" s="34" t="inlineStr">
        <is>
          <t>L12 · Accesos de red disponibles — Cumple: GitHub (repositorio privado), API y PostgreSQL en docker compose</t>
        </is>
      </c>
      <c r="I1325" s="8" t="n"/>
      <c r="J1325" s="23" t="n"/>
    </row>
    <row r="1326" ht="36" customHeight="1">
      <c r="G1326" s="39" t="inlineStr">
        <is>
          <t>Riesgos: No saber quién tiene una herramienta · responsable actual e historial visibles</t>
        </is>
      </c>
      <c r="H1326" s="8" t="n"/>
      <c r="I1326" s="8" t="n"/>
      <c r="J1326" s="23" t="n"/>
    </row>
    <row r="1327" ht="36" customHeight="1">
      <c r="G1327" s="32" t="inlineStr">
        <is>
          <t>Proveedores de servicio: Navegador · API en la nube (PostgreSQL gestionado, capa gratuita)</t>
        </is>
      </c>
      <c r="H1327" s="8" t="n"/>
      <c r="I1327" s="8" t="n"/>
      <c r="J1327" s="23" t="n"/>
    </row>
    <row r="1328" ht="36" customHeight="1">
      <c r="G1328" s="36" t="inlineStr">
        <is>
          <t>Costos: 3 pts ≈ 6 horas-persona (1 punto ≈ 2 h) · servicios externos: S/ 0 (planes gratuitos)</t>
        </is>
      </c>
      <c r="H1328" s="37" t="n"/>
      <c r="I1328" s="37" t="n"/>
      <c r="J1328" s="38" t="n"/>
    </row>
    <row r="1331">
      <c r="B1331" s="18" t="inlineStr">
        <is>
          <t>HU-52 · Registrar mantenimiento de herramienta</t>
        </is>
      </c>
    </row>
    <row r="1332" ht="18" customHeight="1">
      <c r="B1332" s="19" t="inlineStr">
        <is>
          <t>TARJETA 1 · Historia de usuario</t>
        </is>
      </c>
      <c r="C1332" s="20" t="n"/>
      <c r="D1332" s="20" t="n"/>
      <c r="E1332" s="21" t="n"/>
      <c r="G1332" s="19" t="inlineStr">
        <is>
          <t>TARJETA 2 · Definición de Listo</t>
        </is>
      </c>
      <c r="H1332" s="20" t="n"/>
      <c r="I1332" s="20" t="n"/>
      <c r="J1332" s="21" t="n"/>
      <c r="L1332" s="19" t="inlineStr">
        <is>
          <t>TARJETA 3 · Definición de Terminado</t>
        </is>
      </c>
      <c r="M1332" s="20" t="n"/>
      <c r="N1332" s="20" t="n"/>
      <c r="O1332" s="21" t="n"/>
    </row>
    <row r="1333" ht="28" customHeight="1">
      <c r="B1333" s="22" t="inlineStr">
        <is>
          <t>La unidad con la que se planifica, se estima y se acepta el trabajo</t>
        </is>
      </c>
      <c r="C1333" s="8" t="n"/>
      <c r="D1333" s="8" t="n"/>
      <c r="E1333" s="23" t="n"/>
      <c r="G1333" s="22" t="inlineStr">
        <is>
          <t>El enfoque está en la consideración del equipo de desarrollo sobre si la historia está lista para un Sprint</t>
        </is>
      </c>
      <c r="H1333" s="8" t="n"/>
      <c r="I1333" s="8" t="n"/>
      <c r="J1333" s="23" t="n"/>
      <c r="L1333" s="22" t="inlineStr">
        <is>
          <t>El enfoque está en la aceptación del cliente cuando se le entregue el producto</t>
        </is>
      </c>
      <c r="M1333" s="8" t="n"/>
      <c r="N1333" s="8" t="n"/>
      <c r="O1333" s="23" t="n"/>
    </row>
    <row r="1334">
      <c r="B1334" s="24" t="inlineStr">
        <is>
          <t>Historia de usuario</t>
        </is>
      </c>
      <c r="C1334" s="8" t="n"/>
      <c r="D1334" s="25" t="inlineStr">
        <is>
          <t>Prioridad</t>
        </is>
      </c>
      <c r="E1334" s="26" t="inlineStr">
        <is>
          <t>Estimación</t>
        </is>
      </c>
      <c r="G1334" s="24" t="inlineStr">
        <is>
          <t>Historia de usuario</t>
        </is>
      </c>
      <c r="H1334" s="8" t="n"/>
      <c r="I1334" s="25" t="inlineStr">
        <is>
          <t>Prioridad</t>
        </is>
      </c>
      <c r="J1334" s="26" t="inlineStr">
        <is>
          <t>Estimación</t>
        </is>
      </c>
      <c r="L1334" s="24" t="inlineStr">
        <is>
          <t>Historia de usuario</t>
        </is>
      </c>
      <c r="M1334" s="8" t="n"/>
      <c r="N1334" s="25" t="inlineStr">
        <is>
          <t>Prioridad</t>
        </is>
      </c>
      <c r="O1334" s="26" t="inlineStr">
        <is>
          <t>Estimación</t>
        </is>
      </c>
    </row>
    <row r="1335" ht="30" customHeight="1">
      <c r="B1335" s="27" t="inlineStr">
        <is>
          <t>HU-52 · Registrar mantenimiento de herramienta</t>
        </is>
      </c>
      <c r="C1335" s="8" t="n"/>
      <c r="D1335" s="9" t="inlineStr">
        <is>
          <t>Media</t>
        </is>
      </c>
      <c r="E1335" s="28" t="inlineStr">
        <is>
          <t>3 pts</t>
        </is>
      </c>
      <c r="G1335" s="27" t="inlineStr">
        <is>
          <t>HU-52 · Registrar mantenimiento de herramienta</t>
        </is>
      </c>
      <c r="H1335" s="8" t="n"/>
      <c r="I1335" s="9" t="inlineStr">
        <is>
          <t>Media</t>
        </is>
      </c>
      <c r="J1335" s="28" t="inlineStr">
        <is>
          <t>3 pts</t>
        </is>
      </c>
      <c r="L1335" s="27" t="inlineStr">
        <is>
          <t>HU-52 · Registrar mantenimiento de herramienta</t>
        </is>
      </c>
      <c r="M1335" s="8" t="n"/>
      <c r="N1335" s="9" t="inlineStr">
        <is>
          <t>Media</t>
        </is>
      </c>
      <c r="O1335" s="28" t="inlineStr">
        <is>
          <t>3 pts</t>
        </is>
      </c>
    </row>
    <row r="1336">
      <c r="B1336" s="29" t="inlineStr">
        <is>
          <t>Descripción:</t>
        </is>
      </c>
      <c r="C1336" s="8" t="n"/>
      <c r="D1336" s="8" t="n"/>
      <c r="E1336" s="23" t="n"/>
      <c r="G1336" s="29" t="inlineStr">
        <is>
          <t>Descripción:</t>
        </is>
      </c>
      <c r="H1336" s="8" t="n"/>
      <c r="I1336" s="8" t="n"/>
      <c r="J1336" s="23" t="n"/>
      <c r="L1336" s="29" t="inlineStr">
        <is>
          <t>Descripción:</t>
        </is>
      </c>
      <c r="M1336" s="8" t="n"/>
      <c r="N1336" s="8" t="n"/>
      <c r="O1336" s="23" t="n"/>
    </row>
    <row r="1337" ht="28" customHeight="1">
      <c r="B1337" s="30" t="inlineStr">
        <is>
          <t>Como almacenero, quiero registrar el mantenimiento de una herramienta y cuándo corresponde el siguiente, para anticipar su reemplazo antes de que falle.</t>
        </is>
      </c>
      <c r="C1337" s="8" t="n"/>
      <c r="D1337" s="8" t="n"/>
      <c r="E1337" s="23" t="n"/>
      <c r="G1337" s="30" t="inlineStr">
        <is>
          <t>Como almacenero, quiero registrar el mantenimiento de una herramienta y cuándo corresponde el siguiente, para anticipar su reemplazo antes de que falle.</t>
        </is>
      </c>
      <c r="H1337" s="8" t="n"/>
      <c r="I1337" s="8" t="n"/>
      <c r="J1337" s="23" t="n"/>
      <c r="L1337" s="30" t="inlineStr">
        <is>
          <t>Como almacenero, quiero registrar el mantenimiento de una herramienta y cuándo corresponde el siguiente, para anticipar su reemplazo antes de que falle.</t>
        </is>
      </c>
      <c r="M1337" s="8" t="n"/>
      <c r="N1337" s="8" t="n"/>
      <c r="O1337" s="23" t="n"/>
    </row>
    <row r="1338" ht="28" customHeight="1">
      <c r="B1338" s="31" t="n"/>
      <c r="C1338" s="8" t="n"/>
      <c r="D1338" s="8" t="n"/>
      <c r="E1338" s="23" t="n"/>
      <c r="G1338" s="31" t="n"/>
      <c r="H1338" s="8" t="n"/>
      <c r="I1338" s="8" t="n"/>
      <c r="J1338" s="23" t="n"/>
      <c r="L1338" s="31" t="n"/>
      <c r="M1338" s="8" t="n"/>
      <c r="N1338" s="8" t="n"/>
      <c r="O1338" s="23" t="n"/>
    </row>
    <row r="1339">
      <c r="B1339" s="29" t="inlineStr">
        <is>
          <t>Ficha de la historia</t>
        </is>
      </c>
      <c r="C1339" s="8" t="n"/>
      <c r="D1339" s="8" t="n"/>
      <c r="E1339" s="23" t="n"/>
      <c r="G1339" s="29" t="inlineStr">
        <is>
          <t>Criterios de listo:</t>
        </is>
      </c>
      <c r="H1339" s="8" t="n"/>
      <c r="I1339" s="8" t="n"/>
      <c r="J1339" s="23" t="n"/>
      <c r="L1339" s="29" t="inlineStr">
        <is>
          <t>Condiciones finales (se marcan cuando el PO acepta la HU en la Review):</t>
        </is>
      </c>
      <c r="M1339" s="8" t="n"/>
      <c r="N1339" s="8" t="n"/>
      <c r="O1339" s="23" t="n"/>
    </row>
    <row r="1340" ht="30" customHeight="1">
      <c r="B1340" s="32" t="inlineStr">
        <is>
          <t>Épica: E5. Controlar las existencias de herramientas y equipos</t>
        </is>
      </c>
      <c r="C1340" s="8" t="n"/>
      <c r="D1340" s="8" t="n"/>
      <c r="E1340" s="23" t="n"/>
      <c r="G1340" s="33" t="inlineStr">
        <is>
          <t>( x )</t>
        </is>
      </c>
      <c r="H1340" s="34" t="inlineStr">
        <is>
          <t>L1 · Redactada en el formato acordado — Cumple</t>
        </is>
      </c>
      <c r="I1340" s="8" t="n"/>
      <c r="J1340" s="23" t="n"/>
      <c r="L1340" s="35" t="inlineStr">
        <is>
          <t>(    )</t>
        </is>
      </c>
      <c r="M1340" s="34" t="inlineStr">
        <is>
          <t>El mantenimiento se ha registrado con fecha, tipo y costo si lo hubo</t>
        </is>
      </c>
      <c r="N1340" s="8" t="n"/>
      <c r="O1340" s="23" t="n"/>
    </row>
    <row r="1341" ht="30" customHeight="1">
      <c r="B1341" s="32" t="inlineStr">
        <is>
          <t>Módulo: Herramientas / Equipos</t>
        </is>
      </c>
      <c r="C1341" s="8" t="n"/>
      <c r="D1341" s="8" t="n"/>
      <c r="E1341" s="23" t="n"/>
      <c r="G1341" s="33" t="inlineStr">
        <is>
          <t>( x )</t>
        </is>
      </c>
      <c r="H1341" s="34" t="inlineStr">
        <is>
          <t>L2 · Nombre corto en forma de acción — Cumple</t>
        </is>
      </c>
      <c r="I1341" s="8" t="n"/>
      <c r="J1341" s="23" t="n"/>
      <c r="L1341" s="35" t="inlineStr">
        <is>
          <t>(    )</t>
        </is>
      </c>
      <c r="M1341" s="34" t="inlineStr">
        <is>
          <t>Se ha fijado la fecha del próximo mantenimiento</t>
        </is>
      </c>
      <c r="N1341" s="8" t="n"/>
      <c r="O1341" s="23" t="n"/>
    </row>
    <row r="1342" ht="30" customHeight="1">
      <c r="B1342" s="32" t="inlineStr">
        <is>
          <t>Responsable técnico: Android · Nicolás Pachamora</t>
        </is>
      </c>
      <c r="C1342" s="8" t="n"/>
      <c r="D1342" s="8" t="n"/>
      <c r="E1342" s="23" t="n"/>
      <c r="G1342" s="33" t="inlineStr">
        <is>
          <t>( x )</t>
        </is>
      </c>
      <c r="H1342" s="34" t="inlineStr">
        <is>
          <t>L3 · Criterios de aceptación escritos — Cumple</t>
        </is>
      </c>
      <c r="I1342" s="8" t="n"/>
      <c r="J1342" s="23" t="n"/>
      <c r="L1342" s="35" t="inlineStr">
        <is>
          <t>(    )</t>
        </is>
      </c>
      <c r="M1342" s="34" t="inlineStr">
        <is>
          <t>Mientras duró, la herramienta no se ha podido entregar</t>
        </is>
      </c>
      <c r="N1342" s="8" t="n"/>
      <c r="O1342" s="23" t="n"/>
    </row>
    <row r="1343" ht="30" customHeight="1">
      <c r="B1343" s="36" t="inlineStr">
        <is>
          <t>Depende de: HU-48</t>
        </is>
      </c>
      <c r="C1343" s="37" t="n"/>
      <c r="D1343" s="37" t="n"/>
      <c r="E1343" s="38" t="n"/>
      <c r="G1343" s="33" t="inlineStr">
        <is>
          <t>( x )</t>
        </is>
      </c>
      <c r="H1343" s="34" t="inlineStr">
        <is>
          <t>L4 · Dependencias resueltas — Cumple</t>
        </is>
      </c>
      <c r="I1343" s="8" t="n"/>
      <c r="J1343" s="23" t="n"/>
      <c r="L1343" s="35" t="inlineStr">
        <is>
          <t>(    )</t>
        </is>
      </c>
      <c r="M1343" s="34" t="inlineStr">
        <is>
          <t>Las que tienen mantenimiento vencido se han señalado en la consulta</t>
        </is>
      </c>
      <c r="N1343" s="8" t="n"/>
      <c r="O1343" s="23" t="n"/>
    </row>
    <row r="1344" ht="36" customHeight="1">
      <c r="G1344" s="33" t="inlineStr">
        <is>
          <t>( x )</t>
        </is>
      </c>
      <c r="H1344" s="34" t="inlineStr">
        <is>
          <t>L5 · Estimada por los Developers — Cumple</t>
        </is>
      </c>
      <c r="I1344" s="8" t="n"/>
      <c r="J1344" s="23" t="n"/>
      <c r="L1344" s="36" t="inlineStr">
        <is>
          <t>Mitad técnica: Además, los diez criterios T1 a T10 de la hoja «3. Criterios DoR y DoD», sin excepción</t>
        </is>
      </c>
      <c r="M1344" s="37" t="n"/>
      <c r="N1344" s="37" t="n"/>
      <c r="O1344" s="38" t="n"/>
    </row>
    <row r="1345" ht="30" customHeight="1">
      <c r="G1345" s="33" t="inlineStr">
        <is>
          <t>( x )</t>
        </is>
      </c>
      <c r="H1345" s="34" t="inlineStr">
        <is>
          <t>L6 · Cabe en un sprint (8 puntos o menos) — Cumple</t>
        </is>
      </c>
      <c r="I1345" s="8" t="n"/>
      <c r="J1345" s="23" t="n"/>
    </row>
    <row r="1346" ht="30" customHeight="1">
      <c r="G1346" s="33" t="inlineStr">
        <is>
          <t>( x )</t>
        </is>
      </c>
      <c r="H1346" s="34" t="inlineStr">
        <is>
          <t>L7 · Reglas de dominio identificadas — Cumple</t>
        </is>
      </c>
      <c r="I1346" s="8" t="n"/>
      <c r="J1346" s="23" t="n"/>
    </row>
    <row r="1347" ht="30" customHeight="1">
      <c r="G1347" s="33" t="inlineStr">
        <is>
          <t>( x )</t>
        </is>
      </c>
      <c r="H1347" s="34" t="inlineStr">
        <is>
          <t>L8 · Datos de prueba disponibles — Cumple</t>
        </is>
      </c>
      <c r="I1347" s="8" t="n"/>
      <c r="J1347" s="23" t="n"/>
    </row>
    <row r="1348" ht="30" customHeight="1">
      <c r="G1348" s="33" t="inlineStr">
        <is>
          <t>( x )</t>
        </is>
      </c>
      <c r="H1348" s="34" t="inlineStr">
        <is>
          <t>L9 · Responsable técnico asignado — Cumple</t>
        </is>
      </c>
      <c r="I1348" s="8" t="n"/>
      <c r="J1348" s="23" t="n"/>
    </row>
    <row r="1349" ht="30" customHeight="1">
      <c r="G1349" s="33" t="inlineStr">
        <is>
          <t>( x )</t>
        </is>
      </c>
      <c r="H1349" s="34" t="inlineStr">
        <is>
          <t>L10 · Recursos identificados — Cumple: Nicolás Pachamora + equipo de desarrollo y datos de prueba</t>
        </is>
      </c>
      <c r="I1349" s="8" t="n"/>
      <c r="J1349" s="23" t="n"/>
    </row>
    <row r="1350" ht="30" customHeight="1">
      <c r="G1350" s="33" t="inlineStr">
        <is>
          <t>( x )</t>
        </is>
      </c>
      <c r="H1350" s="34" t="inlineStr">
        <is>
          <t>L11 · Requisitos técnicos de programación definidos — Cumple: Kotlin, Jetpack Compose, Room y WorkManager</t>
        </is>
      </c>
      <c r="I1350" s="8" t="n"/>
      <c r="J1350" s="23" t="n"/>
    </row>
    <row r="1351" ht="30" customHeight="1">
      <c r="G1351" s="33" t="inlineStr">
        <is>
          <t>( x )</t>
        </is>
      </c>
      <c r="H1351" s="34" t="inlineStr">
        <is>
          <t>L12 · Accesos de red disponibles — Cumple: GitHub (repositorio privado), API y PostgreSQL en docker compose, red móvil o wifi para sincronizar (y modo avión para la prueba)</t>
        </is>
      </c>
      <c r="I1351" s="8" t="n"/>
      <c r="J1351" s="23" t="n"/>
    </row>
    <row r="1352" ht="36" customHeight="1">
      <c r="G1352" s="39" t="inlineStr">
        <is>
          <t>Riesgos: Entregar una herramienta en mantenimiento · bloqueada mientras dure</t>
        </is>
      </c>
      <c r="H1352" s="8" t="n"/>
      <c r="I1352" s="8" t="n"/>
      <c r="J1352" s="23" t="n"/>
    </row>
    <row r="1353" ht="36" customHeight="1">
      <c r="G1353" s="32" t="inlineStr">
        <is>
          <t>Proveedores de servicio: Teléfono Android de prueba · servidor de la API en la nube</t>
        </is>
      </c>
      <c r="H1353" s="8" t="n"/>
      <c r="I1353" s="8" t="n"/>
      <c r="J1353" s="23" t="n"/>
    </row>
    <row r="1354" ht="36" customHeight="1">
      <c r="G1354" s="36" t="inlineStr">
        <is>
          <t>Costos: 3 pts ≈ 6 horas-persona (1 punto ≈ 2 h) · servicios externos: S/ 0 (planes gratuitos)</t>
        </is>
      </c>
      <c r="H1354" s="37" t="n"/>
      <c r="I1354" s="37" t="n"/>
      <c r="J1354" s="38" t="n"/>
    </row>
    <row r="1357">
      <c r="B1357" s="18" t="inlineStr">
        <is>
          <t>HU-53 · Dar de baja herramienta</t>
        </is>
      </c>
    </row>
    <row r="1358" ht="18" customHeight="1">
      <c r="B1358" s="19" t="inlineStr">
        <is>
          <t>TARJETA 1 · Historia de usuario</t>
        </is>
      </c>
      <c r="C1358" s="20" t="n"/>
      <c r="D1358" s="20" t="n"/>
      <c r="E1358" s="21" t="n"/>
      <c r="G1358" s="19" t="inlineStr">
        <is>
          <t>TARJETA 2 · Definición de Listo</t>
        </is>
      </c>
      <c r="H1358" s="20" t="n"/>
      <c r="I1358" s="20" t="n"/>
      <c r="J1358" s="21" t="n"/>
      <c r="L1358" s="19" t="inlineStr">
        <is>
          <t>TARJETA 3 · Definición de Terminado</t>
        </is>
      </c>
      <c r="M1358" s="20" t="n"/>
      <c r="N1358" s="20" t="n"/>
      <c r="O1358" s="21" t="n"/>
    </row>
    <row r="1359" ht="28" customHeight="1">
      <c r="B1359" s="22" t="inlineStr">
        <is>
          <t>La unidad con la que se planifica, se estima y se acepta el trabajo</t>
        </is>
      </c>
      <c r="C1359" s="8" t="n"/>
      <c r="D1359" s="8" t="n"/>
      <c r="E1359" s="23" t="n"/>
      <c r="G1359" s="22" t="inlineStr">
        <is>
          <t>El enfoque está en la consideración del equipo de desarrollo sobre si la historia está lista para un Sprint</t>
        </is>
      </c>
      <c r="H1359" s="8" t="n"/>
      <c r="I1359" s="8" t="n"/>
      <c r="J1359" s="23" t="n"/>
      <c r="L1359" s="22" t="inlineStr">
        <is>
          <t>El enfoque está en la aceptación del cliente cuando se le entregue el producto</t>
        </is>
      </c>
      <c r="M1359" s="8" t="n"/>
      <c r="N1359" s="8" t="n"/>
      <c r="O1359" s="23" t="n"/>
    </row>
    <row r="1360">
      <c r="B1360" s="24" t="inlineStr">
        <is>
          <t>Historia de usuario</t>
        </is>
      </c>
      <c r="C1360" s="8" t="n"/>
      <c r="D1360" s="25" t="inlineStr">
        <is>
          <t>Prioridad</t>
        </is>
      </c>
      <c r="E1360" s="26" t="inlineStr">
        <is>
          <t>Estimación</t>
        </is>
      </c>
      <c r="G1360" s="24" t="inlineStr">
        <is>
          <t>Historia de usuario</t>
        </is>
      </c>
      <c r="H1360" s="8" t="n"/>
      <c r="I1360" s="25" t="inlineStr">
        <is>
          <t>Prioridad</t>
        </is>
      </c>
      <c r="J1360" s="26" t="inlineStr">
        <is>
          <t>Estimación</t>
        </is>
      </c>
      <c r="L1360" s="24" t="inlineStr">
        <is>
          <t>Historia de usuario</t>
        </is>
      </c>
      <c r="M1360" s="8" t="n"/>
      <c r="N1360" s="25" t="inlineStr">
        <is>
          <t>Prioridad</t>
        </is>
      </c>
      <c r="O1360" s="26" t="inlineStr">
        <is>
          <t>Estimación</t>
        </is>
      </c>
    </row>
    <row r="1361" ht="30" customHeight="1">
      <c r="B1361" s="27" t="inlineStr">
        <is>
          <t>HU-53 · Dar de baja herramienta</t>
        </is>
      </c>
      <c r="C1361" s="8" t="n"/>
      <c r="D1361" s="9" t="inlineStr">
        <is>
          <t>Media</t>
        </is>
      </c>
      <c r="E1361" s="28" t="inlineStr">
        <is>
          <t>2 pts</t>
        </is>
      </c>
      <c r="G1361" s="27" t="inlineStr">
        <is>
          <t>HU-53 · Dar de baja herramienta</t>
        </is>
      </c>
      <c r="H1361" s="8" t="n"/>
      <c r="I1361" s="9" t="inlineStr">
        <is>
          <t>Media</t>
        </is>
      </c>
      <c r="J1361" s="28" t="inlineStr">
        <is>
          <t>2 pts</t>
        </is>
      </c>
      <c r="L1361" s="27" t="inlineStr">
        <is>
          <t>HU-53 · Dar de baja herramienta</t>
        </is>
      </c>
      <c r="M1361" s="8" t="n"/>
      <c r="N1361" s="9" t="inlineStr">
        <is>
          <t>Media</t>
        </is>
      </c>
      <c r="O1361" s="28" t="inlineStr">
        <is>
          <t>2 pts</t>
        </is>
      </c>
    </row>
    <row r="1362">
      <c r="B1362" s="29" t="inlineStr">
        <is>
          <t>Descripción:</t>
        </is>
      </c>
      <c r="C1362" s="8" t="n"/>
      <c r="D1362" s="8" t="n"/>
      <c r="E1362" s="23" t="n"/>
      <c r="G1362" s="29" t="inlineStr">
        <is>
          <t>Descripción:</t>
        </is>
      </c>
      <c r="H1362" s="8" t="n"/>
      <c r="I1362" s="8" t="n"/>
      <c r="J1362" s="23" t="n"/>
      <c r="L1362" s="29" t="inlineStr">
        <is>
          <t>Descripción:</t>
        </is>
      </c>
      <c r="M1362" s="8" t="n"/>
      <c r="N1362" s="8" t="n"/>
      <c r="O1362" s="23" t="n"/>
    </row>
    <row r="1363" ht="28" customHeight="1">
      <c r="B1363" s="30" t="inlineStr">
        <is>
          <t>Como almacenero, quiero dar de baja una herramienta perdida o deteriorada, para explicar por qué no regresan todas las que salieron.</t>
        </is>
      </c>
      <c r="C1363" s="8" t="n"/>
      <c r="D1363" s="8" t="n"/>
      <c r="E1363" s="23" t="n"/>
      <c r="G1363" s="30" t="inlineStr">
        <is>
          <t>Como almacenero, quiero dar de baja una herramienta perdida o deteriorada, para explicar por qué no regresan todas las que salieron.</t>
        </is>
      </c>
      <c r="H1363" s="8" t="n"/>
      <c r="I1363" s="8" t="n"/>
      <c r="J1363" s="23" t="n"/>
      <c r="L1363" s="30" t="inlineStr">
        <is>
          <t>Como almacenero, quiero dar de baja una herramienta perdida o deteriorada, para explicar por qué no regresan todas las que salieron.</t>
        </is>
      </c>
      <c r="M1363" s="8" t="n"/>
      <c r="N1363" s="8" t="n"/>
      <c r="O1363" s="23" t="n"/>
    </row>
    <row r="1364" ht="28" customHeight="1">
      <c r="B1364" s="31" t="n"/>
      <c r="C1364" s="8" t="n"/>
      <c r="D1364" s="8" t="n"/>
      <c r="E1364" s="23" t="n"/>
      <c r="G1364" s="31" t="n"/>
      <c r="H1364" s="8" t="n"/>
      <c r="I1364" s="8" t="n"/>
      <c r="J1364" s="23" t="n"/>
      <c r="L1364" s="31" t="n"/>
      <c r="M1364" s="8" t="n"/>
      <c r="N1364" s="8" t="n"/>
      <c r="O1364" s="23" t="n"/>
    </row>
    <row r="1365">
      <c r="B1365" s="29" t="inlineStr">
        <is>
          <t>Ficha de la historia</t>
        </is>
      </c>
      <c r="C1365" s="8" t="n"/>
      <c r="D1365" s="8" t="n"/>
      <c r="E1365" s="23" t="n"/>
      <c r="G1365" s="29" t="inlineStr">
        <is>
          <t>Criterios de listo:</t>
        </is>
      </c>
      <c r="H1365" s="8" t="n"/>
      <c r="I1365" s="8" t="n"/>
      <c r="J1365" s="23" t="n"/>
      <c r="L1365" s="29" t="inlineStr">
        <is>
          <t>Condiciones finales (se marcan cuando el PO acepta la HU en la Review):</t>
        </is>
      </c>
      <c r="M1365" s="8" t="n"/>
      <c r="N1365" s="8" t="n"/>
      <c r="O1365" s="23" t="n"/>
    </row>
    <row r="1366" ht="30" customHeight="1">
      <c r="B1366" s="32" t="inlineStr">
        <is>
          <t>Épica: E5. Controlar las existencias de herramientas y equipos</t>
        </is>
      </c>
      <c r="C1366" s="8" t="n"/>
      <c r="D1366" s="8" t="n"/>
      <c r="E1366" s="23" t="n"/>
      <c r="G1366" s="33" t="inlineStr">
        <is>
          <t>( x )</t>
        </is>
      </c>
      <c r="H1366" s="34" t="inlineStr">
        <is>
          <t>L1 · Redactada en el formato acordado — Cumple</t>
        </is>
      </c>
      <c r="I1366" s="8" t="n"/>
      <c r="J1366" s="23" t="n"/>
      <c r="L1366" s="35" t="inlineStr">
        <is>
          <t>(    )</t>
        </is>
      </c>
      <c r="M1366" s="34" t="inlineStr">
        <is>
          <t>La baja se ha registrado con su motivo y su último responsable</t>
        </is>
      </c>
      <c r="N1366" s="8" t="n"/>
      <c r="O1366" s="23" t="n"/>
    </row>
    <row r="1367" ht="30" customHeight="1">
      <c r="B1367" s="32" t="inlineStr">
        <is>
          <t>Módulo: Herramientas / Equipos</t>
        </is>
      </c>
      <c r="C1367" s="8" t="n"/>
      <c r="D1367" s="8" t="n"/>
      <c r="E1367" s="23" t="n"/>
      <c r="G1367" s="33" t="inlineStr">
        <is>
          <t>( x )</t>
        </is>
      </c>
      <c r="H1367" s="34" t="inlineStr">
        <is>
          <t>L2 · Nombre corto en forma de acción — Cumple</t>
        </is>
      </c>
      <c r="I1367" s="8" t="n"/>
      <c r="J1367" s="23" t="n"/>
      <c r="L1367" s="35" t="inlineStr">
        <is>
          <t>(    )</t>
        </is>
      </c>
      <c r="M1367" s="34" t="inlineStr">
        <is>
          <t>La herramienta dada de baja no se ha podido entregar ni devolver</t>
        </is>
      </c>
      <c r="N1367" s="8" t="n"/>
      <c r="O1367" s="23" t="n"/>
    </row>
    <row r="1368" ht="30" customHeight="1">
      <c r="B1368" s="32" t="inlineStr">
        <is>
          <t>Responsable técnico: Android · Nicolás Pachamora</t>
        </is>
      </c>
      <c r="C1368" s="8" t="n"/>
      <c r="D1368" s="8" t="n"/>
      <c r="E1368" s="23" t="n"/>
      <c r="G1368" s="33" t="inlineStr">
        <is>
          <t>( x )</t>
        </is>
      </c>
      <c r="H1368" s="34" t="inlineStr">
        <is>
          <t>L3 · Criterios de aceptación escritos — Cumple</t>
        </is>
      </c>
      <c r="I1368" s="8" t="n"/>
      <c r="J1368" s="23" t="n"/>
      <c r="L1368" s="35" t="inlineStr">
        <is>
          <t>(    )</t>
        </is>
      </c>
      <c r="M1368" s="34" t="inlineStr">
        <is>
          <t>Su historial se ha conservado</t>
        </is>
      </c>
      <c r="N1368" s="8" t="n"/>
      <c r="O1368" s="23" t="n"/>
    </row>
    <row r="1369" ht="36" customHeight="1">
      <c r="B1369" s="36" t="inlineStr">
        <is>
          <t>Depende de: HU-49</t>
        </is>
      </c>
      <c r="C1369" s="37" t="n"/>
      <c r="D1369" s="37" t="n"/>
      <c r="E1369" s="38" t="n"/>
      <c r="G1369" s="33" t="inlineStr">
        <is>
          <t>( x )</t>
        </is>
      </c>
      <c r="H1369" s="34" t="inlineStr">
        <is>
          <t>L4 · Dependencias resueltas — Cumple</t>
        </is>
      </c>
      <c r="I1369" s="8" t="n"/>
      <c r="J1369" s="23" t="n"/>
      <c r="L1369" s="36" t="inlineStr">
        <is>
          <t>Mitad técnica: Además, los diez criterios T1 a T10 de la hoja «3. Criterios DoR y DoD», sin excepción</t>
        </is>
      </c>
      <c r="M1369" s="37" t="n"/>
      <c r="N1369" s="37" t="n"/>
      <c r="O1369" s="38" t="n"/>
    </row>
    <row r="1370" ht="30" customHeight="1">
      <c r="G1370" s="33" t="inlineStr">
        <is>
          <t>( x )</t>
        </is>
      </c>
      <c r="H1370" s="34" t="inlineStr">
        <is>
          <t>L5 · Estimada por los Developers — Cumple</t>
        </is>
      </c>
      <c r="I1370" s="8" t="n"/>
      <c r="J1370" s="23" t="n"/>
    </row>
    <row r="1371" ht="30" customHeight="1">
      <c r="G1371" s="33" t="inlineStr">
        <is>
          <t>( x )</t>
        </is>
      </c>
      <c r="H1371" s="34" t="inlineStr">
        <is>
          <t>L6 · Cabe en un sprint (8 puntos o menos) — Cumple</t>
        </is>
      </c>
      <c r="I1371" s="8" t="n"/>
      <c r="J1371" s="23" t="n"/>
    </row>
    <row r="1372" ht="30" customHeight="1">
      <c r="G1372" s="33" t="inlineStr">
        <is>
          <t>( x )</t>
        </is>
      </c>
      <c r="H1372" s="34" t="inlineStr">
        <is>
          <t>L7 · Reglas de dominio identificadas — Cumple</t>
        </is>
      </c>
      <c r="I1372" s="8" t="n"/>
      <c r="J1372" s="23" t="n"/>
    </row>
    <row r="1373" ht="30" customHeight="1">
      <c r="G1373" s="33" t="inlineStr">
        <is>
          <t>( x )</t>
        </is>
      </c>
      <c r="H1373" s="34" t="inlineStr">
        <is>
          <t>L8 · Datos de prueba disponibles — Cumple</t>
        </is>
      </c>
      <c r="I1373" s="8" t="n"/>
      <c r="J1373" s="23" t="n"/>
    </row>
    <row r="1374" ht="30" customHeight="1">
      <c r="G1374" s="33" t="inlineStr">
        <is>
          <t>( x )</t>
        </is>
      </c>
      <c r="H1374" s="34" t="inlineStr">
        <is>
          <t>L9 · Responsable técnico asignado — Cumple</t>
        </is>
      </c>
      <c r="I1374" s="8" t="n"/>
      <c r="J1374" s="23" t="n"/>
    </row>
    <row r="1375" ht="30" customHeight="1">
      <c r="G1375" s="33" t="inlineStr">
        <is>
          <t>( x )</t>
        </is>
      </c>
      <c r="H1375" s="34" t="inlineStr">
        <is>
          <t>L10 · Recursos identificados — Cumple: Nicolás Pachamora + equipo de desarrollo y datos de prueba</t>
        </is>
      </c>
      <c r="I1375" s="8" t="n"/>
      <c r="J1375" s="23" t="n"/>
    </row>
    <row r="1376" ht="30" customHeight="1">
      <c r="G1376" s="33" t="inlineStr">
        <is>
          <t>( x )</t>
        </is>
      </c>
      <c r="H1376" s="34" t="inlineStr">
        <is>
          <t>L11 · Requisitos técnicos de programación definidos — Cumple: Kotlin, Jetpack Compose, Room y WorkManager</t>
        </is>
      </c>
      <c r="I1376" s="8" t="n"/>
      <c r="J1376" s="23" t="n"/>
    </row>
    <row r="1377" ht="30" customHeight="1">
      <c r="G1377" s="33" t="inlineStr">
        <is>
          <t>( x )</t>
        </is>
      </c>
      <c r="H1377" s="34" t="inlineStr">
        <is>
          <t>L12 · Accesos de red disponibles — Cumple: GitHub (repositorio privado), API y PostgreSQL en docker compose, red móvil o wifi para sincronizar (y modo avión para la prueba)</t>
        </is>
      </c>
      <c r="I1377" s="8" t="n"/>
      <c r="J1377" s="23" t="n"/>
    </row>
    <row r="1378" ht="36" customHeight="1">
      <c r="G1378" s="39" t="inlineStr">
        <is>
          <t>Riesgos: Perder el historial al dar de baja · la baja es un estado con fecha; nada se borra</t>
        </is>
      </c>
      <c r="H1378" s="8" t="n"/>
      <c r="I1378" s="8" t="n"/>
      <c r="J1378" s="23" t="n"/>
    </row>
    <row r="1379" ht="36" customHeight="1">
      <c r="G1379" s="32" t="inlineStr">
        <is>
          <t>Proveedores de servicio: Teléfono Android de prueba · servidor de la API en la nube</t>
        </is>
      </c>
      <c r="H1379" s="8" t="n"/>
      <c r="I1379" s="8" t="n"/>
      <c r="J1379" s="23" t="n"/>
    </row>
    <row r="1380" ht="36" customHeight="1">
      <c r="G1380" s="36" t="inlineStr">
        <is>
          <t>Costos: 2 pts ≈ 4 horas-persona (1 punto ≈ 2 h) · servicios externos: S/ 0 (planes gratuitos)</t>
        </is>
      </c>
      <c r="H1380" s="37" t="n"/>
      <c r="I1380" s="37" t="n"/>
      <c r="J1380" s="38" t="n"/>
    </row>
    <row r="1383">
      <c r="B1383" s="18" t="inlineStr">
        <is>
          <t>HU-54 · Revisar herramientas al cierre</t>
        </is>
      </c>
    </row>
    <row r="1384" ht="18" customHeight="1">
      <c r="B1384" s="19" t="inlineStr">
        <is>
          <t>TARJETA 1 · Historia de usuario</t>
        </is>
      </c>
      <c r="C1384" s="20" t="n"/>
      <c r="D1384" s="20" t="n"/>
      <c r="E1384" s="21" t="n"/>
      <c r="G1384" s="19" t="inlineStr">
        <is>
          <t>TARJETA 2 · Definición de Listo</t>
        </is>
      </c>
      <c r="H1384" s="20" t="n"/>
      <c r="I1384" s="20" t="n"/>
      <c r="J1384" s="21" t="n"/>
      <c r="L1384" s="19" t="inlineStr">
        <is>
          <t>TARJETA 3 · Definición de Terminado</t>
        </is>
      </c>
      <c r="M1384" s="20" t="n"/>
      <c r="N1384" s="20" t="n"/>
      <c r="O1384" s="21" t="n"/>
    </row>
    <row r="1385" ht="28" customHeight="1">
      <c r="B1385" s="22" t="inlineStr">
        <is>
          <t>La unidad con la que se planifica, se estima y se acepta el trabajo</t>
        </is>
      </c>
      <c r="C1385" s="8" t="n"/>
      <c r="D1385" s="8" t="n"/>
      <c r="E1385" s="23" t="n"/>
      <c r="G1385" s="22" t="inlineStr">
        <is>
          <t>El enfoque está en la consideración del equipo de desarrollo sobre si la historia está lista para un Sprint</t>
        </is>
      </c>
      <c r="H1385" s="8" t="n"/>
      <c r="I1385" s="8" t="n"/>
      <c r="J1385" s="23" t="n"/>
      <c r="L1385" s="22" t="inlineStr">
        <is>
          <t>El enfoque está en la aceptación del cliente cuando se le entregue el producto</t>
        </is>
      </c>
      <c r="M1385" s="8" t="n"/>
      <c r="N1385" s="8" t="n"/>
      <c r="O1385" s="23" t="n"/>
    </row>
    <row r="1386">
      <c r="B1386" s="24" t="inlineStr">
        <is>
          <t>Historia de usuario</t>
        </is>
      </c>
      <c r="C1386" s="8" t="n"/>
      <c r="D1386" s="25" t="inlineStr">
        <is>
          <t>Prioridad</t>
        </is>
      </c>
      <c r="E1386" s="26" t="inlineStr">
        <is>
          <t>Estimación</t>
        </is>
      </c>
      <c r="G1386" s="24" t="inlineStr">
        <is>
          <t>Historia de usuario</t>
        </is>
      </c>
      <c r="H1386" s="8" t="n"/>
      <c r="I1386" s="25" t="inlineStr">
        <is>
          <t>Prioridad</t>
        </is>
      </c>
      <c r="J1386" s="26" t="inlineStr">
        <is>
          <t>Estimación</t>
        </is>
      </c>
      <c r="L1386" s="24" t="inlineStr">
        <is>
          <t>Historia de usuario</t>
        </is>
      </c>
      <c r="M1386" s="8" t="n"/>
      <c r="N1386" s="25" t="inlineStr">
        <is>
          <t>Prioridad</t>
        </is>
      </c>
      <c r="O1386" s="26" t="inlineStr">
        <is>
          <t>Estimación</t>
        </is>
      </c>
    </row>
    <row r="1387" ht="30" customHeight="1">
      <c r="B1387" s="27" t="inlineStr">
        <is>
          <t>HU-54 · Revisar herramientas al cierre</t>
        </is>
      </c>
      <c r="C1387" s="8" t="n"/>
      <c r="D1387" s="9" t="inlineStr">
        <is>
          <t>Alta</t>
        </is>
      </c>
      <c r="E1387" s="28" t="inlineStr">
        <is>
          <t>3 pts</t>
        </is>
      </c>
      <c r="G1387" s="27" t="inlineStr">
        <is>
          <t>HU-54 · Revisar herramientas al cierre</t>
        </is>
      </c>
      <c r="H1387" s="8" t="n"/>
      <c r="I1387" s="9" t="inlineStr">
        <is>
          <t>Alta</t>
        </is>
      </c>
      <c r="J1387" s="28" t="inlineStr">
        <is>
          <t>3 pts</t>
        </is>
      </c>
      <c r="L1387" s="27" t="inlineStr">
        <is>
          <t>HU-54 · Revisar herramientas al cierre</t>
        </is>
      </c>
      <c r="M1387" s="8" t="n"/>
      <c r="N1387" s="9" t="inlineStr">
        <is>
          <t>Alta</t>
        </is>
      </c>
      <c r="O1387" s="28" t="inlineStr">
        <is>
          <t>3 pts</t>
        </is>
      </c>
    </row>
    <row r="1388">
      <c r="B1388" s="29" t="inlineStr">
        <is>
          <t>Descripción:</t>
        </is>
      </c>
      <c r="C1388" s="8" t="n"/>
      <c r="D1388" s="8" t="n"/>
      <c r="E1388" s="23" t="n"/>
      <c r="G1388" s="29" t="inlineStr">
        <is>
          <t>Descripción:</t>
        </is>
      </c>
      <c r="H1388" s="8" t="n"/>
      <c r="I1388" s="8" t="n"/>
      <c r="J1388" s="23" t="n"/>
      <c r="L1388" s="29" t="inlineStr">
        <is>
          <t>Descripción:</t>
        </is>
      </c>
      <c r="M1388" s="8" t="n"/>
      <c r="N1388" s="8" t="n"/>
      <c r="O1388" s="23" t="n"/>
    </row>
    <row r="1389" ht="28" customHeight="1">
      <c r="B1389" s="30" t="inlineStr">
        <is>
          <t>Como almacenero, quiero declarar el estado de cada herramienta al cerrar la obra, para sustentar el desgaste frente a la gerencia.</t>
        </is>
      </c>
      <c r="C1389" s="8" t="n"/>
      <c r="D1389" s="8" t="n"/>
      <c r="E1389" s="23" t="n"/>
      <c r="G1389" s="30" t="inlineStr">
        <is>
          <t>Como almacenero, quiero declarar el estado de cada herramienta al cerrar la obra, para sustentar el desgaste frente a la gerencia.</t>
        </is>
      </c>
      <c r="H1389" s="8" t="n"/>
      <c r="I1389" s="8" t="n"/>
      <c r="J1389" s="23" t="n"/>
      <c r="L1389" s="30" t="inlineStr">
        <is>
          <t>Como almacenero, quiero declarar el estado de cada herramienta al cerrar la obra, para sustentar el desgaste frente a la gerencia.</t>
        </is>
      </c>
      <c r="M1389" s="8" t="n"/>
      <c r="N1389" s="8" t="n"/>
      <c r="O1389" s="23" t="n"/>
    </row>
    <row r="1390" ht="28" customHeight="1">
      <c r="B1390" s="31" t="n"/>
      <c r="C1390" s="8" t="n"/>
      <c r="D1390" s="8" t="n"/>
      <c r="E1390" s="23" t="n"/>
      <c r="G1390" s="31" t="n"/>
      <c r="H1390" s="8" t="n"/>
      <c r="I1390" s="8" t="n"/>
      <c r="J1390" s="23" t="n"/>
      <c r="L1390" s="31" t="n"/>
      <c r="M1390" s="8" t="n"/>
      <c r="N1390" s="8" t="n"/>
      <c r="O1390" s="23" t="n"/>
    </row>
    <row r="1391">
      <c r="B1391" s="29" t="inlineStr">
        <is>
          <t>Ficha de la historia</t>
        </is>
      </c>
      <c r="C1391" s="8" t="n"/>
      <c r="D1391" s="8" t="n"/>
      <c r="E1391" s="23" t="n"/>
      <c r="G1391" s="29" t="inlineStr">
        <is>
          <t>Criterios de listo:</t>
        </is>
      </c>
      <c r="H1391" s="8" t="n"/>
      <c r="I1391" s="8" t="n"/>
      <c r="J1391" s="23" t="n"/>
      <c r="L1391" s="29" t="inlineStr">
        <is>
          <t>Condiciones finales (se marcan cuando el PO acepta la HU en la Review):</t>
        </is>
      </c>
      <c r="M1391" s="8" t="n"/>
      <c r="N1391" s="8" t="n"/>
      <c r="O1391" s="23" t="n"/>
    </row>
    <row r="1392" ht="30" customHeight="1">
      <c r="B1392" s="32" t="inlineStr">
        <is>
          <t>Épica: E5. Controlar las existencias de herramientas y equipos</t>
        </is>
      </c>
      <c r="C1392" s="8" t="n"/>
      <c r="D1392" s="8" t="n"/>
      <c r="E1392" s="23" t="n"/>
      <c r="G1392" s="33" t="inlineStr">
        <is>
          <t>( x )</t>
        </is>
      </c>
      <c r="H1392" s="34" t="inlineStr">
        <is>
          <t>L1 · Redactada en el formato acordado — Cumple</t>
        </is>
      </c>
      <c r="I1392" s="8" t="n"/>
      <c r="J1392" s="23" t="n"/>
      <c r="L1392" s="35" t="inlineStr">
        <is>
          <t>(    )</t>
        </is>
      </c>
      <c r="M1392" s="34" t="inlineStr">
        <is>
          <t>Al cerrar la obra, se ha registrado el estado final de cada herramienta</t>
        </is>
      </c>
      <c r="N1392" s="8" t="n"/>
      <c r="O1392" s="23" t="n"/>
    </row>
    <row r="1393" ht="30" customHeight="1">
      <c r="B1393" s="32" t="inlineStr">
        <is>
          <t>Módulo: Herramientas / Equipos</t>
        </is>
      </c>
      <c r="C1393" s="8" t="n"/>
      <c r="D1393" s="8" t="n"/>
      <c r="E1393" s="23" t="n"/>
      <c r="G1393" s="33" t="inlineStr">
        <is>
          <t>( x )</t>
        </is>
      </c>
      <c r="H1393" s="34" t="inlineStr">
        <is>
          <t>L2 · Nombre corto en forma de acción — Cumple</t>
        </is>
      </c>
      <c r="I1393" s="8" t="n"/>
      <c r="J1393" s="23" t="n"/>
      <c r="L1393" s="35" t="inlineStr">
        <is>
          <t>(    )</t>
        </is>
      </c>
      <c r="M1393" s="34" t="inlineStr">
        <is>
          <t>Las no devueltas se han mostrado con su responsable</t>
        </is>
      </c>
      <c r="N1393" s="8" t="n"/>
      <c r="O1393" s="23" t="n"/>
    </row>
    <row r="1394" ht="30" customHeight="1">
      <c r="B1394" s="32" t="inlineStr">
        <is>
          <t>Responsable técnico: Backend · Henry Ticona</t>
        </is>
      </c>
      <c r="C1394" s="8" t="n"/>
      <c r="D1394" s="8" t="n"/>
      <c r="E1394" s="23" t="n"/>
      <c r="G1394" s="33" t="inlineStr">
        <is>
          <t>( x )</t>
        </is>
      </c>
      <c r="H1394" s="34" t="inlineStr">
        <is>
          <t>L3 · Criterios de aceptación escritos — Cumple</t>
        </is>
      </c>
      <c r="I1394" s="8" t="n"/>
      <c r="J1394" s="23" t="n"/>
      <c r="L1394" s="35" t="inlineStr">
        <is>
          <t>(    )</t>
        </is>
      </c>
      <c r="M1394" s="34" t="inlineStr">
        <is>
          <t>Se ha generado el acta con ingresadas, devueltas, dadas de baja y faltantes</t>
        </is>
      </c>
      <c r="N1394" s="8" t="n"/>
      <c r="O1394" s="23" t="n"/>
    </row>
    <row r="1395" ht="36" customHeight="1">
      <c r="B1395" s="36" t="inlineStr">
        <is>
          <t>Depende de: HU-48, HU-50</t>
        </is>
      </c>
      <c r="C1395" s="37" t="n"/>
      <c r="D1395" s="37" t="n"/>
      <c r="E1395" s="38" t="n"/>
      <c r="G1395" s="33" t="inlineStr">
        <is>
          <t>( x )</t>
        </is>
      </c>
      <c r="H1395" s="34" t="inlineStr">
        <is>
          <t>L4 · Dependencias resueltas — Cumple</t>
        </is>
      </c>
      <c r="I1395" s="8" t="n"/>
      <c r="J1395" s="23" t="n"/>
      <c r="L1395" s="36" t="inlineStr">
        <is>
          <t>Mitad técnica: Además, los diez criterios T1 a T10 de la hoja «3. Criterios DoR y DoD», sin excepción</t>
        </is>
      </c>
      <c r="M1395" s="37" t="n"/>
      <c r="N1395" s="37" t="n"/>
      <c r="O1395" s="38" t="n"/>
    </row>
    <row r="1396" ht="30" customHeight="1">
      <c r="G1396" s="33" t="inlineStr">
        <is>
          <t>( x )</t>
        </is>
      </c>
      <c r="H1396" s="34" t="inlineStr">
        <is>
          <t>L5 · Estimada por los Developers — Cumple</t>
        </is>
      </c>
      <c r="I1396" s="8" t="n"/>
      <c r="J1396" s="23" t="n"/>
    </row>
    <row r="1397" ht="30" customHeight="1">
      <c r="G1397" s="33" t="inlineStr">
        <is>
          <t>( x )</t>
        </is>
      </c>
      <c r="H1397" s="34" t="inlineStr">
        <is>
          <t>L6 · Cabe en un sprint (8 puntos o menos) — Cumple</t>
        </is>
      </c>
      <c r="I1397" s="8" t="n"/>
      <c r="J1397" s="23" t="n"/>
    </row>
    <row r="1398" ht="30" customHeight="1">
      <c r="G1398" s="33" t="inlineStr">
        <is>
          <t>( x )</t>
        </is>
      </c>
      <c r="H1398" s="34" t="inlineStr">
        <is>
          <t>L7 · Reglas de dominio identificadas — Cumple</t>
        </is>
      </c>
      <c r="I1398" s="8" t="n"/>
      <c r="J1398" s="23" t="n"/>
    </row>
    <row r="1399" ht="30" customHeight="1">
      <c r="G1399" s="33" t="inlineStr">
        <is>
          <t>( x )</t>
        </is>
      </c>
      <c r="H1399" s="34" t="inlineStr">
        <is>
          <t>L8 · Datos de prueba disponibles — Cumple</t>
        </is>
      </c>
      <c r="I1399" s="8" t="n"/>
      <c r="J1399" s="23" t="n"/>
    </row>
    <row r="1400" ht="30" customHeight="1">
      <c r="G1400" s="33" t="inlineStr">
        <is>
          <t>( x )</t>
        </is>
      </c>
      <c r="H1400" s="34" t="inlineStr">
        <is>
          <t>L9 · Responsable técnico asignado — Cumple</t>
        </is>
      </c>
      <c r="I1400" s="8" t="n"/>
      <c r="J1400" s="23" t="n"/>
    </row>
    <row r="1401" ht="30" customHeight="1">
      <c r="G1401" s="33" t="inlineStr">
        <is>
          <t>( x )</t>
        </is>
      </c>
      <c r="H1401" s="34" t="inlineStr">
        <is>
          <t>L10 · Recursos identificados — Cumple: Henry Ticona + equipo de desarrollo y datos de prueba</t>
        </is>
      </c>
      <c r="I1401" s="8" t="n"/>
      <c r="J1401" s="23" t="n"/>
    </row>
    <row r="1402" ht="30" customHeight="1">
      <c r="G1402" s="33" t="inlineStr">
        <is>
          <t>( x )</t>
        </is>
      </c>
      <c r="H1402" s="34" t="inlineStr">
        <is>
          <t>L11 · Requisitos técnicos de programación definidos — Cumple: FastAPI, SQLAlchemy 2, Alembic y PostgreSQL 16</t>
        </is>
      </c>
      <c r="I1402" s="8" t="n"/>
      <c r="J1402" s="23" t="n"/>
    </row>
    <row r="1403" ht="30" customHeight="1">
      <c r="G1403" s="33" t="inlineStr">
        <is>
          <t>( x )</t>
        </is>
      </c>
      <c r="H1403" s="34" t="inlineStr">
        <is>
          <t>L12 · Accesos de red disponibles — Cumple: GitHub (repositorio privado), API y PostgreSQL en docker compose</t>
        </is>
      </c>
      <c r="I1403" s="8" t="n"/>
      <c r="J1403" s="23" t="n"/>
    </row>
    <row r="1404" ht="36" customHeight="1">
      <c r="G1404" s="39" t="inlineStr">
        <is>
          <t>Riesgos: Cerrar la obra con herramientas sin declarar · el cierre exige el estado de cada una</t>
        </is>
      </c>
      <c r="H1404" s="8" t="n"/>
      <c r="I1404" s="8" t="n"/>
      <c r="J1404" s="23" t="n"/>
    </row>
    <row r="1405" ht="36" customHeight="1">
      <c r="G1405" s="32" t="inlineStr">
        <is>
          <t>Proveedores de servicio: PostgreSQL gestionado en la nube (capa gratuita) · GitHub</t>
        </is>
      </c>
      <c r="H1405" s="8" t="n"/>
      <c r="I1405" s="8" t="n"/>
      <c r="J1405" s="23" t="n"/>
    </row>
    <row r="1406" ht="36" customHeight="1">
      <c r="G1406" s="36" t="inlineStr">
        <is>
          <t>Costos: 3 pts ≈ 6 horas-persona (1 punto ≈ 2 h) · servicios externos: S/ 0 (planes gratuitos)</t>
        </is>
      </c>
      <c r="H1406" s="37" t="n"/>
      <c r="I1406" s="37" t="n"/>
      <c r="J1406" s="38" t="n"/>
    </row>
    <row r="1409">
      <c r="B1409" s="18" t="inlineStr">
        <is>
          <t>HU-55 · Valorizar salidas</t>
        </is>
      </c>
    </row>
    <row r="1410" ht="18" customHeight="1">
      <c r="B1410" s="19" t="inlineStr">
        <is>
          <t>TARJETA 1 · Historia de usuario</t>
        </is>
      </c>
      <c r="C1410" s="20" t="n"/>
      <c r="D1410" s="20" t="n"/>
      <c r="E1410" s="21" t="n"/>
      <c r="G1410" s="19" t="inlineStr">
        <is>
          <t>TARJETA 2 · Definición de Listo</t>
        </is>
      </c>
      <c r="H1410" s="20" t="n"/>
      <c r="I1410" s="20" t="n"/>
      <c r="J1410" s="21" t="n"/>
      <c r="L1410" s="19" t="inlineStr">
        <is>
          <t>TARJETA 3 · Definición de Terminado</t>
        </is>
      </c>
      <c r="M1410" s="20" t="n"/>
      <c r="N1410" s="20" t="n"/>
      <c r="O1410" s="21" t="n"/>
    </row>
    <row r="1411" ht="28" customHeight="1">
      <c r="B1411" s="22" t="inlineStr">
        <is>
          <t>La unidad con la que se planifica, se estima y se acepta el trabajo</t>
        </is>
      </c>
      <c r="C1411" s="8" t="n"/>
      <c r="D1411" s="8" t="n"/>
      <c r="E1411" s="23" t="n"/>
      <c r="G1411" s="22" t="inlineStr">
        <is>
          <t>El enfoque está en la consideración del equipo de desarrollo sobre si la historia está lista para un Sprint</t>
        </is>
      </c>
      <c r="H1411" s="8" t="n"/>
      <c r="I1411" s="8" t="n"/>
      <c r="J1411" s="23" t="n"/>
      <c r="L1411" s="22" t="inlineStr">
        <is>
          <t>El enfoque está en la aceptación del cliente cuando se le entregue el producto</t>
        </is>
      </c>
      <c r="M1411" s="8" t="n"/>
      <c r="N1411" s="8" t="n"/>
      <c r="O1411" s="23" t="n"/>
    </row>
    <row r="1412">
      <c r="B1412" s="24" t="inlineStr">
        <is>
          <t>Historia de usuario</t>
        </is>
      </c>
      <c r="C1412" s="8" t="n"/>
      <c r="D1412" s="25" t="inlineStr">
        <is>
          <t>Prioridad</t>
        </is>
      </c>
      <c r="E1412" s="26" t="inlineStr">
        <is>
          <t>Estimación</t>
        </is>
      </c>
      <c r="G1412" s="24" t="inlineStr">
        <is>
          <t>Historia de usuario</t>
        </is>
      </c>
      <c r="H1412" s="8" t="n"/>
      <c r="I1412" s="25" t="inlineStr">
        <is>
          <t>Prioridad</t>
        </is>
      </c>
      <c r="J1412" s="26" t="inlineStr">
        <is>
          <t>Estimación</t>
        </is>
      </c>
      <c r="L1412" s="24" t="inlineStr">
        <is>
          <t>Historia de usuario</t>
        </is>
      </c>
      <c r="M1412" s="8" t="n"/>
      <c r="N1412" s="25" t="inlineStr">
        <is>
          <t>Prioridad</t>
        </is>
      </c>
      <c r="O1412" s="26" t="inlineStr">
        <is>
          <t>Estimación</t>
        </is>
      </c>
    </row>
    <row r="1413" ht="30" customHeight="1">
      <c r="B1413" s="27" t="inlineStr">
        <is>
          <t>HU-55 · Valorizar salidas</t>
        </is>
      </c>
      <c r="C1413" s="8" t="n"/>
      <c r="D1413" s="9" t="inlineStr">
        <is>
          <t>Crítica</t>
        </is>
      </c>
      <c r="E1413" s="28" t="inlineStr">
        <is>
          <t>8 pts</t>
        </is>
      </c>
      <c r="G1413" s="27" t="inlineStr">
        <is>
          <t>HU-55 · Valorizar salidas</t>
        </is>
      </c>
      <c r="H1413" s="8" t="n"/>
      <c r="I1413" s="9" t="inlineStr">
        <is>
          <t>Crítica</t>
        </is>
      </c>
      <c r="J1413" s="28" t="inlineStr">
        <is>
          <t>8 pts</t>
        </is>
      </c>
      <c r="L1413" s="27" t="inlineStr">
        <is>
          <t>HU-55 · Valorizar salidas</t>
        </is>
      </c>
      <c r="M1413" s="8" t="n"/>
      <c r="N1413" s="9" t="inlineStr">
        <is>
          <t>Crítica</t>
        </is>
      </c>
      <c r="O1413" s="28" t="inlineStr">
        <is>
          <t>8 pts</t>
        </is>
      </c>
    </row>
    <row r="1414">
      <c r="B1414" s="29" t="inlineStr">
        <is>
          <t>Descripción:</t>
        </is>
      </c>
      <c r="C1414" s="8" t="n"/>
      <c r="D1414" s="8" t="n"/>
      <c r="E1414" s="23" t="n"/>
      <c r="G1414" s="29" t="inlineStr">
        <is>
          <t>Descripción:</t>
        </is>
      </c>
      <c r="H1414" s="8" t="n"/>
      <c r="I1414" s="8" t="n"/>
      <c r="J1414" s="23" t="n"/>
      <c r="L1414" s="29" t="inlineStr">
        <is>
          <t>Descripción:</t>
        </is>
      </c>
      <c r="M1414" s="8" t="n"/>
      <c r="N1414" s="8" t="n"/>
      <c r="O1414" s="23" t="n"/>
    </row>
    <row r="1415" ht="28" customHeight="1">
      <c r="B1415" s="30" t="inlineStr">
        <is>
          <t>Como gerente, quiero consultar cada salida valorizada al costo promedio ponderado, para conocer el costo de lo que se consumió.</t>
        </is>
      </c>
      <c r="C1415" s="8" t="n"/>
      <c r="D1415" s="8" t="n"/>
      <c r="E1415" s="23" t="n"/>
      <c r="G1415" s="30" t="inlineStr">
        <is>
          <t>Como gerente, quiero consultar cada salida valorizada al costo promedio ponderado, para conocer el costo de lo que se consumió.</t>
        </is>
      </c>
      <c r="H1415" s="8" t="n"/>
      <c r="I1415" s="8" t="n"/>
      <c r="J1415" s="23" t="n"/>
      <c r="L1415" s="30" t="inlineStr">
        <is>
          <t>Como gerente, quiero consultar cada salida valorizada al costo promedio ponderado, para conocer el costo de lo que se consumió.</t>
        </is>
      </c>
      <c r="M1415" s="8" t="n"/>
      <c r="N1415" s="8" t="n"/>
      <c r="O1415" s="23" t="n"/>
    </row>
    <row r="1416" ht="28" customHeight="1">
      <c r="B1416" s="31" t="n"/>
      <c r="C1416" s="8" t="n"/>
      <c r="D1416" s="8" t="n"/>
      <c r="E1416" s="23" t="n"/>
      <c r="G1416" s="31" t="n"/>
      <c r="H1416" s="8" t="n"/>
      <c r="I1416" s="8" t="n"/>
      <c r="J1416" s="23" t="n"/>
      <c r="L1416" s="31" t="n"/>
      <c r="M1416" s="8" t="n"/>
      <c r="N1416" s="8" t="n"/>
      <c r="O1416" s="23" t="n"/>
    </row>
    <row r="1417">
      <c r="B1417" s="29" t="inlineStr">
        <is>
          <t>Ficha de la historia</t>
        </is>
      </c>
      <c r="C1417" s="8" t="n"/>
      <c r="D1417" s="8" t="n"/>
      <c r="E1417" s="23" t="n"/>
      <c r="G1417" s="29" t="inlineStr">
        <is>
          <t>Criterios de listo:</t>
        </is>
      </c>
      <c r="H1417" s="8" t="n"/>
      <c r="I1417" s="8" t="n"/>
      <c r="J1417" s="23" t="n"/>
      <c r="L1417" s="29" t="inlineStr">
        <is>
          <t>Condiciones finales (se marcan cuando el PO acepta la HU en la Review):</t>
        </is>
      </c>
      <c r="M1417" s="8" t="n"/>
      <c r="N1417" s="8" t="n"/>
      <c r="O1417" s="23" t="n"/>
    </row>
    <row r="1418" ht="30" customHeight="1">
      <c r="B1418" s="32" t="inlineStr">
        <is>
          <t>Épica: E6. Valorizar el consumo e informar el costo de obra</t>
        </is>
      </c>
      <c r="C1418" s="8" t="n"/>
      <c r="D1418" s="8" t="n"/>
      <c r="E1418" s="23" t="n"/>
      <c r="G1418" s="33" t="inlineStr">
        <is>
          <t>( x )</t>
        </is>
      </c>
      <c r="H1418" s="34" t="inlineStr">
        <is>
          <t>L1 · Redactada en el formato acordado — Cumple</t>
        </is>
      </c>
      <c r="I1418" s="8" t="n"/>
      <c r="J1418" s="23" t="n"/>
      <c r="L1418" s="35" t="inlineStr">
        <is>
          <t>(    )</t>
        </is>
      </c>
      <c r="M1418" s="34" t="inlineStr">
        <is>
          <t>Cada recepción ha recalculado el costo promedio ponderado del insumo</t>
        </is>
      </c>
      <c r="N1418" s="8" t="n"/>
      <c r="O1418" s="23" t="n"/>
    </row>
    <row r="1419" ht="30" customHeight="1">
      <c r="B1419" s="32" t="inlineStr">
        <is>
          <t>Módulo: Valorización / Costos</t>
        </is>
      </c>
      <c r="C1419" s="8" t="n"/>
      <c r="D1419" s="8" t="n"/>
      <c r="E1419" s="23" t="n"/>
      <c r="G1419" s="33" t="inlineStr">
        <is>
          <t>( x )</t>
        </is>
      </c>
      <c r="H1419" s="34" t="inlineStr">
        <is>
          <t>L2 · Nombre corto en forma de acción — Cumple</t>
        </is>
      </c>
      <c r="I1419" s="8" t="n"/>
      <c r="J1419" s="23" t="n"/>
      <c r="L1419" s="35" t="inlineStr">
        <is>
          <t>(    )</t>
        </is>
      </c>
      <c r="M1419" s="34" t="inlineStr">
        <is>
          <t>Cada salida ha quedado con el costo de ese instante, que no ha cambiado con ingresos posteriores</t>
        </is>
      </c>
      <c r="N1419" s="8" t="n"/>
      <c r="O1419" s="23" t="n"/>
    </row>
    <row r="1420" ht="30" customHeight="1">
      <c r="B1420" s="32" t="inlineStr">
        <is>
          <t>Responsable técnico: Backend · Henry Ticona</t>
        </is>
      </c>
      <c r="C1420" s="8" t="n"/>
      <c r="D1420" s="8" t="n"/>
      <c r="E1420" s="23" t="n"/>
      <c r="G1420" s="33" t="inlineStr">
        <is>
          <t>( x )</t>
        </is>
      </c>
      <c r="H1420" s="34" t="inlineStr">
        <is>
          <t>L3 · Criterios de aceptación escritos — Cumple</t>
        </is>
      </c>
      <c r="I1420" s="8" t="n"/>
      <c r="J1420" s="23" t="n"/>
      <c r="L1420" s="35" t="inlineStr">
        <is>
          <t>(    )</t>
        </is>
      </c>
      <c r="M1420" s="34" t="inlineStr">
        <is>
          <t>El reporte ha declarado el criterio aplicado (NIC 2)</t>
        </is>
      </c>
      <c r="N1420" s="8" t="n"/>
      <c r="O1420" s="23" t="n"/>
    </row>
    <row r="1421" ht="36" customHeight="1">
      <c r="B1421" s="36" t="inlineStr">
        <is>
          <t>Depende de: HU-35, HU-40</t>
        </is>
      </c>
      <c r="C1421" s="37" t="n"/>
      <c r="D1421" s="37" t="n"/>
      <c r="E1421" s="38" t="n"/>
      <c r="G1421" s="33" t="inlineStr">
        <is>
          <t>( x )</t>
        </is>
      </c>
      <c r="H1421" s="34" t="inlineStr">
        <is>
          <t>L4 · Dependencias resueltas — Cumple</t>
        </is>
      </c>
      <c r="I1421" s="8" t="n"/>
      <c r="J1421" s="23" t="n"/>
      <c r="L1421" s="36" t="inlineStr">
        <is>
          <t>Mitad técnica: Además, los diez criterios T1 a T10 de la hoja «3. Criterios DoR y DoD», sin excepción</t>
        </is>
      </c>
      <c r="M1421" s="37" t="n"/>
      <c r="N1421" s="37" t="n"/>
      <c r="O1421" s="38" t="n"/>
    </row>
    <row r="1422" ht="30" customHeight="1">
      <c r="G1422" s="33" t="inlineStr">
        <is>
          <t>( x )</t>
        </is>
      </c>
      <c r="H1422" s="34" t="inlineStr">
        <is>
          <t>L5 · Estimada por los Developers — Cumple</t>
        </is>
      </c>
      <c r="I1422" s="8" t="n"/>
      <c r="J1422" s="23" t="n"/>
    </row>
    <row r="1423" ht="30" customHeight="1">
      <c r="G1423" s="33" t="inlineStr">
        <is>
          <t>( x )</t>
        </is>
      </c>
      <c r="H1423" s="34" t="inlineStr">
        <is>
          <t>L6 · Cabe en un sprint (8 puntos o menos) — Cumple</t>
        </is>
      </c>
      <c r="I1423" s="8" t="n"/>
      <c r="J1423" s="23" t="n"/>
    </row>
    <row r="1424" ht="30" customHeight="1">
      <c r="G1424" s="33" t="inlineStr">
        <is>
          <t>( x )</t>
        </is>
      </c>
      <c r="H1424" s="34" t="inlineStr">
        <is>
          <t>L7 · Reglas de dominio identificadas — Cumple</t>
        </is>
      </c>
      <c r="I1424" s="8" t="n"/>
      <c r="J1424" s="23" t="n"/>
    </row>
    <row r="1425" ht="30" customHeight="1">
      <c r="G1425" s="33" t="inlineStr">
        <is>
          <t>( x )</t>
        </is>
      </c>
      <c r="H1425" s="34" t="inlineStr">
        <is>
          <t>L8 · Datos de prueba disponibles — Cumple</t>
        </is>
      </c>
      <c r="I1425" s="8" t="n"/>
      <c r="J1425" s="23" t="n"/>
    </row>
    <row r="1426" ht="30" customHeight="1">
      <c r="G1426" s="33" t="inlineStr">
        <is>
          <t>( x )</t>
        </is>
      </c>
      <c r="H1426" s="34" t="inlineStr">
        <is>
          <t>L9 · Responsable técnico asignado — Cumple</t>
        </is>
      </c>
      <c r="I1426" s="8" t="n"/>
      <c r="J1426" s="23" t="n"/>
    </row>
    <row r="1427" ht="30" customHeight="1">
      <c r="G1427" s="33" t="inlineStr">
        <is>
          <t>( x )</t>
        </is>
      </c>
      <c r="H1427" s="34" t="inlineStr">
        <is>
          <t>L10 · Recursos identificados — Cumple: Henry Ticona + equipo de desarrollo y datos de prueba</t>
        </is>
      </c>
      <c r="I1427" s="8" t="n"/>
      <c r="J1427" s="23" t="n"/>
    </row>
    <row r="1428" ht="30" customHeight="1">
      <c r="G1428" s="33" t="inlineStr">
        <is>
          <t>( x )</t>
        </is>
      </c>
      <c r="H1428" s="34" t="inlineStr">
        <is>
          <t>L11 · Requisitos técnicos de programación definidos — Cumple: FastAPI, SQLAlchemy 2, Alembic y PostgreSQL 16</t>
        </is>
      </c>
      <c r="I1428" s="8" t="n"/>
      <c r="J1428" s="23" t="n"/>
    </row>
    <row r="1429" ht="30" customHeight="1">
      <c r="G1429" s="33" t="inlineStr">
        <is>
          <t>( x )</t>
        </is>
      </c>
      <c r="H1429" s="34" t="inlineStr">
        <is>
          <t>L12 · Accesos de red disponibles — Cumple: GitHub (repositorio privado), API y PostgreSQL en docker compose</t>
        </is>
      </c>
      <c r="I1429" s="8" t="n"/>
      <c r="J1429" s="23" t="n"/>
    </row>
    <row r="1430" ht="36" customHeight="1">
      <c r="G1430" s="39" t="inlineStr">
        <is>
          <t>Riesgos: Recalcular costos hacia atrás o valorizar con IGV · costo congelado y sin IGV de factura (NIC 2)</t>
        </is>
      </c>
      <c r="H1430" s="8" t="n"/>
      <c r="I1430" s="8" t="n"/>
      <c r="J1430" s="23" t="n"/>
    </row>
    <row r="1431" ht="36" customHeight="1">
      <c r="G1431" s="32" t="inlineStr">
        <is>
          <t>Proveedores de servicio: PostgreSQL gestionado en la nube (capa gratuita) · GitHub</t>
        </is>
      </c>
      <c r="H1431" s="8" t="n"/>
      <c r="I1431" s="8" t="n"/>
      <c r="J1431" s="23" t="n"/>
    </row>
    <row r="1432" ht="36" customHeight="1">
      <c r="G1432" s="36" t="inlineStr">
        <is>
          <t>Costos: 8 pts ≈ 16 horas-persona (1 punto ≈ 2 h) · servicios externos: S/ 0 (planes gratuitos)</t>
        </is>
      </c>
      <c r="H1432" s="37" t="n"/>
      <c r="I1432" s="37" t="n"/>
      <c r="J1432" s="38" t="n"/>
    </row>
    <row r="1435">
      <c r="B1435" s="18" t="inlineStr">
        <is>
          <t>HU-56 · Consultar inventario valorizado</t>
        </is>
      </c>
    </row>
    <row r="1436" ht="18" customHeight="1">
      <c r="B1436" s="19" t="inlineStr">
        <is>
          <t>TARJETA 1 · Historia de usuario</t>
        </is>
      </c>
      <c r="C1436" s="20" t="n"/>
      <c r="D1436" s="20" t="n"/>
      <c r="E1436" s="21" t="n"/>
      <c r="G1436" s="19" t="inlineStr">
        <is>
          <t>TARJETA 2 · Definición de Listo</t>
        </is>
      </c>
      <c r="H1436" s="20" t="n"/>
      <c r="I1436" s="20" t="n"/>
      <c r="J1436" s="21" t="n"/>
      <c r="L1436" s="19" t="inlineStr">
        <is>
          <t>TARJETA 3 · Definición de Terminado</t>
        </is>
      </c>
      <c r="M1436" s="20" t="n"/>
      <c r="N1436" s="20" t="n"/>
      <c r="O1436" s="21" t="n"/>
    </row>
    <row r="1437" ht="28" customHeight="1">
      <c r="B1437" s="22" t="inlineStr">
        <is>
          <t>La unidad con la que se planifica, se estima y se acepta el trabajo</t>
        </is>
      </c>
      <c r="C1437" s="8" t="n"/>
      <c r="D1437" s="8" t="n"/>
      <c r="E1437" s="23" t="n"/>
      <c r="G1437" s="22" t="inlineStr">
        <is>
          <t>El enfoque está en la consideración del equipo de desarrollo sobre si la historia está lista para un Sprint</t>
        </is>
      </c>
      <c r="H1437" s="8" t="n"/>
      <c r="I1437" s="8" t="n"/>
      <c r="J1437" s="23" t="n"/>
      <c r="L1437" s="22" t="inlineStr">
        <is>
          <t>El enfoque está en la aceptación del cliente cuando se le entregue el producto</t>
        </is>
      </c>
      <c r="M1437" s="8" t="n"/>
      <c r="N1437" s="8" t="n"/>
      <c r="O1437" s="23" t="n"/>
    </row>
    <row r="1438">
      <c r="B1438" s="24" t="inlineStr">
        <is>
          <t>Historia de usuario</t>
        </is>
      </c>
      <c r="C1438" s="8" t="n"/>
      <c r="D1438" s="25" t="inlineStr">
        <is>
          <t>Prioridad</t>
        </is>
      </c>
      <c r="E1438" s="26" t="inlineStr">
        <is>
          <t>Estimación</t>
        </is>
      </c>
      <c r="G1438" s="24" t="inlineStr">
        <is>
          <t>Historia de usuario</t>
        </is>
      </c>
      <c r="H1438" s="8" t="n"/>
      <c r="I1438" s="25" t="inlineStr">
        <is>
          <t>Prioridad</t>
        </is>
      </c>
      <c r="J1438" s="26" t="inlineStr">
        <is>
          <t>Estimación</t>
        </is>
      </c>
      <c r="L1438" s="24" t="inlineStr">
        <is>
          <t>Historia de usuario</t>
        </is>
      </c>
      <c r="M1438" s="8" t="n"/>
      <c r="N1438" s="25" t="inlineStr">
        <is>
          <t>Prioridad</t>
        </is>
      </c>
      <c r="O1438" s="26" t="inlineStr">
        <is>
          <t>Estimación</t>
        </is>
      </c>
    </row>
    <row r="1439" ht="30" customHeight="1">
      <c r="B1439" s="27" t="inlineStr">
        <is>
          <t>HU-56 · Consultar inventario valorizado</t>
        </is>
      </c>
      <c r="C1439" s="8" t="n"/>
      <c r="D1439" s="9" t="inlineStr">
        <is>
          <t>Alta</t>
        </is>
      </c>
      <c r="E1439" s="28" t="inlineStr">
        <is>
          <t>3 pts</t>
        </is>
      </c>
      <c r="G1439" s="27" t="inlineStr">
        <is>
          <t>HU-56 · Consultar inventario valorizado</t>
        </is>
      </c>
      <c r="H1439" s="8" t="n"/>
      <c r="I1439" s="9" t="inlineStr">
        <is>
          <t>Alta</t>
        </is>
      </c>
      <c r="J1439" s="28" t="inlineStr">
        <is>
          <t>3 pts</t>
        </is>
      </c>
      <c r="L1439" s="27" t="inlineStr">
        <is>
          <t>HU-56 · Consultar inventario valorizado</t>
        </is>
      </c>
      <c r="M1439" s="8" t="n"/>
      <c r="N1439" s="9" t="inlineStr">
        <is>
          <t>Alta</t>
        </is>
      </c>
      <c r="O1439" s="28" t="inlineStr">
        <is>
          <t>3 pts</t>
        </is>
      </c>
    </row>
    <row r="1440">
      <c r="B1440" s="29" t="inlineStr">
        <is>
          <t>Descripción:</t>
        </is>
      </c>
      <c r="C1440" s="8" t="n"/>
      <c r="D1440" s="8" t="n"/>
      <c r="E1440" s="23" t="n"/>
      <c r="G1440" s="29" t="inlineStr">
        <is>
          <t>Descripción:</t>
        </is>
      </c>
      <c r="H1440" s="8" t="n"/>
      <c r="I1440" s="8" t="n"/>
      <c r="J1440" s="23" t="n"/>
      <c r="L1440" s="29" t="inlineStr">
        <is>
          <t>Descripción:</t>
        </is>
      </c>
      <c r="M1440" s="8" t="n"/>
      <c r="N1440" s="8" t="n"/>
      <c r="O1440" s="23" t="n"/>
    </row>
    <row r="1441" ht="28" customHeight="1">
      <c r="B1441" s="30" t="inlineStr">
        <is>
          <t>Como administrador, quiero consultar el inventario valorizado por obra, para saber cuánto capital está detenido en almacén.</t>
        </is>
      </c>
      <c r="C1441" s="8" t="n"/>
      <c r="D1441" s="8" t="n"/>
      <c r="E1441" s="23" t="n"/>
      <c r="G1441" s="30" t="inlineStr">
        <is>
          <t>Como administrador, quiero consultar el inventario valorizado por obra, para saber cuánto capital está detenido en almacén.</t>
        </is>
      </c>
      <c r="H1441" s="8" t="n"/>
      <c r="I1441" s="8" t="n"/>
      <c r="J1441" s="23" t="n"/>
      <c r="L1441" s="30" t="inlineStr">
        <is>
          <t>Como administrador, quiero consultar el inventario valorizado por obra, para saber cuánto capital está detenido en almacén.</t>
        </is>
      </c>
      <c r="M1441" s="8" t="n"/>
      <c r="N1441" s="8" t="n"/>
      <c r="O1441" s="23" t="n"/>
    </row>
    <row r="1442" ht="28" customHeight="1">
      <c r="B1442" s="31" t="n"/>
      <c r="C1442" s="8" t="n"/>
      <c r="D1442" s="8" t="n"/>
      <c r="E1442" s="23" t="n"/>
      <c r="G1442" s="31" t="n"/>
      <c r="H1442" s="8" t="n"/>
      <c r="I1442" s="8" t="n"/>
      <c r="J1442" s="23" t="n"/>
      <c r="L1442" s="31" t="n"/>
      <c r="M1442" s="8" t="n"/>
      <c r="N1442" s="8" t="n"/>
      <c r="O1442" s="23" t="n"/>
    </row>
    <row r="1443">
      <c r="B1443" s="29" t="inlineStr">
        <is>
          <t>Ficha de la historia</t>
        </is>
      </c>
      <c r="C1443" s="8" t="n"/>
      <c r="D1443" s="8" t="n"/>
      <c r="E1443" s="23" t="n"/>
      <c r="G1443" s="29" t="inlineStr">
        <is>
          <t>Criterios de listo:</t>
        </is>
      </c>
      <c r="H1443" s="8" t="n"/>
      <c r="I1443" s="8" t="n"/>
      <c r="J1443" s="23" t="n"/>
      <c r="L1443" s="29" t="inlineStr">
        <is>
          <t>Condiciones finales (se marcan cuando el PO acepta la HU en la Review):</t>
        </is>
      </c>
      <c r="M1443" s="8" t="n"/>
      <c r="N1443" s="8" t="n"/>
      <c r="O1443" s="23" t="n"/>
    </row>
    <row r="1444" ht="30" customHeight="1">
      <c r="B1444" s="32" t="inlineStr">
        <is>
          <t>Épica: E6. Valorizar el consumo e informar el costo de obra</t>
        </is>
      </c>
      <c r="C1444" s="8" t="n"/>
      <c r="D1444" s="8" t="n"/>
      <c r="E1444" s="23" t="n"/>
      <c r="G1444" s="33" t="inlineStr">
        <is>
          <t>( x )</t>
        </is>
      </c>
      <c r="H1444" s="34" t="inlineStr">
        <is>
          <t>L1 · Redactada en el formato acordado — Cumple</t>
        </is>
      </c>
      <c r="I1444" s="8" t="n"/>
      <c r="J1444" s="23" t="n"/>
      <c r="L1444" s="35" t="inlineStr">
        <is>
          <t>(    )</t>
        </is>
      </c>
      <c r="M1444" s="34" t="inlineStr">
        <is>
          <t>Se ha consultado el inventario con cantidad, costo promedio y valor por insumo</t>
        </is>
      </c>
      <c r="N1444" s="8" t="n"/>
      <c r="O1444" s="23" t="n"/>
    </row>
    <row r="1445" ht="30" customHeight="1">
      <c r="B1445" s="32" t="inlineStr">
        <is>
          <t>Módulo: Valorización / Costos</t>
        </is>
      </c>
      <c r="C1445" s="8" t="n"/>
      <c r="D1445" s="8" t="n"/>
      <c r="E1445" s="23" t="n"/>
      <c r="G1445" s="33" t="inlineStr">
        <is>
          <t>( x )</t>
        </is>
      </c>
      <c r="H1445" s="34" t="inlineStr">
        <is>
          <t>L2 · Nombre corto en forma de acción — Cumple</t>
        </is>
      </c>
      <c r="I1445" s="8" t="n"/>
      <c r="J1445" s="23" t="n"/>
      <c r="L1445" s="35" t="inlineStr">
        <is>
          <t>(    )</t>
        </is>
      </c>
      <c r="M1445" s="34" t="inlineStr">
        <is>
          <t>Se ha consultado por almacén y consolidado por proyecto</t>
        </is>
      </c>
      <c r="N1445" s="8" t="n"/>
      <c r="O1445" s="23" t="n"/>
    </row>
    <row r="1446" ht="30" customHeight="1">
      <c r="B1446" s="32" t="inlineStr">
        <is>
          <t>Responsable técnico: Web · Víctor Luján</t>
        </is>
      </c>
      <c r="C1446" s="8" t="n"/>
      <c r="D1446" s="8" t="n"/>
      <c r="E1446" s="23" t="n"/>
      <c r="G1446" s="33" t="inlineStr">
        <is>
          <t>( x )</t>
        </is>
      </c>
      <c r="H1446" s="34" t="inlineStr">
        <is>
          <t>L3 · Criterios de aceptación escritos — Cumple</t>
        </is>
      </c>
      <c r="I1446" s="8" t="n"/>
      <c r="J1446" s="23" t="n"/>
      <c r="L1446" s="35" t="inlineStr">
        <is>
          <t>(    )</t>
        </is>
      </c>
      <c r="M1446" s="34" t="inlineStr">
        <is>
          <t>Se ha mostrado la fecha de corte del cálculo</t>
        </is>
      </c>
      <c r="N1446" s="8" t="n"/>
      <c r="O1446" s="23" t="n"/>
    </row>
    <row r="1447" ht="36" customHeight="1">
      <c r="B1447" s="36" t="inlineStr">
        <is>
          <t>Depende de: HU-55</t>
        </is>
      </c>
      <c r="C1447" s="37" t="n"/>
      <c r="D1447" s="37" t="n"/>
      <c r="E1447" s="38" t="n"/>
      <c r="G1447" s="33" t="inlineStr">
        <is>
          <t>( x )</t>
        </is>
      </c>
      <c r="H1447" s="34" t="inlineStr">
        <is>
          <t>L4 · Dependencias resueltas — Cumple</t>
        </is>
      </c>
      <c r="I1447" s="8" t="n"/>
      <c r="J1447" s="23" t="n"/>
      <c r="L1447" s="36" t="inlineStr">
        <is>
          <t>Mitad técnica: Además, los diez criterios T1 a T10 de la hoja «3. Criterios DoR y DoD», sin excepción</t>
        </is>
      </c>
      <c r="M1447" s="37" t="n"/>
      <c r="N1447" s="37" t="n"/>
      <c r="O1447" s="38" t="n"/>
    </row>
    <row r="1448" ht="30" customHeight="1">
      <c r="G1448" s="33" t="inlineStr">
        <is>
          <t>( x )</t>
        </is>
      </c>
      <c r="H1448" s="34" t="inlineStr">
        <is>
          <t>L5 · Estimada por los Developers — Cumple</t>
        </is>
      </c>
      <c r="I1448" s="8" t="n"/>
      <c r="J1448" s="23" t="n"/>
    </row>
    <row r="1449" ht="30" customHeight="1">
      <c r="G1449" s="33" t="inlineStr">
        <is>
          <t>( x )</t>
        </is>
      </c>
      <c r="H1449" s="34" t="inlineStr">
        <is>
          <t>L6 · Cabe en un sprint (8 puntos o menos) — Cumple</t>
        </is>
      </c>
      <c r="I1449" s="8" t="n"/>
      <c r="J1449" s="23" t="n"/>
    </row>
    <row r="1450" ht="30" customHeight="1">
      <c r="G1450" s="33" t="inlineStr">
        <is>
          <t>( x )</t>
        </is>
      </c>
      <c r="H1450" s="34" t="inlineStr">
        <is>
          <t>L7 · Reglas de dominio identificadas — Cumple</t>
        </is>
      </c>
      <c r="I1450" s="8" t="n"/>
      <c r="J1450" s="23" t="n"/>
    </row>
    <row r="1451" ht="30" customHeight="1">
      <c r="G1451" s="33" t="inlineStr">
        <is>
          <t>( x )</t>
        </is>
      </c>
      <c r="H1451" s="34" t="inlineStr">
        <is>
          <t>L8 · Datos de prueba disponibles — Cumple</t>
        </is>
      </c>
      <c r="I1451" s="8" t="n"/>
      <c r="J1451" s="23" t="n"/>
    </row>
    <row r="1452" ht="30" customHeight="1">
      <c r="G1452" s="33" t="inlineStr">
        <is>
          <t>( x )</t>
        </is>
      </c>
      <c r="H1452" s="34" t="inlineStr">
        <is>
          <t>L9 · Responsable técnico asignado — Cumple</t>
        </is>
      </c>
      <c r="I1452" s="8" t="n"/>
      <c r="J1452" s="23" t="n"/>
    </row>
    <row r="1453" ht="30" customHeight="1">
      <c r="G1453" s="33" t="inlineStr">
        <is>
          <t>( x )</t>
        </is>
      </c>
      <c r="H1453" s="34" t="inlineStr">
        <is>
          <t>L10 · Recursos identificados — Cumple: Víctor Luján + equipo de desarrollo y datos de prueba</t>
        </is>
      </c>
      <c r="I1453" s="8" t="n"/>
      <c r="J1453" s="23" t="n"/>
    </row>
    <row r="1454" ht="30" customHeight="1">
      <c r="G1454" s="33" t="inlineStr">
        <is>
          <t>( x )</t>
        </is>
      </c>
      <c r="H1454" s="34" t="inlineStr">
        <is>
          <t>L11 · Requisitos técnicos de programación definidos — Cumple: React 18, TypeScript y Vite</t>
        </is>
      </c>
      <c r="I1454" s="8" t="n"/>
      <c r="J1454" s="23" t="n"/>
    </row>
    <row r="1455" ht="30" customHeight="1">
      <c r="G1455" s="33" t="inlineStr">
        <is>
          <t>( x )</t>
        </is>
      </c>
      <c r="H1455" s="34" t="inlineStr">
        <is>
          <t>L12 · Accesos de red disponibles — Cumple: GitHub (repositorio privado), API y PostgreSQL en docker compose</t>
        </is>
      </c>
      <c r="I1455" s="8" t="n"/>
      <c r="J1455" s="23" t="n"/>
    </row>
    <row r="1456" ht="36" customHeight="1">
      <c r="G1456" s="39" t="inlineStr">
        <is>
          <t>Riesgos: Valor del inventario sin fecha de corte · el reporte indica su fecha de cálculo</t>
        </is>
      </c>
      <c r="H1456" s="8" t="n"/>
      <c r="I1456" s="8" t="n"/>
      <c r="J1456" s="23" t="n"/>
    </row>
    <row r="1457" ht="36" customHeight="1">
      <c r="G1457" s="32" t="inlineStr">
        <is>
          <t>Proveedores de servicio: Navegador · API en la nube (PostgreSQL gestionado, capa gratuita)</t>
        </is>
      </c>
      <c r="H1457" s="8" t="n"/>
      <c r="I1457" s="8" t="n"/>
      <c r="J1457" s="23" t="n"/>
    </row>
    <row r="1458" ht="36" customHeight="1">
      <c r="G1458" s="36" t="inlineStr">
        <is>
          <t>Costos: 3 pts ≈ 6 horas-persona (1 punto ≈ 2 h) · servicios externos: S/ 0 (planes gratuitos)</t>
        </is>
      </c>
      <c r="H1458" s="37" t="n"/>
      <c r="I1458" s="37" t="n"/>
      <c r="J1458" s="38" t="n"/>
    </row>
    <row r="1461">
      <c r="B1461" s="18" t="inlineStr">
        <is>
          <t>HU-57 · Comparar consumo vs. lo planificado</t>
        </is>
      </c>
    </row>
    <row r="1462" ht="18" customHeight="1">
      <c r="B1462" s="19" t="inlineStr">
        <is>
          <t>TARJETA 1 · Historia de usuario</t>
        </is>
      </c>
      <c r="C1462" s="20" t="n"/>
      <c r="D1462" s="20" t="n"/>
      <c r="E1462" s="21" t="n"/>
      <c r="G1462" s="19" t="inlineStr">
        <is>
          <t>TARJETA 2 · Definición de Listo</t>
        </is>
      </c>
      <c r="H1462" s="20" t="n"/>
      <c r="I1462" s="20" t="n"/>
      <c r="J1462" s="21" t="n"/>
      <c r="L1462" s="19" t="inlineStr">
        <is>
          <t>TARJETA 3 · Definición de Terminado</t>
        </is>
      </c>
      <c r="M1462" s="20" t="n"/>
      <c r="N1462" s="20" t="n"/>
      <c r="O1462" s="21" t="n"/>
    </row>
    <row r="1463" ht="28" customHeight="1">
      <c r="B1463" s="22" t="inlineStr">
        <is>
          <t>La unidad con la que se planifica, se estima y se acepta el trabajo</t>
        </is>
      </c>
      <c r="C1463" s="8" t="n"/>
      <c r="D1463" s="8" t="n"/>
      <c r="E1463" s="23" t="n"/>
      <c r="G1463" s="22" t="inlineStr">
        <is>
          <t>El enfoque está en la consideración del equipo de desarrollo sobre si la historia está lista para un Sprint</t>
        </is>
      </c>
      <c r="H1463" s="8" t="n"/>
      <c r="I1463" s="8" t="n"/>
      <c r="J1463" s="23" t="n"/>
      <c r="L1463" s="22" t="inlineStr">
        <is>
          <t>El enfoque está en la aceptación del cliente cuando se le entregue el producto</t>
        </is>
      </c>
      <c r="M1463" s="8" t="n"/>
      <c r="N1463" s="8" t="n"/>
      <c r="O1463" s="23" t="n"/>
    </row>
    <row r="1464">
      <c r="B1464" s="24" t="inlineStr">
        <is>
          <t>Historia de usuario</t>
        </is>
      </c>
      <c r="C1464" s="8" t="n"/>
      <c r="D1464" s="25" t="inlineStr">
        <is>
          <t>Prioridad</t>
        </is>
      </c>
      <c r="E1464" s="26" t="inlineStr">
        <is>
          <t>Estimación</t>
        </is>
      </c>
      <c r="G1464" s="24" t="inlineStr">
        <is>
          <t>Historia de usuario</t>
        </is>
      </c>
      <c r="H1464" s="8" t="n"/>
      <c r="I1464" s="25" t="inlineStr">
        <is>
          <t>Prioridad</t>
        </is>
      </c>
      <c r="J1464" s="26" t="inlineStr">
        <is>
          <t>Estimación</t>
        </is>
      </c>
      <c r="L1464" s="24" t="inlineStr">
        <is>
          <t>Historia de usuario</t>
        </is>
      </c>
      <c r="M1464" s="8" t="n"/>
      <c r="N1464" s="25" t="inlineStr">
        <is>
          <t>Prioridad</t>
        </is>
      </c>
      <c r="O1464" s="26" t="inlineStr">
        <is>
          <t>Estimación</t>
        </is>
      </c>
    </row>
    <row r="1465" ht="30" customHeight="1">
      <c r="B1465" s="27" t="inlineStr">
        <is>
          <t>HU-57 · Comparar consumo vs. lo planificado</t>
        </is>
      </c>
      <c r="C1465" s="8" t="n"/>
      <c r="D1465" s="9" t="inlineStr">
        <is>
          <t>Crítica</t>
        </is>
      </c>
      <c r="E1465" s="28" t="inlineStr">
        <is>
          <t>8 pts</t>
        </is>
      </c>
      <c r="G1465" s="27" t="inlineStr">
        <is>
          <t>HU-57 · Comparar consumo vs. lo planificado</t>
        </is>
      </c>
      <c r="H1465" s="8" t="n"/>
      <c r="I1465" s="9" t="inlineStr">
        <is>
          <t>Crítica</t>
        </is>
      </c>
      <c r="J1465" s="28" t="inlineStr">
        <is>
          <t>8 pts</t>
        </is>
      </c>
      <c r="L1465" s="27" t="inlineStr">
        <is>
          <t>HU-57 · Comparar consumo vs. lo planificado</t>
        </is>
      </c>
      <c r="M1465" s="8" t="n"/>
      <c r="N1465" s="9" t="inlineStr">
        <is>
          <t>Crítica</t>
        </is>
      </c>
      <c r="O1465" s="28" t="inlineStr">
        <is>
          <t>8 pts</t>
        </is>
      </c>
    </row>
    <row r="1466">
      <c r="B1466" s="29" t="inlineStr">
        <is>
          <t>Descripción:</t>
        </is>
      </c>
      <c r="C1466" s="8" t="n"/>
      <c r="D1466" s="8" t="n"/>
      <c r="E1466" s="23" t="n"/>
      <c r="G1466" s="29" t="inlineStr">
        <is>
          <t>Descripción:</t>
        </is>
      </c>
      <c r="H1466" s="8" t="n"/>
      <c r="I1466" s="8" t="n"/>
      <c r="J1466" s="23" t="n"/>
      <c r="L1466" s="29" t="inlineStr">
        <is>
          <t>Descripción:</t>
        </is>
      </c>
      <c r="M1466" s="8" t="n"/>
      <c r="N1466" s="8" t="n"/>
      <c r="O1466" s="23" t="n"/>
    </row>
    <row r="1467" ht="28" customHeight="1">
      <c r="B1467" s="30" t="inlineStr">
        <is>
          <t>Como gerente, quiero comparar el consumo valorizado de cada insumo contra lo que se planificó para la obra, para detectar la desviación de costo mientras la obra corre.</t>
        </is>
      </c>
      <c r="C1467" s="8" t="n"/>
      <c r="D1467" s="8" t="n"/>
      <c r="E1467" s="23" t="n"/>
      <c r="G1467" s="30" t="inlineStr">
        <is>
          <t>Como gerente, quiero comparar el consumo valorizado de cada insumo contra lo que se planificó para la obra, para detectar la desviación de costo mientras la obra corre.</t>
        </is>
      </c>
      <c r="H1467" s="8" t="n"/>
      <c r="I1467" s="8" t="n"/>
      <c r="J1467" s="23" t="n"/>
      <c r="L1467" s="30" t="inlineStr">
        <is>
          <t>Como gerente, quiero comparar el consumo valorizado de cada insumo contra lo que se planificó para la obra, para detectar la desviación de costo mientras la obra corre.</t>
        </is>
      </c>
      <c r="M1467" s="8" t="n"/>
      <c r="N1467" s="8" t="n"/>
      <c r="O1467" s="23" t="n"/>
    </row>
    <row r="1468" ht="28" customHeight="1">
      <c r="B1468" s="31" t="n"/>
      <c r="C1468" s="8" t="n"/>
      <c r="D1468" s="8" t="n"/>
      <c r="E1468" s="23" t="n"/>
      <c r="G1468" s="31" t="n"/>
      <c r="H1468" s="8" t="n"/>
      <c r="I1468" s="8" t="n"/>
      <c r="J1468" s="23" t="n"/>
      <c r="L1468" s="31" t="n"/>
      <c r="M1468" s="8" t="n"/>
      <c r="N1468" s="8" t="n"/>
      <c r="O1468" s="23" t="n"/>
    </row>
    <row r="1469">
      <c r="B1469" s="29" t="inlineStr">
        <is>
          <t>Ficha de la historia</t>
        </is>
      </c>
      <c r="C1469" s="8" t="n"/>
      <c r="D1469" s="8" t="n"/>
      <c r="E1469" s="23" t="n"/>
      <c r="G1469" s="29" t="inlineStr">
        <is>
          <t>Criterios de listo:</t>
        </is>
      </c>
      <c r="H1469" s="8" t="n"/>
      <c r="I1469" s="8" t="n"/>
      <c r="J1469" s="23" t="n"/>
      <c r="L1469" s="29" t="inlineStr">
        <is>
          <t>Condiciones finales (se marcan cuando el PO acepta la HU en la Review):</t>
        </is>
      </c>
      <c r="M1469" s="8" t="n"/>
      <c r="N1469" s="8" t="n"/>
      <c r="O1469" s="23" t="n"/>
    </row>
    <row r="1470" ht="30" customHeight="1">
      <c r="B1470" s="32" t="inlineStr">
        <is>
          <t>Épica: E6. Valorizar el consumo e informar el costo de obra</t>
        </is>
      </c>
      <c r="C1470" s="8" t="n"/>
      <c r="D1470" s="8" t="n"/>
      <c r="E1470" s="23" t="n"/>
      <c r="G1470" s="33" t="inlineStr">
        <is>
          <t>( x )</t>
        </is>
      </c>
      <c r="H1470" s="34" t="inlineStr">
        <is>
          <t>L1 · Redactada en el formato acordado — Cumple</t>
        </is>
      </c>
      <c r="I1470" s="8" t="n"/>
      <c r="J1470" s="23" t="n"/>
      <c r="L1470" s="35" t="inlineStr">
        <is>
          <t>(    )</t>
        </is>
      </c>
      <c r="M1470" s="34" t="inlineStr">
        <is>
          <t>Se ha comparado el consumo real de cada insumo contra lo planificado en el S10</t>
        </is>
      </c>
      <c r="N1470" s="8" t="n"/>
      <c r="O1470" s="23" t="n"/>
    </row>
    <row r="1471" ht="30" customHeight="1">
      <c r="B1471" s="32" t="inlineStr">
        <is>
          <t>Módulo: Valorización / Costos</t>
        </is>
      </c>
      <c r="C1471" s="8" t="n"/>
      <c r="D1471" s="8" t="n"/>
      <c r="E1471" s="23" t="n"/>
      <c r="G1471" s="33" t="inlineStr">
        <is>
          <t>( x )</t>
        </is>
      </c>
      <c r="H1471" s="34" t="inlineStr">
        <is>
          <t>L2 · Nombre corto en forma de acción — Cumple</t>
        </is>
      </c>
      <c r="I1471" s="8" t="n"/>
      <c r="J1471" s="23" t="n"/>
      <c r="L1471" s="35" t="inlineStr">
        <is>
          <t>(    )</t>
        </is>
      </c>
      <c r="M1471" s="34" t="inlineStr">
        <is>
          <t>La desviación se ha mostrado en cantidad, importe y porcentaje, ordenable por importe</t>
        </is>
      </c>
      <c r="N1471" s="8" t="n"/>
      <c r="O1471" s="23" t="n"/>
    </row>
    <row r="1472" ht="30" customHeight="1">
      <c r="B1472" s="32" t="inlineStr">
        <is>
          <t>Responsable técnico: Web · Víctor Luján</t>
        </is>
      </c>
      <c r="C1472" s="8" t="n"/>
      <c r="D1472" s="8" t="n"/>
      <c r="E1472" s="23" t="n"/>
      <c r="G1472" s="33" t="inlineStr">
        <is>
          <t>( x )</t>
        </is>
      </c>
      <c r="H1472" s="34" t="inlineStr">
        <is>
          <t>L3 · Criterios de aceptación escritos — Cumple</t>
        </is>
      </c>
      <c r="I1472" s="8" t="n"/>
      <c r="J1472" s="23" t="n"/>
      <c r="L1472" s="35" t="inlineStr">
        <is>
          <t>(    )</t>
        </is>
      </c>
      <c r="M1472" s="34" t="inlineStr">
        <is>
          <t>Los insumos no planificados se han informado aparte</t>
        </is>
      </c>
      <c r="N1472" s="8" t="n"/>
      <c r="O1472" s="23" t="n"/>
    </row>
    <row r="1473" ht="30" customHeight="1">
      <c r="B1473" s="36" t="inlineStr">
        <is>
          <t>Depende de: HU-19, HU-55</t>
        </is>
      </c>
      <c r="C1473" s="37" t="n"/>
      <c r="D1473" s="37" t="n"/>
      <c r="E1473" s="38" t="n"/>
      <c r="G1473" s="33" t="inlineStr">
        <is>
          <t>( x )</t>
        </is>
      </c>
      <c r="H1473" s="34" t="inlineStr">
        <is>
          <t>L4 · Dependencias resueltas — Cumple</t>
        </is>
      </c>
      <c r="I1473" s="8" t="n"/>
      <c r="J1473" s="23" t="n"/>
      <c r="L1473" s="35" t="inlineStr">
        <is>
          <t>(    )</t>
        </is>
      </c>
      <c r="M1473" s="34" t="inlineStr">
        <is>
          <t>El reporte ha advertido que lo planificado incluye desperdicio y reserva</t>
        </is>
      </c>
      <c r="N1473" s="8" t="n"/>
      <c r="O1473" s="23" t="n"/>
    </row>
    <row r="1474" ht="36" customHeight="1">
      <c r="G1474" s="33" t="inlineStr">
        <is>
          <t>( x )</t>
        </is>
      </c>
      <c r="H1474" s="34" t="inlineStr">
        <is>
          <t>L5 · Estimada por los Developers — Cumple</t>
        </is>
      </c>
      <c r="I1474" s="8" t="n"/>
      <c r="J1474" s="23" t="n"/>
      <c r="L1474" s="36" t="inlineStr">
        <is>
          <t>Mitad técnica: Además, los diez criterios T1 a T10 de la hoja «3. Criterios DoR y DoD», sin excepción</t>
        </is>
      </c>
      <c r="M1474" s="37" t="n"/>
      <c r="N1474" s="37" t="n"/>
      <c r="O1474" s="38" t="n"/>
    </row>
    <row r="1475" ht="30" customHeight="1">
      <c r="G1475" s="33" t="inlineStr">
        <is>
          <t>( x )</t>
        </is>
      </c>
      <c r="H1475" s="34" t="inlineStr">
        <is>
          <t>L6 · Cabe en un sprint (8 puntos o menos) — Cumple</t>
        </is>
      </c>
      <c r="I1475" s="8" t="n"/>
      <c r="J1475" s="23" t="n"/>
    </row>
    <row r="1476" ht="30" customHeight="1">
      <c r="G1476" s="33" t="inlineStr">
        <is>
          <t>( x )</t>
        </is>
      </c>
      <c r="H1476" s="34" t="inlineStr">
        <is>
          <t>L7 · Reglas de dominio identificadas — Cumple</t>
        </is>
      </c>
      <c r="I1476" s="8" t="n"/>
      <c r="J1476" s="23" t="n"/>
    </row>
    <row r="1477" ht="30" customHeight="1">
      <c r="G1477" s="33" t="inlineStr">
        <is>
          <t>( x )</t>
        </is>
      </c>
      <c r="H1477" s="34" t="inlineStr">
        <is>
          <t>L8 · Datos de prueba disponibles — Cumple</t>
        </is>
      </c>
      <c r="I1477" s="8" t="n"/>
      <c r="J1477" s="23" t="n"/>
    </row>
    <row r="1478" ht="30" customHeight="1">
      <c r="G1478" s="33" t="inlineStr">
        <is>
          <t>( x )</t>
        </is>
      </c>
      <c r="H1478" s="34" t="inlineStr">
        <is>
          <t>L9 · Responsable técnico asignado — Cumple</t>
        </is>
      </c>
      <c r="I1478" s="8" t="n"/>
      <c r="J1478" s="23" t="n"/>
    </row>
    <row r="1479" ht="30" customHeight="1">
      <c r="G1479" s="33" t="inlineStr">
        <is>
          <t>( x )</t>
        </is>
      </c>
      <c r="H1479" s="34" t="inlineStr">
        <is>
          <t>L10 · Recursos identificados — Cumple: Víctor Luján + equipo de desarrollo y datos de prueba</t>
        </is>
      </c>
      <c r="I1479" s="8" t="n"/>
      <c r="J1479" s="23" t="n"/>
    </row>
    <row r="1480" ht="30" customHeight="1">
      <c r="G1480" s="33" t="inlineStr">
        <is>
          <t>( x )</t>
        </is>
      </c>
      <c r="H1480" s="34" t="inlineStr">
        <is>
          <t>L11 · Requisitos técnicos de programación definidos — Cumple: React 18, TypeScript y Vite</t>
        </is>
      </c>
      <c r="I1480" s="8" t="n"/>
      <c r="J1480" s="23" t="n"/>
    </row>
    <row r="1481" ht="30" customHeight="1">
      <c r="G1481" s="33" t="inlineStr">
        <is>
          <t>( x )</t>
        </is>
      </c>
      <c r="H1481" s="34" t="inlineStr">
        <is>
          <t>L12 · Accesos de red disponibles — Cumple: GitHub (repositorio privado), API y PostgreSQL en docker compose</t>
        </is>
      </c>
      <c r="I1481" s="8" t="n"/>
      <c r="J1481" s="23" t="n"/>
    </row>
    <row r="1482" ht="36" customHeight="1">
      <c r="G1482" s="39" t="inlineStr">
        <is>
          <t>Riesgos: Confundir gasto en recursos con costo total · el reporte declara su alcance</t>
        </is>
      </c>
      <c r="H1482" s="8" t="n"/>
      <c r="I1482" s="8" t="n"/>
      <c r="J1482" s="23" t="n"/>
    </row>
    <row r="1483" ht="36" customHeight="1">
      <c r="G1483" s="32" t="inlineStr">
        <is>
          <t>Proveedores de servicio: Navegador · API en la nube (PostgreSQL gestionado, capa gratuita)</t>
        </is>
      </c>
      <c r="H1483" s="8" t="n"/>
      <c r="I1483" s="8" t="n"/>
      <c r="J1483" s="23" t="n"/>
    </row>
    <row r="1484" ht="36" customHeight="1">
      <c r="G1484" s="36" t="inlineStr">
        <is>
          <t>Costos: 8 pts ≈ 16 horas-persona (1 punto ≈ 2 h) · servicios externos: S/ 0 (planes gratuitos)</t>
        </is>
      </c>
      <c r="H1484" s="37" t="n"/>
      <c r="I1484" s="37" t="n"/>
      <c r="J1484" s="38" t="n"/>
    </row>
    <row r="1487">
      <c r="B1487" s="18" t="inlineStr">
        <is>
          <t>HU-58 · Consultar gasto en recursos</t>
        </is>
      </c>
    </row>
    <row r="1488" ht="18" customHeight="1">
      <c r="B1488" s="19" t="inlineStr">
        <is>
          <t>TARJETA 1 · Historia de usuario</t>
        </is>
      </c>
      <c r="C1488" s="20" t="n"/>
      <c r="D1488" s="20" t="n"/>
      <c r="E1488" s="21" t="n"/>
      <c r="G1488" s="19" t="inlineStr">
        <is>
          <t>TARJETA 2 · Definición de Listo</t>
        </is>
      </c>
      <c r="H1488" s="20" t="n"/>
      <c r="I1488" s="20" t="n"/>
      <c r="J1488" s="21" t="n"/>
      <c r="L1488" s="19" t="inlineStr">
        <is>
          <t>TARJETA 3 · Definición de Terminado</t>
        </is>
      </c>
      <c r="M1488" s="20" t="n"/>
      <c r="N1488" s="20" t="n"/>
      <c r="O1488" s="21" t="n"/>
    </row>
    <row r="1489" ht="28" customHeight="1">
      <c r="B1489" s="22" t="inlineStr">
        <is>
          <t>La unidad con la que se planifica, se estima y se acepta el trabajo</t>
        </is>
      </c>
      <c r="C1489" s="8" t="n"/>
      <c r="D1489" s="8" t="n"/>
      <c r="E1489" s="23" t="n"/>
      <c r="G1489" s="22" t="inlineStr">
        <is>
          <t>El enfoque está en la consideración del equipo de desarrollo sobre si la historia está lista para un Sprint</t>
        </is>
      </c>
      <c r="H1489" s="8" t="n"/>
      <c r="I1489" s="8" t="n"/>
      <c r="J1489" s="23" t="n"/>
      <c r="L1489" s="22" t="inlineStr">
        <is>
          <t>El enfoque está en la aceptación del cliente cuando se le entregue el producto</t>
        </is>
      </c>
      <c r="M1489" s="8" t="n"/>
      <c r="N1489" s="8" t="n"/>
      <c r="O1489" s="23" t="n"/>
    </row>
    <row r="1490">
      <c r="B1490" s="24" t="inlineStr">
        <is>
          <t>Historia de usuario</t>
        </is>
      </c>
      <c r="C1490" s="8" t="n"/>
      <c r="D1490" s="25" t="inlineStr">
        <is>
          <t>Prioridad</t>
        </is>
      </c>
      <c r="E1490" s="26" t="inlineStr">
        <is>
          <t>Estimación</t>
        </is>
      </c>
      <c r="G1490" s="24" t="inlineStr">
        <is>
          <t>Historia de usuario</t>
        </is>
      </c>
      <c r="H1490" s="8" t="n"/>
      <c r="I1490" s="25" t="inlineStr">
        <is>
          <t>Prioridad</t>
        </is>
      </c>
      <c r="J1490" s="26" t="inlineStr">
        <is>
          <t>Estimación</t>
        </is>
      </c>
      <c r="L1490" s="24" t="inlineStr">
        <is>
          <t>Historia de usuario</t>
        </is>
      </c>
      <c r="M1490" s="8" t="n"/>
      <c r="N1490" s="25" t="inlineStr">
        <is>
          <t>Prioridad</t>
        </is>
      </c>
      <c r="O1490" s="26" t="inlineStr">
        <is>
          <t>Estimación</t>
        </is>
      </c>
    </row>
    <row r="1491" ht="30" customHeight="1">
      <c r="B1491" s="27" t="inlineStr">
        <is>
          <t>HU-58 · Consultar gasto en recursos</t>
        </is>
      </c>
      <c r="C1491" s="8" t="n"/>
      <c r="D1491" s="9" t="inlineStr">
        <is>
          <t>Alta</t>
        </is>
      </c>
      <c r="E1491" s="28" t="inlineStr">
        <is>
          <t>5 pts</t>
        </is>
      </c>
      <c r="G1491" s="27" t="inlineStr">
        <is>
          <t>HU-58 · Consultar gasto en recursos</t>
        </is>
      </c>
      <c r="H1491" s="8" t="n"/>
      <c r="I1491" s="9" t="inlineStr">
        <is>
          <t>Alta</t>
        </is>
      </c>
      <c r="J1491" s="28" t="inlineStr">
        <is>
          <t>5 pts</t>
        </is>
      </c>
      <c r="L1491" s="27" t="inlineStr">
        <is>
          <t>HU-58 · Consultar gasto en recursos</t>
        </is>
      </c>
      <c r="M1491" s="8" t="n"/>
      <c r="N1491" s="9" t="inlineStr">
        <is>
          <t>Alta</t>
        </is>
      </c>
      <c r="O1491" s="28" t="inlineStr">
        <is>
          <t>5 pts</t>
        </is>
      </c>
    </row>
    <row r="1492">
      <c r="B1492" s="29" t="inlineStr">
        <is>
          <t>Descripción:</t>
        </is>
      </c>
      <c r="C1492" s="8" t="n"/>
      <c r="D1492" s="8" t="n"/>
      <c r="E1492" s="23" t="n"/>
      <c r="G1492" s="29" t="inlineStr">
        <is>
          <t>Descripción:</t>
        </is>
      </c>
      <c r="H1492" s="8" t="n"/>
      <c r="I1492" s="8" t="n"/>
      <c r="J1492" s="23" t="n"/>
      <c r="L1492" s="29" t="inlineStr">
        <is>
          <t>Descripción:</t>
        </is>
      </c>
      <c r="M1492" s="8" t="n"/>
      <c r="N1492" s="8" t="n"/>
      <c r="O1492" s="23" t="n"/>
    </row>
    <row r="1493" ht="28" customHeight="1">
      <c r="B1493" s="30" t="inlineStr">
        <is>
          <t>Como gerente, quiero consultar cuánto se gastó en los recursos de la obra: material, herramientas y horas hombre, para saber en qué estado está el dinero puesto en los recursos.</t>
        </is>
      </c>
      <c r="C1493" s="8" t="n"/>
      <c r="D1493" s="8" t="n"/>
      <c r="E1493" s="23" t="n"/>
      <c r="G1493" s="30" t="inlineStr">
        <is>
          <t>Como gerente, quiero consultar cuánto se gastó en los recursos de la obra: material, herramientas y horas hombre, para saber en qué estado está el dinero puesto en los recursos.</t>
        </is>
      </c>
      <c r="H1493" s="8" t="n"/>
      <c r="I1493" s="8" t="n"/>
      <c r="J1493" s="23" t="n"/>
      <c r="L1493" s="30" t="inlineStr">
        <is>
          <t>Como gerente, quiero consultar cuánto se gastó en los recursos de la obra: material, herramientas y horas hombre, para saber en qué estado está el dinero puesto en los recursos.</t>
        </is>
      </c>
      <c r="M1493" s="8" t="n"/>
      <c r="N1493" s="8" t="n"/>
      <c r="O1493" s="23" t="n"/>
    </row>
    <row r="1494" ht="28" customHeight="1">
      <c r="B1494" s="31" t="n"/>
      <c r="C1494" s="8" t="n"/>
      <c r="D1494" s="8" t="n"/>
      <c r="E1494" s="23" t="n"/>
      <c r="G1494" s="31" t="n"/>
      <c r="H1494" s="8" t="n"/>
      <c r="I1494" s="8" t="n"/>
      <c r="J1494" s="23" t="n"/>
      <c r="L1494" s="31" t="n"/>
      <c r="M1494" s="8" t="n"/>
      <c r="N1494" s="8" t="n"/>
      <c r="O1494" s="23" t="n"/>
    </row>
    <row r="1495">
      <c r="B1495" s="29" t="inlineStr">
        <is>
          <t>Ficha de la historia</t>
        </is>
      </c>
      <c r="C1495" s="8" t="n"/>
      <c r="D1495" s="8" t="n"/>
      <c r="E1495" s="23" t="n"/>
      <c r="G1495" s="29" t="inlineStr">
        <is>
          <t>Criterios de listo:</t>
        </is>
      </c>
      <c r="H1495" s="8" t="n"/>
      <c r="I1495" s="8" t="n"/>
      <c r="J1495" s="23" t="n"/>
      <c r="L1495" s="29" t="inlineStr">
        <is>
          <t>Condiciones finales (se marcan cuando el PO acepta la HU en la Review):</t>
        </is>
      </c>
      <c r="M1495" s="8" t="n"/>
      <c r="N1495" s="8" t="n"/>
      <c r="O1495" s="23" t="n"/>
    </row>
    <row r="1496" ht="30" customHeight="1">
      <c r="B1496" s="32" t="inlineStr">
        <is>
          <t>Épica: E6. Valorizar el consumo e informar el costo de obra</t>
        </is>
      </c>
      <c r="C1496" s="8" t="n"/>
      <c r="D1496" s="8" t="n"/>
      <c r="E1496" s="23" t="n"/>
      <c r="G1496" s="33" t="inlineStr">
        <is>
          <t>( x )</t>
        </is>
      </c>
      <c r="H1496" s="34" t="inlineStr">
        <is>
          <t>L1 · Redactada en el formato acordado — Cumple</t>
        </is>
      </c>
      <c r="I1496" s="8" t="n"/>
      <c r="J1496" s="23" t="n"/>
      <c r="L1496" s="35" t="inlineStr">
        <is>
          <t>(    )</t>
        </is>
      </c>
      <c r="M1496" s="34" t="inlineStr">
        <is>
          <t>Se ha consultado lo comprado, recibido, consumido, en stock y las horas hombre de la obra</t>
        </is>
      </c>
      <c r="N1496" s="8" t="n"/>
      <c r="O1496" s="23" t="n"/>
    </row>
    <row r="1497" ht="30" customHeight="1">
      <c r="B1497" s="32" t="inlineStr">
        <is>
          <t>Módulo: Reportes / Administración</t>
        </is>
      </c>
      <c r="C1497" s="8" t="n"/>
      <c r="D1497" s="8" t="n"/>
      <c r="E1497" s="23" t="n"/>
      <c r="G1497" s="33" t="inlineStr">
        <is>
          <t>( x )</t>
        </is>
      </c>
      <c r="H1497" s="34" t="inlineStr">
        <is>
          <t>L2 · Nombre corto en forma de acción — Cumple</t>
        </is>
      </c>
      <c r="I1497" s="8" t="n"/>
      <c r="J1497" s="23" t="n"/>
      <c r="L1497" s="35" t="inlineStr">
        <is>
          <t>(    )</t>
        </is>
      </c>
      <c r="M1497" s="34" t="inlineStr">
        <is>
          <t>Cada cifra se ha mostrado con su definición y su fecha de corte</t>
        </is>
      </c>
      <c r="N1497" s="8" t="n"/>
      <c r="O1497" s="23" t="n"/>
    </row>
    <row r="1498" ht="30" customHeight="1">
      <c r="B1498" s="32" t="inlineStr">
        <is>
          <t>Responsable técnico: Web · Víctor Luján</t>
        </is>
      </c>
      <c r="C1498" s="8" t="n"/>
      <c r="D1498" s="8" t="n"/>
      <c r="E1498" s="23" t="n"/>
      <c r="G1498" s="33" t="inlineStr">
        <is>
          <t>( x )</t>
        </is>
      </c>
      <c r="H1498" s="34" t="inlineStr">
        <is>
          <t>L3 · Criterios de aceptación escritos — Cumple</t>
        </is>
      </c>
      <c r="I1498" s="8" t="n"/>
      <c r="J1498" s="23" t="n"/>
      <c r="L1498" s="35" t="inlineStr">
        <is>
          <t>(    )</t>
        </is>
      </c>
      <c r="M1498" s="34" t="inlineStr">
        <is>
          <t>El tablero ha declarado que es el gasto en recursos y no el costo total de la obra</t>
        </is>
      </c>
      <c r="N1498" s="8" t="n"/>
      <c r="O1498" s="23" t="n"/>
    </row>
    <row r="1499" ht="36" customHeight="1">
      <c r="B1499" s="36" t="inlineStr">
        <is>
          <t>Depende de: HU-32, HU-35, HU-40</t>
        </is>
      </c>
      <c r="C1499" s="37" t="n"/>
      <c r="D1499" s="37" t="n"/>
      <c r="E1499" s="38" t="n"/>
      <c r="G1499" s="33" t="inlineStr">
        <is>
          <t>( x )</t>
        </is>
      </c>
      <c r="H1499" s="34" t="inlineStr">
        <is>
          <t>L4 · Dependencias resueltas — Cumple</t>
        </is>
      </c>
      <c r="I1499" s="8" t="n"/>
      <c r="J1499" s="23" t="n"/>
      <c r="L1499" s="36" t="inlineStr">
        <is>
          <t>Mitad técnica: Además, los diez criterios T1 a T10 de la hoja «3. Criterios DoR y DoD», sin excepción</t>
        </is>
      </c>
      <c r="M1499" s="37" t="n"/>
      <c r="N1499" s="37" t="n"/>
      <c r="O1499" s="38" t="n"/>
    </row>
    <row r="1500" ht="30" customHeight="1">
      <c r="G1500" s="33" t="inlineStr">
        <is>
          <t>( x )</t>
        </is>
      </c>
      <c r="H1500" s="34" t="inlineStr">
        <is>
          <t>L5 · Estimada por los Developers — Cumple</t>
        </is>
      </c>
      <c r="I1500" s="8" t="n"/>
      <c r="J1500" s="23" t="n"/>
    </row>
    <row r="1501" ht="30" customHeight="1">
      <c r="G1501" s="33" t="inlineStr">
        <is>
          <t>( x )</t>
        </is>
      </c>
      <c r="H1501" s="34" t="inlineStr">
        <is>
          <t>L6 · Cabe en un sprint (8 puntos o menos) — Cumple</t>
        </is>
      </c>
      <c r="I1501" s="8" t="n"/>
      <c r="J1501" s="23" t="n"/>
    </row>
    <row r="1502" ht="30" customHeight="1">
      <c r="G1502" s="33" t="inlineStr">
        <is>
          <t>( x )</t>
        </is>
      </c>
      <c r="H1502" s="34" t="inlineStr">
        <is>
          <t>L7 · Reglas de dominio identificadas — Cumple</t>
        </is>
      </c>
      <c r="I1502" s="8" t="n"/>
      <c r="J1502" s="23" t="n"/>
    </row>
    <row r="1503" ht="30" customHeight="1">
      <c r="G1503" s="33" t="inlineStr">
        <is>
          <t>( x )</t>
        </is>
      </c>
      <c r="H1503" s="34" t="inlineStr">
        <is>
          <t>L8 · Datos de prueba disponibles — Cumple</t>
        </is>
      </c>
      <c r="I1503" s="8" t="n"/>
      <c r="J1503" s="23" t="n"/>
    </row>
    <row r="1504" ht="30" customHeight="1">
      <c r="G1504" s="33" t="inlineStr">
        <is>
          <t>( x )</t>
        </is>
      </c>
      <c r="H1504" s="34" t="inlineStr">
        <is>
          <t>L9 · Responsable técnico asignado — Cumple</t>
        </is>
      </c>
      <c r="I1504" s="8" t="n"/>
      <c r="J1504" s="23" t="n"/>
    </row>
    <row r="1505" ht="30" customHeight="1">
      <c r="G1505" s="33" t="inlineStr">
        <is>
          <t>( x )</t>
        </is>
      </c>
      <c r="H1505" s="34" t="inlineStr">
        <is>
          <t>L10 · Recursos identificados — Cumple: Víctor Luján + equipo de desarrollo y datos de prueba</t>
        </is>
      </c>
      <c r="I1505" s="8" t="n"/>
      <c r="J1505" s="23" t="n"/>
    </row>
    <row r="1506" ht="30" customHeight="1">
      <c r="G1506" s="33" t="inlineStr">
        <is>
          <t>( x )</t>
        </is>
      </c>
      <c r="H1506" s="34" t="inlineStr">
        <is>
          <t>L11 · Requisitos técnicos de programación definidos — Cumple: React 18, TypeScript y Vite</t>
        </is>
      </c>
      <c r="I1506" s="8" t="n"/>
      <c r="J1506" s="23" t="n"/>
    </row>
    <row r="1507" ht="30" customHeight="1">
      <c r="G1507" s="33" t="inlineStr">
        <is>
          <t>( x )</t>
        </is>
      </c>
      <c r="H1507" s="34" t="inlineStr">
        <is>
          <t>L12 · Accesos de red disponibles — Cumple: GitHub (repositorio privado), API y PostgreSQL en docker compose</t>
        </is>
      </c>
      <c r="I1507" s="8" t="n"/>
      <c r="J1507" s="23" t="n"/>
    </row>
    <row r="1508" ht="36" customHeight="1">
      <c r="G1508" s="39" t="inlineStr">
        <is>
          <t>Riesgos: Presentarlo como costo total de la obra · el reporte declara que es solo el gasto en recursos</t>
        </is>
      </c>
      <c r="H1508" s="8" t="n"/>
      <c r="I1508" s="8" t="n"/>
      <c r="J1508" s="23" t="n"/>
    </row>
    <row r="1509" ht="36" customHeight="1">
      <c r="G1509" s="32" t="inlineStr">
        <is>
          <t>Proveedores de servicio: Navegador · API en la nube (PostgreSQL gestionado, capa gratuita)</t>
        </is>
      </c>
      <c r="H1509" s="8" t="n"/>
      <c r="I1509" s="8" t="n"/>
      <c r="J1509" s="23" t="n"/>
    </row>
    <row r="1510" ht="36" customHeight="1">
      <c r="G1510" s="36" t="inlineStr">
        <is>
          <t>Costos: 5 pts ≈ 10 horas-persona (1 punto ≈ 2 h) · servicios externos: S/ 0 (planes gratuitos)</t>
        </is>
      </c>
      <c r="H1510" s="37" t="n"/>
      <c r="I1510" s="37" t="n"/>
      <c r="J1510" s="38" t="n"/>
    </row>
    <row r="1513">
      <c r="B1513" s="18" t="inlineStr">
        <is>
          <t>HU-59 · Separar IGV del costo</t>
        </is>
      </c>
    </row>
    <row r="1514" ht="18" customHeight="1">
      <c r="B1514" s="19" t="inlineStr">
        <is>
          <t>TARJETA 1 · Historia de usuario</t>
        </is>
      </c>
      <c r="C1514" s="20" t="n"/>
      <c r="D1514" s="20" t="n"/>
      <c r="E1514" s="21" t="n"/>
      <c r="G1514" s="19" t="inlineStr">
        <is>
          <t>TARJETA 2 · Definición de Listo</t>
        </is>
      </c>
      <c r="H1514" s="20" t="n"/>
      <c r="I1514" s="20" t="n"/>
      <c r="J1514" s="21" t="n"/>
      <c r="L1514" s="19" t="inlineStr">
        <is>
          <t>TARJETA 3 · Definición de Terminado</t>
        </is>
      </c>
      <c r="M1514" s="20" t="n"/>
      <c r="N1514" s="20" t="n"/>
      <c r="O1514" s="21" t="n"/>
    </row>
    <row r="1515" ht="28" customHeight="1">
      <c r="B1515" s="22" t="inlineStr">
        <is>
          <t>La unidad con la que se planifica, se estima y se acepta el trabajo</t>
        </is>
      </c>
      <c r="C1515" s="8" t="n"/>
      <c r="D1515" s="8" t="n"/>
      <c r="E1515" s="23" t="n"/>
      <c r="G1515" s="22" t="inlineStr">
        <is>
          <t>El enfoque está en la consideración del equipo de desarrollo sobre si la historia está lista para un Sprint</t>
        </is>
      </c>
      <c r="H1515" s="8" t="n"/>
      <c r="I1515" s="8" t="n"/>
      <c r="J1515" s="23" t="n"/>
      <c r="L1515" s="22" t="inlineStr">
        <is>
          <t>El enfoque está en la aceptación del cliente cuando se le entregue el producto</t>
        </is>
      </c>
      <c r="M1515" s="8" t="n"/>
      <c r="N1515" s="8" t="n"/>
      <c r="O1515" s="23" t="n"/>
    </row>
    <row r="1516">
      <c r="B1516" s="24" t="inlineStr">
        <is>
          <t>Historia de usuario</t>
        </is>
      </c>
      <c r="C1516" s="8" t="n"/>
      <c r="D1516" s="25" t="inlineStr">
        <is>
          <t>Prioridad</t>
        </is>
      </c>
      <c r="E1516" s="26" t="inlineStr">
        <is>
          <t>Estimación</t>
        </is>
      </c>
      <c r="G1516" s="24" t="inlineStr">
        <is>
          <t>Historia de usuario</t>
        </is>
      </c>
      <c r="H1516" s="8" t="n"/>
      <c r="I1516" s="25" t="inlineStr">
        <is>
          <t>Prioridad</t>
        </is>
      </c>
      <c r="J1516" s="26" t="inlineStr">
        <is>
          <t>Estimación</t>
        </is>
      </c>
      <c r="L1516" s="24" t="inlineStr">
        <is>
          <t>Historia de usuario</t>
        </is>
      </c>
      <c r="M1516" s="8" t="n"/>
      <c r="N1516" s="25" t="inlineStr">
        <is>
          <t>Prioridad</t>
        </is>
      </c>
      <c r="O1516" s="26" t="inlineStr">
        <is>
          <t>Estimación</t>
        </is>
      </c>
    </row>
    <row r="1517" ht="30" customHeight="1">
      <c r="B1517" s="27" t="inlineStr">
        <is>
          <t>HU-59 · Separar IGV del costo</t>
        </is>
      </c>
      <c r="C1517" s="8" t="n"/>
      <c r="D1517" s="9" t="inlineStr">
        <is>
          <t>Baja</t>
        </is>
      </c>
      <c r="E1517" s="28" t="inlineStr">
        <is>
          <t>3 pts</t>
        </is>
      </c>
      <c r="G1517" s="27" t="inlineStr">
        <is>
          <t>HU-59 · Separar IGV del costo</t>
        </is>
      </c>
      <c r="H1517" s="8" t="n"/>
      <c r="I1517" s="9" t="inlineStr">
        <is>
          <t>Baja</t>
        </is>
      </c>
      <c r="J1517" s="28" t="inlineStr">
        <is>
          <t>3 pts</t>
        </is>
      </c>
      <c r="L1517" s="27" t="inlineStr">
        <is>
          <t>HU-59 · Separar IGV del costo</t>
        </is>
      </c>
      <c r="M1517" s="8" t="n"/>
      <c r="N1517" s="9" t="inlineStr">
        <is>
          <t>Baja</t>
        </is>
      </c>
      <c r="O1517" s="28" t="inlineStr">
        <is>
          <t>3 pts</t>
        </is>
      </c>
    </row>
    <row r="1518">
      <c r="B1518" s="29" t="inlineStr">
        <is>
          <t>Descripción:</t>
        </is>
      </c>
      <c r="C1518" s="8" t="n"/>
      <c r="D1518" s="8" t="n"/>
      <c r="E1518" s="23" t="n"/>
      <c r="G1518" s="29" t="inlineStr">
        <is>
          <t>Descripción:</t>
        </is>
      </c>
      <c r="H1518" s="8" t="n"/>
      <c r="I1518" s="8" t="n"/>
      <c r="J1518" s="23" t="n"/>
      <c r="L1518" s="29" t="inlineStr">
        <is>
          <t>Descripción:</t>
        </is>
      </c>
      <c r="M1518" s="8" t="n"/>
      <c r="N1518" s="8" t="n"/>
      <c r="O1518" s="23" t="n"/>
    </row>
    <row r="1519" ht="28" customHeight="1">
      <c r="B1519" s="30" t="inlineStr">
        <is>
          <t>Como gerente, quiero separar el impuesto del gasto en materiales, para leer el costo real sin el componente tributario.</t>
        </is>
      </c>
      <c r="C1519" s="8" t="n"/>
      <c r="D1519" s="8" t="n"/>
      <c r="E1519" s="23" t="n"/>
      <c r="G1519" s="30" t="inlineStr">
        <is>
          <t>Como gerente, quiero separar el impuesto del gasto en materiales, para leer el costo real sin el componente tributario.</t>
        </is>
      </c>
      <c r="H1519" s="8" t="n"/>
      <c r="I1519" s="8" t="n"/>
      <c r="J1519" s="23" t="n"/>
      <c r="L1519" s="30" t="inlineStr">
        <is>
          <t>Como gerente, quiero separar el impuesto del gasto en materiales, para leer el costo real sin el componente tributario.</t>
        </is>
      </c>
      <c r="M1519" s="8" t="n"/>
      <c r="N1519" s="8" t="n"/>
      <c r="O1519" s="23" t="n"/>
    </row>
    <row r="1520" ht="28" customHeight="1">
      <c r="B1520" s="31" t="n"/>
      <c r="C1520" s="8" t="n"/>
      <c r="D1520" s="8" t="n"/>
      <c r="E1520" s="23" t="n"/>
      <c r="G1520" s="31" t="n"/>
      <c r="H1520" s="8" t="n"/>
      <c r="I1520" s="8" t="n"/>
      <c r="J1520" s="23" t="n"/>
      <c r="L1520" s="31" t="n"/>
      <c r="M1520" s="8" t="n"/>
      <c r="N1520" s="8" t="n"/>
      <c r="O1520" s="23" t="n"/>
    </row>
    <row r="1521">
      <c r="B1521" s="29" t="inlineStr">
        <is>
          <t>Ficha de la historia</t>
        </is>
      </c>
      <c r="C1521" s="8" t="n"/>
      <c r="D1521" s="8" t="n"/>
      <c r="E1521" s="23" t="n"/>
      <c r="G1521" s="29" t="inlineStr">
        <is>
          <t>Criterios de listo:</t>
        </is>
      </c>
      <c r="H1521" s="8" t="n"/>
      <c r="I1521" s="8" t="n"/>
      <c r="J1521" s="23" t="n"/>
      <c r="L1521" s="29" t="inlineStr">
        <is>
          <t>Condiciones finales (se marcan cuando el PO acepta la HU en la Review):</t>
        </is>
      </c>
      <c r="M1521" s="8" t="n"/>
      <c r="N1521" s="8" t="n"/>
      <c r="O1521" s="23" t="n"/>
    </row>
    <row r="1522" ht="30" customHeight="1">
      <c r="B1522" s="32" t="inlineStr">
        <is>
          <t>Épica: E6. Valorizar el consumo e informar el costo de obra</t>
        </is>
      </c>
      <c r="C1522" s="8" t="n"/>
      <c r="D1522" s="8" t="n"/>
      <c r="E1522" s="23" t="n"/>
      <c r="G1522" s="33" t="inlineStr">
        <is>
          <t>( x )</t>
        </is>
      </c>
      <c r="H1522" s="34" t="inlineStr">
        <is>
          <t>L1 · Redactada en el formato acordado — Cumple</t>
        </is>
      </c>
      <c r="I1522" s="8" t="n"/>
      <c r="J1522" s="23" t="n"/>
      <c r="L1522" s="35" t="inlineStr">
        <is>
          <t>(    )</t>
        </is>
      </c>
      <c r="M1522" s="34" t="inlineStr">
        <is>
          <t>Cada compra ha quedado con base imponible, impuesto y total</t>
        </is>
      </c>
      <c r="N1522" s="8" t="n"/>
      <c r="O1522" s="23" t="n"/>
    </row>
    <row r="1523" ht="30" customHeight="1">
      <c r="B1523" s="32" t="inlineStr">
        <is>
          <t>Módulo: Reportes / Administración</t>
        </is>
      </c>
      <c r="C1523" s="8" t="n"/>
      <c r="D1523" s="8" t="n"/>
      <c r="E1523" s="23" t="n"/>
      <c r="G1523" s="33" t="inlineStr">
        <is>
          <t>( x )</t>
        </is>
      </c>
      <c r="H1523" s="34" t="inlineStr">
        <is>
          <t>L2 · Nombre corto en forma de acción — Cumple</t>
        </is>
      </c>
      <c r="I1523" s="8" t="n"/>
      <c r="J1523" s="23" t="n"/>
      <c r="L1523" s="35" t="inlineStr">
        <is>
          <t>(    )</t>
        </is>
      </c>
      <c r="M1523" s="34" t="inlineStr">
        <is>
          <t>Los reportes de costo se han visto con y sin impuesto</t>
        </is>
      </c>
      <c r="N1523" s="8" t="n"/>
      <c r="O1523" s="23" t="n"/>
    </row>
    <row r="1524" ht="30" customHeight="1">
      <c r="B1524" s="32" t="inlineStr">
        <is>
          <t>Responsable técnico: Web · Víctor Luján</t>
        </is>
      </c>
      <c r="C1524" s="8" t="n"/>
      <c r="D1524" s="8" t="n"/>
      <c r="E1524" s="23" t="n"/>
      <c r="G1524" s="33" t="inlineStr">
        <is>
          <t>( x )</t>
        </is>
      </c>
      <c r="H1524" s="34" t="inlineStr">
        <is>
          <t>L3 · Criterios de aceptación escritos — Cumple</t>
        </is>
      </c>
      <c r="I1524" s="8" t="n"/>
      <c r="J1524" s="23" t="n"/>
      <c r="L1524" s="35" t="inlineStr">
        <is>
          <t>(    )</t>
        </is>
      </c>
      <c r="M1524" s="34" t="inlineStr">
        <is>
          <t>El reporte ha indicado el criterio aplicado</t>
        </is>
      </c>
      <c r="N1524" s="8" t="n"/>
      <c r="O1524" s="23" t="n"/>
    </row>
    <row r="1525" ht="36" customHeight="1">
      <c r="B1525" s="36" t="inlineStr">
        <is>
          <t>Depende de: HU-32</t>
        </is>
      </c>
      <c r="C1525" s="37" t="n"/>
      <c r="D1525" s="37" t="n"/>
      <c r="E1525" s="38" t="n"/>
      <c r="G1525" s="33" t="inlineStr">
        <is>
          <t>( x )</t>
        </is>
      </c>
      <c r="H1525" s="34" t="inlineStr">
        <is>
          <t>L4 · Dependencias resueltas — Cumple</t>
        </is>
      </c>
      <c r="I1525" s="8" t="n"/>
      <c r="J1525" s="23" t="n"/>
      <c r="L1525" s="36" t="inlineStr">
        <is>
          <t>Mitad técnica: Además, los diez criterios T1 a T10 de la hoja «3. Criterios DoR y DoD», sin excepción</t>
        </is>
      </c>
      <c r="M1525" s="37" t="n"/>
      <c r="N1525" s="37" t="n"/>
      <c r="O1525" s="38" t="n"/>
    </row>
    <row r="1526" ht="30" customHeight="1">
      <c r="G1526" s="33" t="inlineStr">
        <is>
          <t>( x )</t>
        </is>
      </c>
      <c r="H1526" s="34" t="inlineStr">
        <is>
          <t>L5 · Estimada por los Developers — Cumple</t>
        </is>
      </c>
      <c r="I1526" s="8" t="n"/>
      <c r="J1526" s="23" t="n"/>
    </row>
    <row r="1527" ht="30" customHeight="1">
      <c r="G1527" s="33" t="inlineStr">
        <is>
          <t>( x )</t>
        </is>
      </c>
      <c r="H1527" s="34" t="inlineStr">
        <is>
          <t>L6 · Cabe en un sprint (8 puntos o menos) — Cumple</t>
        </is>
      </c>
      <c r="I1527" s="8" t="n"/>
      <c r="J1527" s="23" t="n"/>
    </row>
    <row r="1528" ht="30" customHeight="1">
      <c r="G1528" s="33" t="inlineStr">
        <is>
          <t>( x )</t>
        </is>
      </c>
      <c r="H1528" s="34" t="inlineStr">
        <is>
          <t>L7 · Reglas de dominio identificadas — Cumple</t>
        </is>
      </c>
      <c r="I1528" s="8" t="n"/>
      <c r="J1528" s="23" t="n"/>
    </row>
    <row r="1529" ht="30" customHeight="1">
      <c r="G1529" s="33" t="inlineStr">
        <is>
          <t>( x )</t>
        </is>
      </c>
      <c r="H1529" s="34" t="inlineStr">
        <is>
          <t>L8 · Datos de prueba disponibles — Cumple</t>
        </is>
      </c>
      <c r="I1529" s="8" t="n"/>
      <c r="J1529" s="23" t="n"/>
    </row>
    <row r="1530" ht="30" customHeight="1">
      <c r="G1530" s="33" t="inlineStr">
        <is>
          <t>( x )</t>
        </is>
      </c>
      <c r="H1530" s="34" t="inlineStr">
        <is>
          <t>L9 · Responsable técnico asignado — Cumple</t>
        </is>
      </c>
      <c r="I1530" s="8" t="n"/>
      <c r="J1530" s="23" t="n"/>
    </row>
    <row r="1531" ht="30" customHeight="1">
      <c r="G1531" s="33" t="inlineStr">
        <is>
          <t>( x )</t>
        </is>
      </c>
      <c r="H1531" s="34" t="inlineStr">
        <is>
          <t>L10 · Recursos identificados — Cumple: Víctor Luján + equipo de desarrollo y datos de prueba</t>
        </is>
      </c>
      <c r="I1531" s="8" t="n"/>
      <c r="J1531" s="23" t="n"/>
    </row>
    <row r="1532" ht="30" customHeight="1">
      <c r="G1532" s="33" t="inlineStr">
        <is>
          <t>( x )</t>
        </is>
      </c>
      <c r="H1532" s="34" t="inlineStr">
        <is>
          <t>L11 · Requisitos técnicos de programación definidos — Cumple: React 18, TypeScript y Vite</t>
        </is>
      </c>
      <c r="I1532" s="8" t="n"/>
      <c r="J1532" s="23" t="n"/>
    </row>
    <row r="1533" ht="30" customHeight="1">
      <c r="G1533" s="33" t="inlineStr">
        <is>
          <t>( x )</t>
        </is>
      </c>
      <c r="H1533" s="34" t="inlineStr">
        <is>
          <t>L12 · Accesos de red disponibles — Cumple: GitHub (repositorio privado), API y PostgreSQL en docker compose</t>
        </is>
      </c>
      <c r="I1533" s="8" t="n"/>
      <c r="J1533" s="23" t="n"/>
    </row>
    <row r="1534" ht="36" customHeight="1">
      <c r="G1534" s="39" t="inlineStr">
        <is>
          <t>Riesgos: Mezclar IGV en el costo · base, impuesto y total por separado (NIC 2)</t>
        </is>
      </c>
      <c r="H1534" s="8" t="n"/>
      <c r="I1534" s="8" t="n"/>
      <c r="J1534" s="23" t="n"/>
    </row>
    <row r="1535" ht="36" customHeight="1">
      <c r="G1535" s="32" t="inlineStr">
        <is>
          <t>Proveedores de servicio: Navegador · API en la nube (PostgreSQL gestionado, capa gratuita)</t>
        </is>
      </c>
      <c r="H1535" s="8" t="n"/>
      <c r="I1535" s="8" t="n"/>
      <c r="J1535" s="23" t="n"/>
    </row>
    <row r="1536" ht="36" customHeight="1">
      <c r="G1536" s="36" t="inlineStr">
        <is>
          <t>Costos: 3 pts ≈ 6 horas-persona (1 punto ≈ 2 h) · servicios externos: S/ 0 (planes gratuitos)</t>
        </is>
      </c>
      <c r="H1536" s="37" t="n"/>
      <c r="I1536" s="37" t="n"/>
      <c r="J1536" s="38" t="n"/>
    </row>
    <row r="1539">
      <c r="B1539" s="18" t="inlineStr">
        <is>
          <t>HU-60 · Listar facturas</t>
        </is>
      </c>
    </row>
    <row r="1540" ht="18" customHeight="1">
      <c r="B1540" s="19" t="inlineStr">
        <is>
          <t>TARJETA 1 · Historia de usuario</t>
        </is>
      </c>
      <c r="C1540" s="20" t="n"/>
      <c r="D1540" s="20" t="n"/>
      <c r="E1540" s="21" t="n"/>
      <c r="G1540" s="19" t="inlineStr">
        <is>
          <t>TARJETA 2 · Definición de Listo</t>
        </is>
      </c>
      <c r="H1540" s="20" t="n"/>
      <c r="I1540" s="20" t="n"/>
      <c r="J1540" s="21" t="n"/>
      <c r="L1540" s="19" t="inlineStr">
        <is>
          <t>TARJETA 3 · Definición de Terminado</t>
        </is>
      </c>
      <c r="M1540" s="20" t="n"/>
      <c r="N1540" s="20" t="n"/>
      <c r="O1540" s="21" t="n"/>
    </row>
    <row r="1541" ht="28" customHeight="1">
      <c r="B1541" s="22" t="inlineStr">
        <is>
          <t>La unidad con la que se planifica, se estima y se acepta el trabajo</t>
        </is>
      </c>
      <c r="C1541" s="8" t="n"/>
      <c r="D1541" s="8" t="n"/>
      <c r="E1541" s="23" t="n"/>
      <c r="G1541" s="22" t="inlineStr">
        <is>
          <t>El enfoque está en la consideración del equipo de desarrollo sobre si la historia está lista para un Sprint</t>
        </is>
      </c>
      <c r="H1541" s="8" t="n"/>
      <c r="I1541" s="8" t="n"/>
      <c r="J1541" s="23" t="n"/>
      <c r="L1541" s="22" t="inlineStr">
        <is>
          <t>El enfoque está en la aceptación del cliente cuando se le entregue el producto</t>
        </is>
      </c>
      <c r="M1541" s="8" t="n"/>
      <c r="N1541" s="8" t="n"/>
      <c r="O1541" s="23" t="n"/>
    </row>
    <row r="1542">
      <c r="B1542" s="24" t="inlineStr">
        <is>
          <t>Historia de usuario</t>
        </is>
      </c>
      <c r="C1542" s="8" t="n"/>
      <c r="D1542" s="25" t="inlineStr">
        <is>
          <t>Prioridad</t>
        </is>
      </c>
      <c r="E1542" s="26" t="inlineStr">
        <is>
          <t>Estimación</t>
        </is>
      </c>
      <c r="G1542" s="24" t="inlineStr">
        <is>
          <t>Historia de usuario</t>
        </is>
      </c>
      <c r="H1542" s="8" t="n"/>
      <c r="I1542" s="25" t="inlineStr">
        <is>
          <t>Prioridad</t>
        </is>
      </c>
      <c r="J1542" s="26" t="inlineStr">
        <is>
          <t>Estimación</t>
        </is>
      </c>
      <c r="L1542" s="24" t="inlineStr">
        <is>
          <t>Historia de usuario</t>
        </is>
      </c>
      <c r="M1542" s="8" t="n"/>
      <c r="N1542" s="25" t="inlineStr">
        <is>
          <t>Prioridad</t>
        </is>
      </c>
      <c r="O1542" s="26" t="inlineStr">
        <is>
          <t>Estimación</t>
        </is>
      </c>
    </row>
    <row r="1543" ht="30" customHeight="1">
      <c r="B1543" s="27" t="inlineStr">
        <is>
          <t>HU-60 · Listar facturas</t>
        </is>
      </c>
      <c r="C1543" s="8" t="n"/>
      <c r="D1543" s="9" t="inlineStr">
        <is>
          <t>Media</t>
        </is>
      </c>
      <c r="E1543" s="28" t="inlineStr">
        <is>
          <t>3 pts</t>
        </is>
      </c>
      <c r="G1543" s="27" t="inlineStr">
        <is>
          <t>HU-60 · Listar facturas</t>
        </is>
      </c>
      <c r="H1543" s="8" t="n"/>
      <c r="I1543" s="9" t="inlineStr">
        <is>
          <t>Media</t>
        </is>
      </c>
      <c r="J1543" s="28" t="inlineStr">
        <is>
          <t>3 pts</t>
        </is>
      </c>
      <c r="L1543" s="27" t="inlineStr">
        <is>
          <t>HU-60 · Listar facturas</t>
        </is>
      </c>
      <c r="M1543" s="8" t="n"/>
      <c r="N1543" s="9" t="inlineStr">
        <is>
          <t>Media</t>
        </is>
      </c>
      <c r="O1543" s="28" t="inlineStr">
        <is>
          <t>3 pts</t>
        </is>
      </c>
    </row>
    <row r="1544">
      <c r="B1544" s="29" t="inlineStr">
        <is>
          <t>Descripción:</t>
        </is>
      </c>
      <c r="C1544" s="8" t="n"/>
      <c r="D1544" s="8" t="n"/>
      <c r="E1544" s="23" t="n"/>
      <c r="G1544" s="29" t="inlineStr">
        <is>
          <t>Descripción:</t>
        </is>
      </c>
      <c r="H1544" s="8" t="n"/>
      <c r="I1544" s="8" t="n"/>
      <c r="J1544" s="23" t="n"/>
      <c r="L1544" s="29" t="inlineStr">
        <is>
          <t>Descripción:</t>
        </is>
      </c>
      <c r="M1544" s="8" t="n"/>
      <c r="N1544" s="8" t="n"/>
      <c r="O1544" s="23" t="n"/>
    </row>
    <row r="1545" ht="28" customHeight="1">
      <c r="B1545" s="30" t="inlineStr">
        <is>
          <t>Como administrador, quiero revisar todas las facturas en un solo cuadro, para no abrirlas una por una.</t>
        </is>
      </c>
      <c r="C1545" s="8" t="n"/>
      <c r="D1545" s="8" t="n"/>
      <c r="E1545" s="23" t="n"/>
      <c r="G1545" s="30" t="inlineStr">
        <is>
          <t>Como administrador, quiero revisar todas las facturas en un solo cuadro, para no abrirlas una por una.</t>
        </is>
      </c>
      <c r="H1545" s="8" t="n"/>
      <c r="I1545" s="8" t="n"/>
      <c r="J1545" s="23" t="n"/>
      <c r="L1545" s="30" t="inlineStr">
        <is>
          <t>Como administrador, quiero revisar todas las facturas en un solo cuadro, para no abrirlas una por una.</t>
        </is>
      </c>
      <c r="M1545" s="8" t="n"/>
      <c r="N1545" s="8" t="n"/>
      <c r="O1545" s="23" t="n"/>
    </row>
    <row r="1546" ht="28" customHeight="1">
      <c r="B1546" s="31" t="n"/>
      <c r="C1546" s="8" t="n"/>
      <c r="D1546" s="8" t="n"/>
      <c r="E1546" s="23" t="n"/>
      <c r="G1546" s="31" t="n"/>
      <c r="H1546" s="8" t="n"/>
      <c r="I1546" s="8" t="n"/>
      <c r="J1546" s="23" t="n"/>
      <c r="L1546" s="31" t="n"/>
      <c r="M1546" s="8" t="n"/>
      <c r="N1546" s="8" t="n"/>
      <c r="O1546" s="23" t="n"/>
    </row>
    <row r="1547">
      <c r="B1547" s="29" t="inlineStr">
        <is>
          <t>Ficha de la historia</t>
        </is>
      </c>
      <c r="C1547" s="8" t="n"/>
      <c r="D1547" s="8" t="n"/>
      <c r="E1547" s="23" t="n"/>
      <c r="G1547" s="29" t="inlineStr">
        <is>
          <t>Criterios de listo:</t>
        </is>
      </c>
      <c r="H1547" s="8" t="n"/>
      <c r="I1547" s="8" t="n"/>
      <c r="J1547" s="23" t="n"/>
      <c r="L1547" s="29" t="inlineStr">
        <is>
          <t>Condiciones finales (se marcan cuando el PO acepta la HU en la Review):</t>
        </is>
      </c>
      <c r="M1547" s="8" t="n"/>
      <c r="N1547" s="8" t="n"/>
      <c r="O1547" s="23" t="n"/>
    </row>
    <row r="1548" ht="30" customHeight="1">
      <c r="B1548" s="32" t="inlineStr">
        <is>
          <t>Épica: E6. Valorizar el consumo e informar el costo de obra</t>
        </is>
      </c>
      <c r="C1548" s="8" t="n"/>
      <c r="D1548" s="8" t="n"/>
      <c r="E1548" s="23" t="n"/>
      <c r="G1548" s="33" t="inlineStr">
        <is>
          <t>( x )</t>
        </is>
      </c>
      <c r="H1548" s="34" t="inlineStr">
        <is>
          <t>L1 · Redactada en el formato acordado — Cumple</t>
        </is>
      </c>
      <c r="I1548" s="8" t="n"/>
      <c r="J1548" s="23" t="n"/>
      <c r="L1548" s="35" t="inlineStr">
        <is>
          <t>(    )</t>
        </is>
      </c>
      <c r="M1548" s="34" t="inlineStr">
        <is>
          <t>Se han listado las facturas con proveedor, comprobante, fecha, base, impuesto y total</t>
        </is>
      </c>
      <c r="N1548" s="8" t="n"/>
      <c r="O1548" s="23" t="n"/>
    </row>
    <row r="1549" ht="30" customHeight="1">
      <c r="B1549" s="32" t="inlineStr">
        <is>
          <t>Módulo: Reportes / Administración</t>
        </is>
      </c>
      <c r="C1549" s="8" t="n"/>
      <c r="D1549" s="8" t="n"/>
      <c r="E1549" s="23" t="n"/>
      <c r="G1549" s="33" t="inlineStr">
        <is>
          <t>( x )</t>
        </is>
      </c>
      <c r="H1549" s="34" t="inlineStr">
        <is>
          <t>L2 · Nombre corto en forma de acción — Cumple</t>
        </is>
      </c>
      <c r="I1549" s="8" t="n"/>
      <c r="J1549" s="23" t="n"/>
      <c r="L1549" s="35" t="inlineStr">
        <is>
          <t>(    )</t>
        </is>
      </c>
      <c r="M1549" s="34" t="inlineStr">
        <is>
          <t>La lista se ha filtrado por proveedor, fechas y obra</t>
        </is>
      </c>
      <c r="N1549" s="8" t="n"/>
      <c r="O1549" s="23" t="n"/>
    </row>
    <row r="1550" ht="30" customHeight="1">
      <c r="B1550" s="32" t="inlineStr">
        <is>
          <t>Responsable técnico: Web · Víctor Luján</t>
        </is>
      </c>
      <c r="C1550" s="8" t="n"/>
      <c r="D1550" s="8" t="n"/>
      <c r="E1550" s="23" t="n"/>
      <c r="G1550" s="33" t="inlineStr">
        <is>
          <t>( x )</t>
        </is>
      </c>
      <c r="H1550" s="34" t="inlineStr">
        <is>
          <t>L3 · Criterios de aceptación escritos — Cumple</t>
        </is>
      </c>
      <c r="I1550" s="8" t="n"/>
      <c r="J1550" s="23" t="n"/>
      <c r="L1550" s="35" t="inlineStr">
        <is>
          <t>(    )</t>
        </is>
      </c>
      <c r="M1550" s="34" t="inlineStr">
        <is>
          <t>La lista se ha exportado</t>
        </is>
      </c>
      <c r="N1550" s="8" t="n"/>
      <c r="O1550" s="23" t="n"/>
    </row>
    <row r="1551" ht="36" customHeight="1">
      <c r="B1551" s="36" t="inlineStr">
        <is>
          <t>Depende de: HU-32</t>
        </is>
      </c>
      <c r="C1551" s="37" t="n"/>
      <c r="D1551" s="37" t="n"/>
      <c r="E1551" s="38" t="n"/>
      <c r="G1551" s="33" t="inlineStr">
        <is>
          <t>( x )</t>
        </is>
      </c>
      <c r="H1551" s="34" t="inlineStr">
        <is>
          <t>L4 · Dependencias resueltas — Cumple</t>
        </is>
      </c>
      <c r="I1551" s="8" t="n"/>
      <c r="J1551" s="23" t="n"/>
      <c r="L1551" s="36" t="inlineStr">
        <is>
          <t>Mitad técnica: Además, los diez criterios T1 a T10 de la hoja «3. Criterios DoR y DoD», sin excepción</t>
        </is>
      </c>
      <c r="M1551" s="37" t="n"/>
      <c r="N1551" s="37" t="n"/>
      <c r="O1551" s="38" t="n"/>
    </row>
    <row r="1552" ht="30" customHeight="1">
      <c r="G1552" s="33" t="inlineStr">
        <is>
          <t>( x )</t>
        </is>
      </c>
      <c r="H1552" s="34" t="inlineStr">
        <is>
          <t>L5 · Estimada por los Developers — Cumple</t>
        </is>
      </c>
      <c r="I1552" s="8" t="n"/>
      <c r="J1552" s="23" t="n"/>
    </row>
    <row r="1553" ht="30" customHeight="1">
      <c r="G1553" s="33" t="inlineStr">
        <is>
          <t>( x )</t>
        </is>
      </c>
      <c r="H1553" s="34" t="inlineStr">
        <is>
          <t>L6 · Cabe en un sprint (8 puntos o menos) — Cumple</t>
        </is>
      </c>
      <c r="I1553" s="8" t="n"/>
      <c r="J1553" s="23" t="n"/>
    </row>
    <row r="1554" ht="30" customHeight="1">
      <c r="G1554" s="33" t="inlineStr">
        <is>
          <t>( x )</t>
        </is>
      </c>
      <c r="H1554" s="34" t="inlineStr">
        <is>
          <t>L7 · Reglas de dominio identificadas — Cumple</t>
        </is>
      </c>
      <c r="I1554" s="8" t="n"/>
      <c r="J1554" s="23" t="n"/>
    </row>
    <row r="1555" ht="30" customHeight="1">
      <c r="G1555" s="33" t="inlineStr">
        <is>
          <t>( x )</t>
        </is>
      </c>
      <c r="H1555" s="34" t="inlineStr">
        <is>
          <t>L8 · Datos de prueba disponibles — Cumple</t>
        </is>
      </c>
      <c r="I1555" s="8" t="n"/>
      <c r="J1555" s="23" t="n"/>
    </row>
    <row r="1556" ht="30" customHeight="1">
      <c r="G1556" s="33" t="inlineStr">
        <is>
          <t>( x )</t>
        </is>
      </c>
      <c r="H1556" s="34" t="inlineStr">
        <is>
          <t>L9 · Responsable técnico asignado — Cumple</t>
        </is>
      </c>
      <c r="I1556" s="8" t="n"/>
      <c r="J1556" s="23" t="n"/>
    </row>
    <row r="1557" ht="30" customHeight="1">
      <c r="G1557" s="33" t="inlineStr">
        <is>
          <t>( x )</t>
        </is>
      </c>
      <c r="H1557" s="34" t="inlineStr">
        <is>
          <t>L10 · Recursos identificados — Cumple: Víctor Luján + equipo de desarrollo y datos de prueba</t>
        </is>
      </c>
      <c r="I1557" s="8" t="n"/>
      <c r="J1557" s="23" t="n"/>
    </row>
    <row r="1558" ht="30" customHeight="1">
      <c r="G1558" s="33" t="inlineStr">
        <is>
          <t>( x )</t>
        </is>
      </c>
      <c r="H1558" s="34" t="inlineStr">
        <is>
          <t>L11 · Requisitos técnicos de programación definidos — Cumple: React 18, TypeScript y Vite</t>
        </is>
      </c>
      <c r="I1558" s="8" t="n"/>
      <c r="J1558" s="23" t="n"/>
    </row>
    <row r="1559" ht="30" customHeight="1">
      <c r="G1559" s="33" t="inlineStr">
        <is>
          <t>( x )</t>
        </is>
      </c>
      <c r="H1559" s="34" t="inlineStr">
        <is>
          <t>L12 · Accesos de red disponibles — Cumple: GitHub (repositorio privado), API y PostgreSQL en docker compose</t>
        </is>
      </c>
      <c r="I1559" s="8" t="n"/>
      <c r="J1559" s="23" t="n"/>
    </row>
    <row r="1560" ht="36" customHeight="1">
      <c r="G1560" s="39" t="inlineStr">
        <is>
          <t>Riesgos: Facturas que no se encuentran · filtros por proveedor, fecha y obra</t>
        </is>
      </c>
      <c r="H1560" s="8" t="n"/>
      <c r="I1560" s="8" t="n"/>
      <c r="J1560" s="23" t="n"/>
    </row>
    <row r="1561" ht="36" customHeight="1">
      <c r="G1561" s="32" t="inlineStr">
        <is>
          <t>Proveedores de servicio: Navegador · API en la nube (PostgreSQL gestionado, capa gratuita)</t>
        </is>
      </c>
      <c r="H1561" s="8" t="n"/>
      <c r="I1561" s="8" t="n"/>
      <c r="J1561" s="23" t="n"/>
    </row>
    <row r="1562" ht="36" customHeight="1">
      <c r="G1562" s="36" t="inlineStr">
        <is>
          <t>Costos: 3 pts ≈ 6 horas-persona (1 punto ≈ 2 h) · servicios externos: S/ 0 (planes gratuitos)</t>
        </is>
      </c>
      <c r="H1562" s="37" t="n"/>
      <c r="I1562" s="37" t="n"/>
      <c r="J1562" s="38" t="n"/>
    </row>
    <row r="1565">
      <c r="B1565" s="18" t="inlineStr">
        <is>
          <t>HU-61 · Descargar comprobante</t>
        </is>
      </c>
    </row>
    <row r="1566" ht="18" customHeight="1">
      <c r="B1566" s="19" t="inlineStr">
        <is>
          <t>TARJETA 1 · Historia de usuario</t>
        </is>
      </c>
      <c r="C1566" s="20" t="n"/>
      <c r="D1566" s="20" t="n"/>
      <c r="E1566" s="21" t="n"/>
      <c r="G1566" s="19" t="inlineStr">
        <is>
          <t>TARJETA 2 · Definición de Listo</t>
        </is>
      </c>
      <c r="H1566" s="20" t="n"/>
      <c r="I1566" s="20" t="n"/>
      <c r="J1566" s="21" t="n"/>
      <c r="L1566" s="19" t="inlineStr">
        <is>
          <t>TARJETA 3 · Definición de Terminado</t>
        </is>
      </c>
      <c r="M1566" s="20" t="n"/>
      <c r="N1566" s="20" t="n"/>
      <c r="O1566" s="21" t="n"/>
    </row>
    <row r="1567" ht="28" customHeight="1">
      <c r="B1567" s="22" t="inlineStr">
        <is>
          <t>La unidad con la que se planifica, se estima y se acepta el trabajo</t>
        </is>
      </c>
      <c r="C1567" s="8" t="n"/>
      <c r="D1567" s="8" t="n"/>
      <c r="E1567" s="23" t="n"/>
      <c r="G1567" s="22" t="inlineStr">
        <is>
          <t>El enfoque está en la consideración del equipo de desarrollo sobre si la historia está lista para un Sprint</t>
        </is>
      </c>
      <c r="H1567" s="8" t="n"/>
      <c r="I1567" s="8" t="n"/>
      <c r="J1567" s="23" t="n"/>
      <c r="L1567" s="22" t="inlineStr">
        <is>
          <t>El enfoque está en la aceptación del cliente cuando se le entregue el producto</t>
        </is>
      </c>
      <c r="M1567" s="8" t="n"/>
      <c r="N1567" s="8" t="n"/>
      <c r="O1567" s="23" t="n"/>
    </row>
    <row r="1568">
      <c r="B1568" s="24" t="inlineStr">
        <is>
          <t>Historia de usuario</t>
        </is>
      </c>
      <c r="C1568" s="8" t="n"/>
      <c r="D1568" s="25" t="inlineStr">
        <is>
          <t>Prioridad</t>
        </is>
      </c>
      <c r="E1568" s="26" t="inlineStr">
        <is>
          <t>Estimación</t>
        </is>
      </c>
      <c r="G1568" s="24" t="inlineStr">
        <is>
          <t>Historia de usuario</t>
        </is>
      </c>
      <c r="H1568" s="8" t="n"/>
      <c r="I1568" s="25" t="inlineStr">
        <is>
          <t>Prioridad</t>
        </is>
      </c>
      <c r="J1568" s="26" t="inlineStr">
        <is>
          <t>Estimación</t>
        </is>
      </c>
      <c r="L1568" s="24" t="inlineStr">
        <is>
          <t>Historia de usuario</t>
        </is>
      </c>
      <c r="M1568" s="8" t="n"/>
      <c r="N1568" s="25" t="inlineStr">
        <is>
          <t>Prioridad</t>
        </is>
      </c>
      <c r="O1568" s="26" t="inlineStr">
        <is>
          <t>Estimación</t>
        </is>
      </c>
    </row>
    <row r="1569" ht="30" customHeight="1">
      <c r="B1569" s="27" t="inlineStr">
        <is>
          <t>HU-61 · Descargar comprobante</t>
        </is>
      </c>
      <c r="C1569" s="8" t="n"/>
      <c r="D1569" s="9" t="inlineStr">
        <is>
          <t>Media</t>
        </is>
      </c>
      <c r="E1569" s="28" t="inlineStr">
        <is>
          <t>3 pts</t>
        </is>
      </c>
      <c r="G1569" s="27" t="inlineStr">
        <is>
          <t>HU-61 · Descargar comprobante</t>
        </is>
      </c>
      <c r="H1569" s="8" t="n"/>
      <c r="I1569" s="9" t="inlineStr">
        <is>
          <t>Media</t>
        </is>
      </c>
      <c r="J1569" s="28" t="inlineStr">
        <is>
          <t>3 pts</t>
        </is>
      </c>
      <c r="L1569" s="27" t="inlineStr">
        <is>
          <t>HU-61 · Descargar comprobante</t>
        </is>
      </c>
      <c r="M1569" s="8" t="n"/>
      <c r="N1569" s="9" t="inlineStr">
        <is>
          <t>Media</t>
        </is>
      </c>
      <c r="O1569" s="28" t="inlineStr">
        <is>
          <t>3 pts</t>
        </is>
      </c>
    </row>
    <row r="1570">
      <c r="B1570" s="29" t="inlineStr">
        <is>
          <t>Descripción:</t>
        </is>
      </c>
      <c r="C1570" s="8" t="n"/>
      <c r="D1570" s="8" t="n"/>
      <c r="E1570" s="23" t="n"/>
      <c r="G1570" s="29" t="inlineStr">
        <is>
          <t>Descripción:</t>
        </is>
      </c>
      <c r="H1570" s="8" t="n"/>
      <c r="I1570" s="8" t="n"/>
      <c r="J1570" s="23" t="n"/>
      <c r="L1570" s="29" t="inlineStr">
        <is>
          <t>Descripción:</t>
        </is>
      </c>
      <c r="M1570" s="8" t="n"/>
      <c r="N1570" s="8" t="n"/>
      <c r="O1570" s="23" t="n"/>
    </row>
    <row r="1571" ht="28" customHeight="1">
      <c r="B1571" s="30" t="inlineStr">
        <is>
          <t>Como administrador, quiero descargar la factura de cualquier compra, para entregarla cuando la administración la pide.</t>
        </is>
      </c>
      <c r="C1571" s="8" t="n"/>
      <c r="D1571" s="8" t="n"/>
      <c r="E1571" s="23" t="n"/>
      <c r="G1571" s="30" t="inlineStr">
        <is>
          <t>Como administrador, quiero descargar la factura de cualquier compra, para entregarla cuando la administración la pide.</t>
        </is>
      </c>
      <c r="H1571" s="8" t="n"/>
      <c r="I1571" s="8" t="n"/>
      <c r="J1571" s="23" t="n"/>
      <c r="L1571" s="30" t="inlineStr">
        <is>
          <t>Como administrador, quiero descargar la factura de cualquier compra, para entregarla cuando la administración la pide.</t>
        </is>
      </c>
      <c r="M1571" s="8" t="n"/>
      <c r="N1571" s="8" t="n"/>
      <c r="O1571" s="23" t="n"/>
    </row>
    <row r="1572" ht="28" customHeight="1">
      <c r="B1572" s="31" t="n"/>
      <c r="C1572" s="8" t="n"/>
      <c r="D1572" s="8" t="n"/>
      <c r="E1572" s="23" t="n"/>
      <c r="G1572" s="31" t="n"/>
      <c r="H1572" s="8" t="n"/>
      <c r="I1572" s="8" t="n"/>
      <c r="J1572" s="23" t="n"/>
      <c r="L1572" s="31" t="n"/>
      <c r="M1572" s="8" t="n"/>
      <c r="N1572" s="8" t="n"/>
      <c r="O1572" s="23" t="n"/>
    </row>
    <row r="1573">
      <c r="B1573" s="29" t="inlineStr">
        <is>
          <t>Ficha de la historia</t>
        </is>
      </c>
      <c r="C1573" s="8" t="n"/>
      <c r="D1573" s="8" t="n"/>
      <c r="E1573" s="23" t="n"/>
      <c r="G1573" s="29" t="inlineStr">
        <is>
          <t>Criterios de listo:</t>
        </is>
      </c>
      <c r="H1573" s="8" t="n"/>
      <c r="I1573" s="8" t="n"/>
      <c r="J1573" s="23" t="n"/>
      <c r="L1573" s="29" t="inlineStr">
        <is>
          <t>Condiciones finales (se marcan cuando el PO acepta la HU en la Review):</t>
        </is>
      </c>
      <c r="M1573" s="8" t="n"/>
      <c r="N1573" s="8" t="n"/>
      <c r="O1573" s="23" t="n"/>
    </row>
    <row r="1574" ht="30" customHeight="1">
      <c r="B1574" s="32" t="inlineStr">
        <is>
          <t>Épica: E6. Valorizar el consumo e informar el costo de obra</t>
        </is>
      </c>
      <c r="C1574" s="8" t="n"/>
      <c r="D1574" s="8" t="n"/>
      <c r="E1574" s="23" t="n"/>
      <c r="G1574" s="33" t="inlineStr">
        <is>
          <t>( x )</t>
        </is>
      </c>
      <c r="H1574" s="34" t="inlineStr">
        <is>
          <t>L1 · Redactada en el formato acordado — Cumple</t>
        </is>
      </c>
      <c r="I1574" s="8" t="n"/>
      <c r="J1574" s="23" t="n"/>
      <c r="L1574" s="35" t="inlineStr">
        <is>
          <t>(    )</t>
        </is>
      </c>
      <c r="M1574" s="34" t="inlineStr">
        <is>
          <t>La factura se ha descargado tal como se adjuntó</t>
        </is>
      </c>
      <c r="N1574" s="8" t="n"/>
      <c r="O1574" s="23" t="n"/>
    </row>
    <row r="1575" ht="30" customHeight="1">
      <c r="B1575" s="32" t="inlineStr">
        <is>
          <t>Módulo: Reportes / Administración</t>
        </is>
      </c>
      <c r="C1575" s="8" t="n"/>
      <c r="D1575" s="8" t="n"/>
      <c r="E1575" s="23" t="n"/>
      <c r="G1575" s="33" t="inlineStr">
        <is>
          <t>( x )</t>
        </is>
      </c>
      <c r="H1575" s="34" t="inlineStr">
        <is>
          <t>L2 · Nombre corto en forma de acción — Cumple</t>
        </is>
      </c>
      <c r="I1575" s="8" t="n"/>
      <c r="J1575" s="23" t="n"/>
      <c r="L1575" s="35" t="inlineStr">
        <is>
          <t>(    )</t>
        </is>
      </c>
      <c r="M1575" s="34" t="inlineStr">
        <is>
          <t>Las compras sin comprobante se han señalado en el listado</t>
        </is>
      </c>
      <c r="N1575" s="8" t="n"/>
      <c r="O1575" s="23" t="n"/>
    </row>
    <row r="1576" ht="36" customHeight="1">
      <c r="B1576" s="32" t="inlineStr">
        <is>
          <t>Responsable técnico: Web · Víctor Luján</t>
        </is>
      </c>
      <c r="C1576" s="8" t="n"/>
      <c r="D1576" s="8" t="n"/>
      <c r="E1576" s="23" t="n"/>
      <c r="G1576" s="33" t="inlineStr">
        <is>
          <t>( x )</t>
        </is>
      </c>
      <c r="H1576" s="34" t="inlineStr">
        <is>
          <t>L3 · Criterios de aceptación escritos — Cumple</t>
        </is>
      </c>
      <c r="I1576" s="8" t="n"/>
      <c r="J1576" s="23" t="n"/>
      <c r="L1576" s="36" t="inlineStr">
        <is>
          <t>Mitad técnica: Además, los diez criterios T1 a T10 de la hoja «3. Criterios DoR y DoD», sin excepción</t>
        </is>
      </c>
      <c r="M1576" s="37" t="n"/>
      <c r="N1576" s="37" t="n"/>
      <c r="O1576" s="38" t="n"/>
    </row>
    <row r="1577" ht="30" customHeight="1">
      <c r="B1577" s="36" t="inlineStr">
        <is>
          <t>Depende de: HU-34</t>
        </is>
      </c>
      <c r="C1577" s="37" t="n"/>
      <c r="D1577" s="37" t="n"/>
      <c r="E1577" s="38" t="n"/>
      <c r="G1577" s="33" t="inlineStr">
        <is>
          <t>( x )</t>
        </is>
      </c>
      <c r="H1577" s="34" t="inlineStr">
        <is>
          <t>L4 · Dependencias resueltas — Cumple</t>
        </is>
      </c>
      <c r="I1577" s="8" t="n"/>
      <c r="J1577" s="23" t="n"/>
    </row>
    <row r="1578" ht="30" customHeight="1">
      <c r="G1578" s="33" t="inlineStr">
        <is>
          <t>( x )</t>
        </is>
      </c>
      <c r="H1578" s="34" t="inlineStr">
        <is>
          <t>L5 · Estimada por los Developers — Cumple</t>
        </is>
      </c>
      <c r="I1578" s="8" t="n"/>
      <c r="J1578" s="23" t="n"/>
    </row>
    <row r="1579" ht="30" customHeight="1">
      <c r="G1579" s="33" t="inlineStr">
        <is>
          <t>( x )</t>
        </is>
      </c>
      <c r="H1579" s="34" t="inlineStr">
        <is>
          <t>L6 · Cabe en un sprint (8 puntos o menos) — Cumple</t>
        </is>
      </c>
      <c r="I1579" s="8" t="n"/>
      <c r="J1579" s="23" t="n"/>
    </row>
    <row r="1580" ht="30" customHeight="1">
      <c r="G1580" s="33" t="inlineStr">
        <is>
          <t>( x )</t>
        </is>
      </c>
      <c r="H1580" s="34" t="inlineStr">
        <is>
          <t>L7 · Reglas de dominio identificadas — Cumple</t>
        </is>
      </c>
      <c r="I1580" s="8" t="n"/>
      <c r="J1580" s="23" t="n"/>
    </row>
    <row r="1581" ht="30" customHeight="1">
      <c r="G1581" s="33" t="inlineStr">
        <is>
          <t>( x )</t>
        </is>
      </c>
      <c r="H1581" s="34" t="inlineStr">
        <is>
          <t>L8 · Datos de prueba disponibles — Cumple</t>
        </is>
      </c>
      <c r="I1581" s="8" t="n"/>
      <c r="J1581" s="23" t="n"/>
    </row>
    <row r="1582" ht="30" customHeight="1">
      <c r="G1582" s="33" t="inlineStr">
        <is>
          <t>( x )</t>
        </is>
      </c>
      <c r="H1582" s="34" t="inlineStr">
        <is>
          <t>L9 · Responsable técnico asignado — Cumple</t>
        </is>
      </c>
      <c r="I1582" s="8" t="n"/>
      <c r="J1582" s="23" t="n"/>
    </row>
    <row r="1583" ht="30" customHeight="1">
      <c r="G1583" s="33" t="inlineStr">
        <is>
          <t>( x )</t>
        </is>
      </c>
      <c r="H1583" s="34" t="inlineStr">
        <is>
          <t>L10 · Recursos identificados — Cumple: Víctor Luján + equipo de desarrollo y datos de prueba</t>
        </is>
      </c>
      <c r="I1583" s="8" t="n"/>
      <c r="J1583" s="23" t="n"/>
    </row>
    <row r="1584" ht="30" customHeight="1">
      <c r="G1584" s="33" t="inlineStr">
        <is>
          <t>( x )</t>
        </is>
      </c>
      <c r="H1584" s="34" t="inlineStr">
        <is>
          <t>L11 · Requisitos técnicos de programación definidos — Cumple: React 18, TypeScript y Vite</t>
        </is>
      </c>
      <c r="I1584" s="8" t="n"/>
      <c r="J1584" s="23" t="n"/>
    </row>
    <row r="1585" ht="30" customHeight="1">
      <c r="G1585" s="33" t="inlineStr">
        <is>
          <t>( x )</t>
        </is>
      </c>
      <c r="H1585" s="34" t="inlineStr">
        <is>
          <t>L12 · Accesos de red disponibles — Cumple: GitHub (repositorio privado), API y PostgreSQL en docker compose</t>
        </is>
      </c>
      <c r="I1585" s="8" t="n"/>
      <c r="J1585" s="23" t="n"/>
    </row>
    <row r="1586" ht="36" customHeight="1">
      <c r="G1586" s="39" t="inlineStr">
        <is>
          <t>Riesgos: Compra sin comprobante adjunto · se señala en el listado</t>
        </is>
      </c>
      <c r="H1586" s="8" t="n"/>
      <c r="I1586" s="8" t="n"/>
      <c r="J1586" s="23" t="n"/>
    </row>
    <row r="1587" ht="36" customHeight="1">
      <c r="G1587" s="32" t="inlineStr">
        <is>
          <t>Proveedores de servicio: Almacenamiento de archivos en la nube (capa gratuita) · API en la nube</t>
        </is>
      </c>
      <c r="H1587" s="8" t="n"/>
      <c r="I1587" s="8" t="n"/>
      <c r="J1587" s="23" t="n"/>
    </row>
    <row r="1588" ht="36" customHeight="1">
      <c r="G1588" s="36" t="inlineStr">
        <is>
          <t>Costos: 3 pts ≈ 6 horas-persona (1 punto ≈ 2 h) · servicios externos: S/ 0 (planes gratuitos)</t>
        </is>
      </c>
      <c r="H1588" s="37" t="n"/>
      <c r="I1588" s="37" t="n"/>
      <c r="J1588" s="38" t="n"/>
    </row>
    <row r="1591">
      <c r="B1591" s="18" t="inlineStr">
        <is>
          <t>HU-62 · Registrar trabajadores</t>
        </is>
      </c>
    </row>
    <row r="1592" ht="18" customHeight="1">
      <c r="B1592" s="19" t="inlineStr">
        <is>
          <t>TARJETA 1 · Historia de usuario</t>
        </is>
      </c>
      <c r="C1592" s="20" t="n"/>
      <c r="D1592" s="20" t="n"/>
      <c r="E1592" s="21" t="n"/>
      <c r="G1592" s="19" t="inlineStr">
        <is>
          <t>TARJETA 2 · Definición de Listo</t>
        </is>
      </c>
      <c r="H1592" s="20" t="n"/>
      <c r="I1592" s="20" t="n"/>
      <c r="J1592" s="21" t="n"/>
      <c r="L1592" s="19" t="inlineStr">
        <is>
          <t>TARJETA 3 · Definición de Terminado</t>
        </is>
      </c>
      <c r="M1592" s="20" t="n"/>
      <c r="N1592" s="20" t="n"/>
      <c r="O1592" s="21" t="n"/>
    </row>
    <row r="1593" ht="28" customHeight="1">
      <c r="B1593" s="22" t="inlineStr">
        <is>
          <t>La unidad con la que se planifica, se estima y se acepta el trabajo</t>
        </is>
      </c>
      <c r="C1593" s="8" t="n"/>
      <c r="D1593" s="8" t="n"/>
      <c r="E1593" s="23" t="n"/>
      <c r="G1593" s="22" t="inlineStr">
        <is>
          <t>El enfoque está en la consideración del equipo de desarrollo sobre si la historia está lista para un Sprint</t>
        </is>
      </c>
      <c r="H1593" s="8" t="n"/>
      <c r="I1593" s="8" t="n"/>
      <c r="J1593" s="23" t="n"/>
      <c r="L1593" s="22" t="inlineStr">
        <is>
          <t>El enfoque está en la aceptación del cliente cuando se le entregue el producto</t>
        </is>
      </c>
      <c r="M1593" s="8" t="n"/>
      <c r="N1593" s="8" t="n"/>
      <c r="O1593" s="23" t="n"/>
    </row>
    <row r="1594">
      <c r="B1594" s="24" t="inlineStr">
        <is>
          <t>Historia de usuario</t>
        </is>
      </c>
      <c r="C1594" s="8" t="n"/>
      <c r="D1594" s="25" t="inlineStr">
        <is>
          <t>Prioridad</t>
        </is>
      </c>
      <c r="E1594" s="26" t="inlineStr">
        <is>
          <t>Estimación</t>
        </is>
      </c>
      <c r="G1594" s="24" t="inlineStr">
        <is>
          <t>Historia de usuario</t>
        </is>
      </c>
      <c r="H1594" s="8" t="n"/>
      <c r="I1594" s="25" t="inlineStr">
        <is>
          <t>Prioridad</t>
        </is>
      </c>
      <c r="J1594" s="26" t="inlineStr">
        <is>
          <t>Estimación</t>
        </is>
      </c>
      <c r="L1594" s="24" t="inlineStr">
        <is>
          <t>Historia de usuario</t>
        </is>
      </c>
      <c r="M1594" s="8" t="n"/>
      <c r="N1594" s="25" t="inlineStr">
        <is>
          <t>Prioridad</t>
        </is>
      </c>
      <c r="O1594" s="26" t="inlineStr">
        <is>
          <t>Estimación</t>
        </is>
      </c>
    </row>
    <row r="1595" ht="30" customHeight="1">
      <c r="B1595" s="27" t="inlineStr">
        <is>
          <t>HU-62 · Registrar trabajadores</t>
        </is>
      </c>
      <c r="C1595" s="8" t="n"/>
      <c r="D1595" s="9" t="inlineStr">
        <is>
          <t>Alta</t>
        </is>
      </c>
      <c r="E1595" s="28" t="inlineStr">
        <is>
          <t>3 pts</t>
        </is>
      </c>
      <c r="G1595" s="27" t="inlineStr">
        <is>
          <t>HU-62 · Registrar trabajadores</t>
        </is>
      </c>
      <c r="H1595" s="8" t="n"/>
      <c r="I1595" s="9" t="inlineStr">
        <is>
          <t>Alta</t>
        </is>
      </c>
      <c r="J1595" s="28" t="inlineStr">
        <is>
          <t>3 pts</t>
        </is>
      </c>
      <c r="L1595" s="27" t="inlineStr">
        <is>
          <t>HU-62 · Registrar trabajadores</t>
        </is>
      </c>
      <c r="M1595" s="8" t="n"/>
      <c r="N1595" s="9" t="inlineStr">
        <is>
          <t>Alta</t>
        </is>
      </c>
      <c r="O1595" s="28" t="inlineStr">
        <is>
          <t>3 pts</t>
        </is>
      </c>
    </row>
    <row r="1596">
      <c r="B1596" s="29" t="inlineStr">
        <is>
          <t>Descripción:</t>
        </is>
      </c>
      <c r="C1596" s="8" t="n"/>
      <c r="D1596" s="8" t="n"/>
      <c r="E1596" s="23" t="n"/>
      <c r="G1596" s="29" t="inlineStr">
        <is>
          <t>Descripción:</t>
        </is>
      </c>
      <c r="H1596" s="8" t="n"/>
      <c r="I1596" s="8" t="n"/>
      <c r="J1596" s="23" t="n"/>
      <c r="L1596" s="29" t="inlineStr">
        <is>
          <t>Descripción:</t>
        </is>
      </c>
      <c r="M1596" s="8" t="n"/>
      <c r="N1596" s="8" t="n"/>
      <c r="O1596" s="23" t="n"/>
    </row>
    <row r="1597" ht="28" customHeight="1">
      <c r="B1597" s="30" t="inlineStr">
        <is>
          <t>Como almacenero, quiero registrar a cada trabajador de la obra con su categoría y su cuadrilla, para saber quiénes componen la mano de obra de esa obra.</t>
        </is>
      </c>
      <c r="C1597" s="8" t="n"/>
      <c r="D1597" s="8" t="n"/>
      <c r="E1597" s="23" t="n"/>
      <c r="G1597" s="30" t="inlineStr">
        <is>
          <t>Como almacenero, quiero registrar a cada trabajador de la obra con su categoría y su cuadrilla, para saber quiénes componen la mano de obra de esa obra.</t>
        </is>
      </c>
      <c r="H1597" s="8" t="n"/>
      <c r="I1597" s="8" t="n"/>
      <c r="J1597" s="23" t="n"/>
      <c r="L1597" s="30" t="inlineStr">
        <is>
          <t>Como almacenero, quiero registrar a cada trabajador de la obra con su categoría y su cuadrilla, para saber quiénes componen la mano de obra de esa obra.</t>
        </is>
      </c>
      <c r="M1597" s="8" t="n"/>
      <c r="N1597" s="8" t="n"/>
      <c r="O1597" s="23" t="n"/>
    </row>
    <row r="1598" ht="28" customHeight="1">
      <c r="B1598" s="31" t="n"/>
      <c r="C1598" s="8" t="n"/>
      <c r="D1598" s="8" t="n"/>
      <c r="E1598" s="23" t="n"/>
      <c r="G1598" s="31" t="n"/>
      <c r="H1598" s="8" t="n"/>
      <c r="I1598" s="8" t="n"/>
      <c r="J1598" s="23" t="n"/>
      <c r="L1598" s="31" t="n"/>
      <c r="M1598" s="8" t="n"/>
      <c r="N1598" s="8" t="n"/>
      <c r="O1598" s="23" t="n"/>
    </row>
    <row r="1599">
      <c r="B1599" s="29" t="inlineStr">
        <is>
          <t>Ficha de la historia</t>
        </is>
      </c>
      <c r="C1599" s="8" t="n"/>
      <c r="D1599" s="8" t="n"/>
      <c r="E1599" s="23" t="n"/>
      <c r="G1599" s="29" t="inlineStr">
        <is>
          <t>Criterios de listo:</t>
        </is>
      </c>
      <c r="H1599" s="8" t="n"/>
      <c r="I1599" s="8" t="n"/>
      <c r="J1599" s="23" t="n"/>
      <c r="L1599" s="29" t="inlineStr">
        <is>
          <t>Condiciones finales (se marcan cuando el PO acepta la HU en la Review):</t>
        </is>
      </c>
      <c r="M1599" s="8" t="n"/>
      <c r="N1599" s="8" t="n"/>
      <c r="O1599" s="23" t="n"/>
    </row>
    <row r="1600" ht="30" customHeight="1">
      <c r="B1600" s="32" t="inlineStr">
        <is>
          <t>Épica: E7. Controlar la asistencia de la mano de obra</t>
        </is>
      </c>
      <c r="C1600" s="8" t="n"/>
      <c r="D1600" s="8" t="n"/>
      <c r="E1600" s="23" t="n"/>
      <c r="G1600" s="33" t="inlineStr">
        <is>
          <t>( x )</t>
        </is>
      </c>
      <c r="H1600" s="34" t="inlineStr">
        <is>
          <t>L1 · Redactada en el formato acordado — Cumple</t>
        </is>
      </c>
      <c r="I1600" s="8" t="n"/>
      <c r="J1600" s="23" t="n"/>
      <c r="L1600" s="35" t="inlineStr">
        <is>
          <t>(    )</t>
        </is>
      </c>
      <c r="M1600" s="34" t="inlineStr">
        <is>
          <t>El trabajador se ha registrado con nombre, documento, categoría y cuadrilla</t>
        </is>
      </c>
      <c r="N1600" s="8" t="n"/>
      <c r="O1600" s="23" t="n"/>
    </row>
    <row r="1601" ht="30" customHeight="1">
      <c r="B1601" s="32" t="inlineStr">
        <is>
          <t>Módulo: Mano de obra</t>
        </is>
      </c>
      <c r="C1601" s="8" t="n"/>
      <c r="D1601" s="8" t="n"/>
      <c r="E1601" s="23" t="n"/>
      <c r="G1601" s="33" t="inlineStr">
        <is>
          <t>( x )</t>
        </is>
      </c>
      <c r="H1601" s="34" t="inlineStr">
        <is>
          <t>L2 · Nombre corto en forma de acción — Cumple</t>
        </is>
      </c>
      <c r="I1601" s="8" t="n"/>
      <c r="J1601" s="23" t="n"/>
      <c r="L1601" s="35" t="inlineStr">
        <is>
          <t>(    )</t>
        </is>
      </c>
      <c r="M1601" s="34" t="inlineStr">
        <is>
          <t>Un trabajador repetido en la misma obra se ha rechazado</t>
        </is>
      </c>
      <c r="N1601" s="8" t="n"/>
      <c r="O1601" s="23" t="n"/>
    </row>
    <row r="1602" ht="30" customHeight="1">
      <c r="B1602" s="32" t="inlineStr">
        <is>
          <t>Responsable técnico: Backend · Henry Ticona</t>
        </is>
      </c>
      <c r="C1602" s="8" t="n"/>
      <c r="D1602" s="8" t="n"/>
      <c r="E1602" s="23" t="n"/>
      <c r="G1602" s="33" t="inlineStr">
        <is>
          <t>( x )</t>
        </is>
      </c>
      <c r="H1602" s="34" t="inlineStr">
        <is>
          <t>L3 · Criterios de aceptación escritos — Cumple</t>
        </is>
      </c>
      <c r="I1602" s="8" t="n"/>
      <c r="J1602" s="23" t="n"/>
      <c r="L1602" s="35" t="inlineStr">
        <is>
          <t>(    )</t>
        </is>
      </c>
      <c r="M1602" s="34" t="inlineStr">
        <is>
          <t>Un trabajador que se retiró se ha dado de baja con su fecha, sin borrarse, y sus jornadas se han conservado</t>
        </is>
      </c>
      <c r="N1602" s="8" t="n"/>
      <c r="O1602" s="23" t="n"/>
    </row>
    <row r="1603" ht="30" customHeight="1">
      <c r="B1603" s="36" t="inlineStr">
        <is>
          <t>Depende de: Ninguna</t>
        </is>
      </c>
      <c r="C1603" s="37" t="n"/>
      <c r="D1603" s="37" t="n"/>
      <c r="E1603" s="38" t="n"/>
      <c r="G1603" s="33" t="inlineStr">
        <is>
          <t>( x )</t>
        </is>
      </c>
      <c r="H1603" s="34" t="inlineStr">
        <is>
          <t>L4 · Dependencias resueltas — Cumple</t>
        </is>
      </c>
      <c r="I1603" s="8" t="n"/>
      <c r="J1603" s="23" t="n"/>
      <c r="L1603" s="35" t="inlineStr">
        <is>
          <t>(    )</t>
        </is>
      </c>
      <c r="M1603" s="34" t="inlineStr">
        <is>
          <t>Un trabajador dado de baja ya no ha aparecido en la asistencia siguiente</t>
        </is>
      </c>
      <c r="N1603" s="8" t="n"/>
      <c r="O1603" s="23" t="n"/>
    </row>
    <row r="1604" ht="36" customHeight="1">
      <c r="G1604" s="33" t="inlineStr">
        <is>
          <t>( x )</t>
        </is>
      </c>
      <c r="H1604" s="34" t="inlineStr">
        <is>
          <t>L5 · Estimada por los Developers — Cumple</t>
        </is>
      </c>
      <c r="I1604" s="8" t="n"/>
      <c r="J1604" s="23" t="n"/>
      <c r="L1604" s="36" t="inlineStr">
        <is>
          <t>Mitad técnica: Además, los diez criterios T1 a T10 de la hoja «3. Criterios DoR y DoD», sin excepción</t>
        </is>
      </c>
      <c r="M1604" s="37" t="n"/>
      <c r="N1604" s="37" t="n"/>
      <c r="O1604" s="38" t="n"/>
    </row>
    <row r="1605" ht="30" customHeight="1">
      <c r="G1605" s="33" t="inlineStr">
        <is>
          <t>( x )</t>
        </is>
      </c>
      <c r="H1605" s="34" t="inlineStr">
        <is>
          <t>L6 · Cabe en un sprint (8 puntos o menos) — Cumple</t>
        </is>
      </c>
      <c r="I1605" s="8" t="n"/>
      <c r="J1605" s="23" t="n"/>
    </row>
    <row r="1606" ht="30" customHeight="1">
      <c r="G1606" s="33" t="inlineStr">
        <is>
          <t>( x )</t>
        </is>
      </c>
      <c r="H1606" s="34" t="inlineStr">
        <is>
          <t>L7 · Reglas de dominio identificadas — Cumple</t>
        </is>
      </c>
      <c r="I1606" s="8" t="n"/>
      <c r="J1606" s="23" t="n"/>
    </row>
    <row r="1607" ht="30" customHeight="1">
      <c r="G1607" s="33" t="inlineStr">
        <is>
          <t>( x )</t>
        </is>
      </c>
      <c r="H1607" s="34" t="inlineStr">
        <is>
          <t>L8 · Datos de prueba disponibles — Cumple</t>
        </is>
      </c>
      <c r="I1607" s="8" t="n"/>
      <c r="J1607" s="23" t="n"/>
    </row>
    <row r="1608" ht="30" customHeight="1">
      <c r="G1608" s="33" t="inlineStr">
        <is>
          <t>( x )</t>
        </is>
      </c>
      <c r="H1608" s="34" t="inlineStr">
        <is>
          <t>L9 · Responsable técnico asignado — Cumple</t>
        </is>
      </c>
      <c r="I1608" s="8" t="n"/>
      <c r="J1608" s="23" t="n"/>
    </row>
    <row r="1609" ht="30" customHeight="1">
      <c r="G1609" s="33" t="inlineStr">
        <is>
          <t>( x )</t>
        </is>
      </c>
      <c r="H1609" s="34" t="inlineStr">
        <is>
          <t>L10 · Recursos identificados — Cumple: Henry Ticona + equipo de desarrollo y datos de prueba</t>
        </is>
      </c>
      <c r="I1609" s="8" t="n"/>
      <c r="J1609" s="23" t="n"/>
    </row>
    <row r="1610" ht="30" customHeight="1">
      <c r="G1610" s="33" t="inlineStr">
        <is>
          <t>( x )</t>
        </is>
      </c>
      <c r="H1610" s="34" t="inlineStr">
        <is>
          <t>L11 · Requisitos técnicos de programación definidos — Cumple: FastAPI, SQLAlchemy 2, Alembic y PostgreSQL 16 + consulta DNI (Factiliza)</t>
        </is>
      </c>
      <c r="I1610" s="8" t="n"/>
      <c r="J1610" s="23" t="n"/>
    </row>
    <row r="1611" ht="30" customHeight="1">
      <c r="G1611" s="33" t="inlineStr">
        <is>
          <t>( x )</t>
        </is>
      </c>
      <c r="H1611" s="34" t="inlineStr">
        <is>
          <t>L12 · Accesos de red disponibles — Cumple: GitHub (repositorio privado), API y PostgreSQL en docker compose, salida HTTPS a api.factiliza.com con token en .env</t>
        </is>
      </c>
      <c r="I1611" s="8" t="n"/>
      <c r="J1611" s="23" t="n"/>
    </row>
    <row r="1612" ht="36" customHeight="1">
      <c r="G1612" s="39" t="inlineStr">
        <is>
          <t>Riesgos: Trabajador repetido en la obra · único por obra; baja con fecha, nunca borrado</t>
        </is>
      </c>
      <c r="H1612" s="8" t="n"/>
      <c r="I1612" s="8" t="n"/>
      <c r="J1612" s="23" t="n"/>
    </row>
    <row r="1613" ht="36" customHeight="1">
      <c r="G1613" s="32" t="inlineStr">
        <is>
          <t>Proveedores de servicio: Factiliza (consulta SUNAT/RENIEC, plan gratuito de 100 consultas al mes) · base de datos en la nube</t>
        </is>
      </c>
      <c r="H1613" s="8" t="n"/>
      <c r="I1613" s="8" t="n"/>
      <c r="J1613" s="23" t="n"/>
    </row>
    <row r="1614" ht="36" customHeight="1">
      <c r="G1614" s="36" t="inlineStr">
        <is>
          <t>Costos: 3 pts ≈ 6 horas-persona (1 punto ≈ 2 h) · servicios externos: S/ 0 (planes gratuitos)</t>
        </is>
      </c>
      <c r="H1614" s="37" t="n"/>
      <c r="I1614" s="37" t="n"/>
      <c r="J1614" s="38" t="n"/>
    </row>
    <row r="1617">
      <c r="B1617" s="18" t="inlineStr">
        <is>
          <t>HU-63 · Tomar asistencia</t>
        </is>
      </c>
    </row>
    <row r="1618" ht="18" customHeight="1">
      <c r="B1618" s="19" t="inlineStr">
        <is>
          <t>TARJETA 1 · Historia de usuario</t>
        </is>
      </c>
      <c r="C1618" s="20" t="n"/>
      <c r="D1618" s="20" t="n"/>
      <c r="E1618" s="21" t="n"/>
      <c r="G1618" s="19" t="inlineStr">
        <is>
          <t>TARJETA 2 · Definición de Listo</t>
        </is>
      </c>
      <c r="H1618" s="20" t="n"/>
      <c r="I1618" s="20" t="n"/>
      <c r="J1618" s="21" t="n"/>
      <c r="L1618" s="19" t="inlineStr">
        <is>
          <t>TARJETA 3 · Definición de Terminado</t>
        </is>
      </c>
      <c r="M1618" s="20" t="n"/>
      <c r="N1618" s="20" t="n"/>
      <c r="O1618" s="21" t="n"/>
    </row>
    <row r="1619" ht="28" customHeight="1">
      <c r="B1619" s="22" t="inlineStr">
        <is>
          <t>La unidad con la que se planifica, se estima y se acepta el trabajo</t>
        </is>
      </c>
      <c r="C1619" s="8" t="n"/>
      <c r="D1619" s="8" t="n"/>
      <c r="E1619" s="23" t="n"/>
      <c r="G1619" s="22" t="inlineStr">
        <is>
          <t>El enfoque está en la consideración del equipo de desarrollo sobre si la historia está lista para un Sprint</t>
        </is>
      </c>
      <c r="H1619" s="8" t="n"/>
      <c r="I1619" s="8" t="n"/>
      <c r="J1619" s="23" t="n"/>
      <c r="L1619" s="22" t="inlineStr">
        <is>
          <t>El enfoque está en la aceptación del cliente cuando se le entregue el producto</t>
        </is>
      </c>
      <c r="M1619" s="8" t="n"/>
      <c r="N1619" s="8" t="n"/>
      <c r="O1619" s="23" t="n"/>
    </row>
    <row r="1620">
      <c r="B1620" s="24" t="inlineStr">
        <is>
          <t>Historia de usuario</t>
        </is>
      </c>
      <c r="C1620" s="8" t="n"/>
      <c r="D1620" s="25" t="inlineStr">
        <is>
          <t>Prioridad</t>
        </is>
      </c>
      <c r="E1620" s="26" t="inlineStr">
        <is>
          <t>Estimación</t>
        </is>
      </c>
      <c r="G1620" s="24" t="inlineStr">
        <is>
          <t>Historia de usuario</t>
        </is>
      </c>
      <c r="H1620" s="8" t="n"/>
      <c r="I1620" s="25" t="inlineStr">
        <is>
          <t>Prioridad</t>
        </is>
      </c>
      <c r="J1620" s="26" t="inlineStr">
        <is>
          <t>Estimación</t>
        </is>
      </c>
      <c r="L1620" s="24" t="inlineStr">
        <is>
          <t>Historia de usuario</t>
        </is>
      </c>
      <c r="M1620" s="8" t="n"/>
      <c r="N1620" s="25" t="inlineStr">
        <is>
          <t>Prioridad</t>
        </is>
      </c>
      <c r="O1620" s="26" t="inlineStr">
        <is>
          <t>Estimación</t>
        </is>
      </c>
    </row>
    <row r="1621" ht="30" customHeight="1">
      <c r="B1621" s="27" t="inlineStr">
        <is>
          <t>HU-63 · Tomar asistencia</t>
        </is>
      </c>
      <c r="C1621" s="8" t="n"/>
      <c r="D1621" s="9" t="inlineStr">
        <is>
          <t>Crítica</t>
        </is>
      </c>
      <c r="E1621" s="28" t="inlineStr">
        <is>
          <t>5 pts</t>
        </is>
      </c>
      <c r="G1621" s="27" t="inlineStr">
        <is>
          <t>HU-63 · Tomar asistencia</t>
        </is>
      </c>
      <c r="H1621" s="8" t="n"/>
      <c r="I1621" s="9" t="inlineStr">
        <is>
          <t>Crítica</t>
        </is>
      </c>
      <c r="J1621" s="28" t="inlineStr">
        <is>
          <t>5 pts</t>
        </is>
      </c>
      <c r="L1621" s="27" t="inlineStr">
        <is>
          <t>HU-63 · Tomar asistencia</t>
        </is>
      </c>
      <c r="M1621" s="8" t="n"/>
      <c r="N1621" s="9" t="inlineStr">
        <is>
          <t>Crítica</t>
        </is>
      </c>
      <c r="O1621" s="28" t="inlineStr">
        <is>
          <t>5 pts</t>
        </is>
      </c>
    </row>
    <row r="1622">
      <c r="B1622" s="29" t="inlineStr">
        <is>
          <t>Descripción:</t>
        </is>
      </c>
      <c r="C1622" s="8" t="n"/>
      <c r="D1622" s="8" t="n"/>
      <c r="E1622" s="23" t="n"/>
      <c r="G1622" s="29" t="inlineStr">
        <is>
          <t>Descripción:</t>
        </is>
      </c>
      <c r="H1622" s="8" t="n"/>
      <c r="I1622" s="8" t="n"/>
      <c r="J1622" s="23" t="n"/>
      <c r="L1622" s="29" t="inlineStr">
        <is>
          <t>Descripción:</t>
        </is>
      </c>
      <c r="M1622" s="8" t="n"/>
      <c r="N1622" s="8" t="n"/>
      <c r="O1622" s="23" t="n"/>
    </row>
    <row r="1623" ht="28" customHeight="1">
      <c r="B1623" s="30" t="inlineStr">
        <is>
          <t>Como almacenero, quiero registrar la asistencia y las horas trabajadas de cada jornada, para tener el tareo de la obra en el sistema y no en un cuaderno.</t>
        </is>
      </c>
      <c r="C1623" s="8" t="n"/>
      <c r="D1623" s="8" t="n"/>
      <c r="E1623" s="23" t="n"/>
      <c r="G1623" s="30" t="inlineStr">
        <is>
          <t>Como almacenero, quiero registrar la asistencia y las horas trabajadas de cada jornada, para tener el tareo de la obra en el sistema y no en un cuaderno.</t>
        </is>
      </c>
      <c r="H1623" s="8" t="n"/>
      <c r="I1623" s="8" t="n"/>
      <c r="J1623" s="23" t="n"/>
      <c r="L1623" s="30" t="inlineStr">
        <is>
          <t>Como almacenero, quiero registrar la asistencia y las horas trabajadas de cada jornada, para tener el tareo de la obra en el sistema y no en un cuaderno.</t>
        </is>
      </c>
      <c r="M1623" s="8" t="n"/>
      <c r="N1623" s="8" t="n"/>
      <c r="O1623" s="23" t="n"/>
    </row>
    <row r="1624" ht="28" customHeight="1">
      <c r="B1624" s="31" t="n"/>
      <c r="C1624" s="8" t="n"/>
      <c r="D1624" s="8" t="n"/>
      <c r="E1624" s="23" t="n"/>
      <c r="G1624" s="31" t="n"/>
      <c r="H1624" s="8" t="n"/>
      <c r="I1624" s="8" t="n"/>
      <c r="J1624" s="23" t="n"/>
      <c r="L1624" s="31" t="n"/>
      <c r="M1624" s="8" t="n"/>
      <c r="N1624" s="8" t="n"/>
      <c r="O1624" s="23" t="n"/>
    </row>
    <row r="1625">
      <c r="B1625" s="29" t="inlineStr">
        <is>
          <t>Ficha de la historia</t>
        </is>
      </c>
      <c r="C1625" s="8" t="n"/>
      <c r="D1625" s="8" t="n"/>
      <c r="E1625" s="23" t="n"/>
      <c r="G1625" s="29" t="inlineStr">
        <is>
          <t>Criterios de listo:</t>
        </is>
      </c>
      <c r="H1625" s="8" t="n"/>
      <c r="I1625" s="8" t="n"/>
      <c r="J1625" s="23" t="n"/>
      <c r="L1625" s="29" t="inlineStr">
        <is>
          <t>Condiciones finales (se marcan cuando el PO acepta la HU en la Review):</t>
        </is>
      </c>
      <c r="M1625" s="8" t="n"/>
      <c r="N1625" s="8" t="n"/>
      <c r="O1625" s="23" t="n"/>
    </row>
    <row r="1626" ht="30" customHeight="1">
      <c r="B1626" s="32" t="inlineStr">
        <is>
          <t>Épica: E7. Controlar la asistencia de la mano de obra</t>
        </is>
      </c>
      <c r="C1626" s="8" t="n"/>
      <c r="D1626" s="8" t="n"/>
      <c r="E1626" s="23" t="n"/>
      <c r="G1626" s="33" t="inlineStr">
        <is>
          <t>( x )</t>
        </is>
      </c>
      <c r="H1626" s="34" t="inlineStr">
        <is>
          <t>L1 · Redactada en el formato acordado — Cumple</t>
        </is>
      </c>
      <c r="I1626" s="8" t="n"/>
      <c r="J1626" s="23" t="n"/>
      <c r="L1626" s="35" t="inlineStr">
        <is>
          <t>(    )</t>
        </is>
      </c>
      <c r="M1626" s="34" t="inlineStr">
        <is>
          <t>La asistencia del día se ha registrado por trabajador: presente, ausente o permiso</t>
        </is>
      </c>
      <c r="N1626" s="8" t="n"/>
      <c r="O1626" s="23" t="n"/>
    </row>
    <row r="1627" ht="30" customHeight="1">
      <c r="B1627" s="32" t="inlineStr">
        <is>
          <t>Módulo: Mano de obra</t>
        </is>
      </c>
      <c r="C1627" s="8" t="n"/>
      <c r="D1627" s="8" t="n"/>
      <c r="E1627" s="23" t="n"/>
      <c r="G1627" s="33" t="inlineStr">
        <is>
          <t>( x )</t>
        </is>
      </c>
      <c r="H1627" s="34" t="inlineStr">
        <is>
          <t>L2 · Nombre corto en forma de acción — Cumple</t>
        </is>
      </c>
      <c r="I1627" s="8" t="n"/>
      <c r="J1627" s="23" t="n"/>
      <c r="L1627" s="35" t="inlineStr">
        <is>
          <t>(    )</t>
        </is>
      </c>
      <c r="M1627" s="34" t="inlineStr">
        <is>
          <t>Al presente se le han registrado horas normales y extra por separado</t>
        </is>
      </c>
      <c r="N1627" s="8" t="n"/>
      <c r="O1627" s="23" t="n"/>
    </row>
    <row r="1628" ht="30" customHeight="1">
      <c r="B1628" s="32" t="inlineStr">
        <is>
          <t>Responsable técnico: Android · Nicolás Pachamora</t>
        </is>
      </c>
      <c r="C1628" s="8" t="n"/>
      <c r="D1628" s="8" t="n"/>
      <c r="E1628" s="23" t="n"/>
      <c r="G1628" s="33" t="inlineStr">
        <is>
          <t>( x )</t>
        </is>
      </c>
      <c r="H1628" s="34" t="inlineStr">
        <is>
          <t>L3 · Criterios de aceptación escritos — Cumple</t>
        </is>
      </c>
      <c r="I1628" s="8" t="n"/>
      <c r="J1628" s="23" t="n"/>
      <c r="L1628" s="35" t="inlineStr">
        <is>
          <t>(    )</t>
        </is>
      </c>
      <c r="M1628" s="34" t="inlineStr">
        <is>
          <t>Una segunda asistencia del mismo trabajador y día se ha rechazado</t>
        </is>
      </c>
      <c r="N1628" s="8" t="n"/>
      <c r="O1628" s="23" t="n"/>
    </row>
    <row r="1629" ht="30" customHeight="1">
      <c r="B1629" s="36" t="inlineStr">
        <is>
          <t>Depende de: HU-62</t>
        </is>
      </c>
      <c r="C1629" s="37" t="n"/>
      <c r="D1629" s="37" t="n"/>
      <c r="E1629" s="38" t="n"/>
      <c r="G1629" s="33" t="inlineStr">
        <is>
          <t>( x )</t>
        </is>
      </c>
      <c r="H1629" s="34" t="inlineStr">
        <is>
          <t>L4 · Dependencias resueltas — Cumple</t>
        </is>
      </c>
      <c r="I1629" s="8" t="n"/>
      <c r="J1629" s="23" t="n"/>
      <c r="L1629" s="35" t="inlineStr">
        <is>
          <t>(    )</t>
        </is>
      </c>
      <c r="M1629" s="34" t="inlineStr">
        <is>
          <t>Una corrección se ha registrado como registro nuevo, conservando el anterior</t>
        </is>
      </c>
      <c r="N1629" s="8" t="n"/>
      <c r="O1629" s="23" t="n"/>
    </row>
    <row r="1630" ht="30" customHeight="1">
      <c r="G1630" s="33" t="inlineStr">
        <is>
          <t>( x )</t>
        </is>
      </c>
      <c r="H1630" s="34" t="inlineStr">
        <is>
          <t>L5 · Estimada por los Developers — Cumple</t>
        </is>
      </c>
      <c r="I1630" s="8" t="n"/>
      <c r="J1630" s="23" t="n"/>
      <c r="L1630" s="35" t="inlineStr">
        <is>
          <t>(    )</t>
        </is>
      </c>
      <c r="M1630" s="34" t="inlineStr">
        <is>
          <t>Una fecha fuera del plazo de la obra se ha rechazado</t>
        </is>
      </c>
      <c r="N1630" s="8" t="n"/>
      <c r="O1630" s="23" t="n"/>
    </row>
    <row r="1631" ht="36" customHeight="1">
      <c r="G1631" s="33" t="inlineStr">
        <is>
          <t>( x )</t>
        </is>
      </c>
      <c r="H1631" s="34" t="inlineStr">
        <is>
          <t>L6 · Cabe en un sprint (8 puntos o menos) — Cumple</t>
        </is>
      </c>
      <c r="I1631" s="8" t="n"/>
      <c r="J1631" s="23" t="n"/>
      <c r="L1631" s="36" t="inlineStr">
        <is>
          <t>Mitad técnica: Además, los diez criterios T1 a T10 de la hoja «3. Criterios DoR y DoD», sin excepción</t>
        </is>
      </c>
      <c r="M1631" s="37" t="n"/>
      <c r="N1631" s="37" t="n"/>
      <c r="O1631" s="38" t="n"/>
    </row>
    <row r="1632" ht="30" customHeight="1">
      <c r="G1632" s="33" t="inlineStr">
        <is>
          <t>( x )</t>
        </is>
      </c>
      <c r="H1632" s="34" t="inlineStr">
        <is>
          <t>L7 · Reglas de dominio identificadas — Cumple</t>
        </is>
      </c>
      <c r="I1632" s="8" t="n"/>
      <c r="J1632" s="23" t="n"/>
    </row>
    <row r="1633" ht="30" customHeight="1">
      <c r="G1633" s="33" t="inlineStr">
        <is>
          <t>( x )</t>
        </is>
      </c>
      <c r="H1633" s="34" t="inlineStr">
        <is>
          <t>L8 · Datos de prueba disponibles — Cumple</t>
        </is>
      </c>
      <c r="I1633" s="8" t="n"/>
      <c r="J1633" s="23" t="n"/>
    </row>
    <row r="1634" ht="30" customHeight="1">
      <c r="G1634" s="33" t="inlineStr">
        <is>
          <t>( x )</t>
        </is>
      </c>
      <c r="H1634" s="34" t="inlineStr">
        <is>
          <t>L9 · Responsable técnico asignado — Cumple</t>
        </is>
      </c>
      <c r="I1634" s="8" t="n"/>
      <c r="J1634" s="23" t="n"/>
    </row>
    <row r="1635" ht="30" customHeight="1">
      <c r="G1635" s="33" t="inlineStr">
        <is>
          <t>( x )</t>
        </is>
      </c>
      <c r="H1635" s="34" t="inlineStr">
        <is>
          <t>L10 · Recursos identificados — Cumple: Nicolás Pachamora + equipo de desarrollo y datos de prueba</t>
        </is>
      </c>
      <c r="I1635" s="8" t="n"/>
      <c r="J1635" s="23" t="n"/>
    </row>
    <row r="1636" ht="30" customHeight="1">
      <c r="G1636" s="33" t="inlineStr">
        <is>
          <t>( x )</t>
        </is>
      </c>
      <c r="H1636" s="34" t="inlineStr">
        <is>
          <t>L11 · Requisitos técnicos de programación definidos — Cumple: Kotlin, Jetpack Compose, Room y WorkManager</t>
        </is>
      </c>
      <c r="I1636" s="8" t="n"/>
      <c r="J1636" s="23" t="n"/>
    </row>
    <row r="1637" ht="30" customHeight="1">
      <c r="G1637" s="33" t="inlineStr">
        <is>
          <t>( x )</t>
        </is>
      </c>
      <c r="H1637" s="34" t="inlineStr">
        <is>
          <t>L12 · Accesos de red disponibles — Cumple: GitHub (repositorio privado), API y PostgreSQL en docker compose, red móvil o wifi para sincronizar (y modo avión para la prueba)</t>
        </is>
      </c>
      <c r="I1637" s="8" t="n"/>
      <c r="J1637" s="23" t="n"/>
    </row>
    <row r="1638" ht="36" customHeight="1">
      <c r="G1638" s="39" t="inlineStr">
        <is>
          <t>Riesgos: Dos jornadas para el mismo día · jornada única por trabajador y fecha</t>
        </is>
      </c>
      <c r="H1638" s="8" t="n"/>
      <c r="I1638" s="8" t="n"/>
      <c r="J1638" s="23" t="n"/>
    </row>
    <row r="1639" ht="36" customHeight="1">
      <c r="G1639" s="32" t="inlineStr">
        <is>
          <t>Proveedores de servicio: Teléfono Android de prueba · servidor de la API en la nube</t>
        </is>
      </c>
      <c r="H1639" s="8" t="n"/>
      <c r="I1639" s="8" t="n"/>
      <c r="J1639" s="23" t="n"/>
    </row>
    <row r="1640" ht="36" customHeight="1">
      <c r="G1640" s="36" t="inlineStr">
        <is>
          <t>Costos: 5 pts ≈ 10 horas-persona (1 punto ≈ 2 h) · servicios externos: S/ 0 (planes gratuitos)</t>
        </is>
      </c>
      <c r="H1640" s="37" t="n"/>
      <c r="I1640" s="37" t="n"/>
      <c r="J1640" s="38" t="n"/>
    </row>
    <row r="1643">
      <c r="B1643" s="18" t="inlineStr">
        <is>
          <t>HU-64 · Consultar horas acumuladas</t>
        </is>
      </c>
    </row>
    <row r="1644" ht="18" customHeight="1">
      <c r="B1644" s="19" t="inlineStr">
        <is>
          <t>TARJETA 1 · Historia de usuario</t>
        </is>
      </c>
      <c r="C1644" s="20" t="n"/>
      <c r="D1644" s="20" t="n"/>
      <c r="E1644" s="21" t="n"/>
      <c r="G1644" s="19" t="inlineStr">
        <is>
          <t>TARJETA 2 · Definición de Listo</t>
        </is>
      </c>
      <c r="H1644" s="20" t="n"/>
      <c r="I1644" s="20" t="n"/>
      <c r="J1644" s="21" t="n"/>
      <c r="L1644" s="19" t="inlineStr">
        <is>
          <t>TARJETA 3 · Definición de Terminado</t>
        </is>
      </c>
      <c r="M1644" s="20" t="n"/>
      <c r="N1644" s="20" t="n"/>
      <c r="O1644" s="21" t="n"/>
    </row>
    <row r="1645" ht="28" customHeight="1">
      <c r="B1645" s="22" t="inlineStr">
        <is>
          <t>La unidad con la que se planifica, se estima y se acepta el trabajo</t>
        </is>
      </c>
      <c r="C1645" s="8" t="n"/>
      <c r="D1645" s="8" t="n"/>
      <c r="E1645" s="23" t="n"/>
      <c r="G1645" s="22" t="inlineStr">
        <is>
          <t>El enfoque está en la consideración del equipo de desarrollo sobre si la historia está lista para un Sprint</t>
        </is>
      </c>
      <c r="H1645" s="8" t="n"/>
      <c r="I1645" s="8" t="n"/>
      <c r="J1645" s="23" t="n"/>
      <c r="L1645" s="22" t="inlineStr">
        <is>
          <t>El enfoque está en la aceptación del cliente cuando se le entregue el producto</t>
        </is>
      </c>
      <c r="M1645" s="8" t="n"/>
      <c r="N1645" s="8" t="n"/>
      <c r="O1645" s="23" t="n"/>
    </row>
    <row r="1646">
      <c r="B1646" s="24" t="inlineStr">
        <is>
          <t>Historia de usuario</t>
        </is>
      </c>
      <c r="C1646" s="8" t="n"/>
      <c r="D1646" s="25" t="inlineStr">
        <is>
          <t>Prioridad</t>
        </is>
      </c>
      <c r="E1646" s="26" t="inlineStr">
        <is>
          <t>Estimación</t>
        </is>
      </c>
      <c r="G1646" s="24" t="inlineStr">
        <is>
          <t>Historia de usuario</t>
        </is>
      </c>
      <c r="H1646" s="8" t="n"/>
      <c r="I1646" s="25" t="inlineStr">
        <is>
          <t>Prioridad</t>
        </is>
      </c>
      <c r="J1646" s="26" t="inlineStr">
        <is>
          <t>Estimación</t>
        </is>
      </c>
      <c r="L1646" s="24" t="inlineStr">
        <is>
          <t>Historia de usuario</t>
        </is>
      </c>
      <c r="M1646" s="8" t="n"/>
      <c r="N1646" s="25" t="inlineStr">
        <is>
          <t>Prioridad</t>
        </is>
      </c>
      <c r="O1646" s="26" t="inlineStr">
        <is>
          <t>Estimación</t>
        </is>
      </c>
    </row>
    <row r="1647" ht="30" customHeight="1">
      <c r="B1647" s="27" t="inlineStr">
        <is>
          <t>HU-64 · Consultar horas acumuladas</t>
        </is>
      </c>
      <c r="C1647" s="8" t="n"/>
      <c r="D1647" s="9" t="inlineStr">
        <is>
          <t>Alta</t>
        </is>
      </c>
      <c r="E1647" s="28" t="inlineStr">
        <is>
          <t>3 pts</t>
        </is>
      </c>
      <c r="G1647" s="27" t="inlineStr">
        <is>
          <t>HU-64 · Consultar horas acumuladas</t>
        </is>
      </c>
      <c r="H1647" s="8" t="n"/>
      <c r="I1647" s="9" t="inlineStr">
        <is>
          <t>Alta</t>
        </is>
      </c>
      <c r="J1647" s="28" t="inlineStr">
        <is>
          <t>3 pts</t>
        </is>
      </c>
      <c r="L1647" s="27" t="inlineStr">
        <is>
          <t>HU-64 · Consultar horas acumuladas</t>
        </is>
      </c>
      <c r="M1647" s="8" t="n"/>
      <c r="N1647" s="9" t="inlineStr">
        <is>
          <t>Alta</t>
        </is>
      </c>
      <c r="O1647" s="28" t="inlineStr">
        <is>
          <t>3 pts</t>
        </is>
      </c>
    </row>
    <row r="1648">
      <c r="B1648" s="29" t="inlineStr">
        <is>
          <t>Descripción:</t>
        </is>
      </c>
      <c r="C1648" s="8" t="n"/>
      <c r="D1648" s="8" t="n"/>
      <c r="E1648" s="23" t="n"/>
      <c r="G1648" s="29" t="inlineStr">
        <is>
          <t>Descripción:</t>
        </is>
      </c>
      <c r="H1648" s="8" t="n"/>
      <c r="I1648" s="8" t="n"/>
      <c r="J1648" s="23" t="n"/>
      <c r="L1648" s="29" t="inlineStr">
        <is>
          <t>Descripción:</t>
        </is>
      </c>
      <c r="M1648" s="8" t="n"/>
      <c r="N1648" s="8" t="n"/>
      <c r="O1648" s="23" t="n"/>
    </row>
    <row r="1649" ht="28" customHeight="1">
      <c r="B1649" s="30" t="inlineStr">
        <is>
          <t>Como residente de obra, quiero consultar las horas acumuladas por trabajador y por cuadrilla, para saber cuánta mano de obra lleva consumida la obra.</t>
        </is>
      </c>
      <c r="C1649" s="8" t="n"/>
      <c r="D1649" s="8" t="n"/>
      <c r="E1649" s="23" t="n"/>
      <c r="G1649" s="30" t="inlineStr">
        <is>
          <t>Como residente de obra, quiero consultar las horas acumuladas por trabajador y por cuadrilla, para saber cuánta mano de obra lleva consumida la obra.</t>
        </is>
      </c>
      <c r="H1649" s="8" t="n"/>
      <c r="I1649" s="8" t="n"/>
      <c r="J1649" s="23" t="n"/>
      <c r="L1649" s="30" t="inlineStr">
        <is>
          <t>Como residente de obra, quiero consultar las horas acumuladas por trabajador y por cuadrilla, para saber cuánta mano de obra lleva consumida la obra.</t>
        </is>
      </c>
      <c r="M1649" s="8" t="n"/>
      <c r="N1649" s="8" t="n"/>
      <c r="O1649" s="23" t="n"/>
    </row>
    <row r="1650" ht="28" customHeight="1">
      <c r="B1650" s="31" t="n"/>
      <c r="C1650" s="8" t="n"/>
      <c r="D1650" s="8" t="n"/>
      <c r="E1650" s="23" t="n"/>
      <c r="G1650" s="31" t="n"/>
      <c r="H1650" s="8" t="n"/>
      <c r="I1650" s="8" t="n"/>
      <c r="J1650" s="23" t="n"/>
      <c r="L1650" s="31" t="n"/>
      <c r="M1650" s="8" t="n"/>
      <c r="N1650" s="8" t="n"/>
      <c r="O1650" s="23" t="n"/>
    </row>
    <row r="1651">
      <c r="B1651" s="29" t="inlineStr">
        <is>
          <t>Ficha de la historia</t>
        </is>
      </c>
      <c r="C1651" s="8" t="n"/>
      <c r="D1651" s="8" t="n"/>
      <c r="E1651" s="23" t="n"/>
      <c r="G1651" s="29" t="inlineStr">
        <is>
          <t>Criterios de listo:</t>
        </is>
      </c>
      <c r="H1651" s="8" t="n"/>
      <c r="I1651" s="8" t="n"/>
      <c r="J1651" s="23" t="n"/>
      <c r="L1651" s="29" t="inlineStr">
        <is>
          <t>Condiciones finales (se marcan cuando el PO acepta la HU en la Review):</t>
        </is>
      </c>
      <c r="M1651" s="8" t="n"/>
      <c r="N1651" s="8" t="n"/>
      <c r="O1651" s="23" t="n"/>
    </row>
    <row r="1652" ht="30" customHeight="1">
      <c r="B1652" s="32" t="inlineStr">
        <is>
          <t>Épica: E7. Controlar la asistencia de la mano de obra</t>
        </is>
      </c>
      <c r="C1652" s="8" t="n"/>
      <c r="D1652" s="8" t="n"/>
      <c r="E1652" s="23" t="n"/>
      <c r="G1652" s="33" t="inlineStr">
        <is>
          <t>( x )</t>
        </is>
      </c>
      <c r="H1652" s="34" t="inlineStr">
        <is>
          <t>L1 · Redactada en el formato acordado — Cumple</t>
        </is>
      </c>
      <c r="I1652" s="8" t="n"/>
      <c r="J1652" s="23" t="n"/>
      <c r="L1652" s="35" t="inlineStr">
        <is>
          <t>(    )</t>
        </is>
      </c>
      <c r="M1652" s="34" t="inlineStr">
        <is>
          <t>Se han consultado las horas normales y extra por trabajador, cuadrilla y periodo</t>
        </is>
      </c>
      <c r="N1652" s="8" t="n"/>
      <c r="O1652" s="23" t="n"/>
    </row>
    <row r="1653" ht="30" customHeight="1">
      <c r="B1653" s="32" t="inlineStr">
        <is>
          <t>Módulo: Mano de obra</t>
        </is>
      </c>
      <c r="C1653" s="8" t="n"/>
      <c r="D1653" s="8" t="n"/>
      <c r="E1653" s="23" t="n"/>
      <c r="G1653" s="33" t="inlineStr">
        <is>
          <t>( x )</t>
        </is>
      </c>
      <c r="H1653" s="34" t="inlineStr">
        <is>
          <t>L2 · Nombre corto en forma de acción — Cumple</t>
        </is>
      </c>
      <c r="I1653" s="8" t="n"/>
      <c r="J1653" s="23" t="n"/>
      <c r="L1653" s="35" t="inlineStr">
        <is>
          <t>(    )</t>
        </is>
      </c>
      <c r="M1653" s="34" t="inlineStr">
        <is>
          <t>Se ha mostrado la fecha de la última jornada considerada</t>
        </is>
      </c>
      <c r="N1653" s="8" t="n"/>
      <c r="O1653" s="23" t="n"/>
    </row>
    <row r="1654" ht="36" customHeight="1">
      <c r="B1654" s="32" t="inlineStr">
        <is>
          <t>Responsable técnico: Backend · Henry Ticona</t>
        </is>
      </c>
      <c r="C1654" s="8" t="n"/>
      <c r="D1654" s="8" t="n"/>
      <c r="E1654" s="23" t="n"/>
      <c r="G1654" s="33" t="inlineStr">
        <is>
          <t>( x )</t>
        </is>
      </c>
      <c r="H1654" s="34" t="inlineStr">
        <is>
          <t>L3 · Criterios de aceptación escritos — Cumple</t>
        </is>
      </c>
      <c r="I1654" s="8" t="n"/>
      <c r="J1654" s="23" t="n"/>
      <c r="L1654" s="36" t="inlineStr">
        <is>
          <t>Mitad técnica: Además, los diez criterios T1 a T10 de la hoja «3. Criterios DoR y DoD», sin excepción</t>
        </is>
      </c>
      <c r="M1654" s="37" t="n"/>
      <c r="N1654" s="37" t="n"/>
      <c r="O1654" s="38" t="n"/>
    </row>
    <row r="1655" ht="30" customHeight="1">
      <c r="B1655" s="36" t="inlineStr">
        <is>
          <t>Depende de: HU-63</t>
        </is>
      </c>
      <c r="C1655" s="37" t="n"/>
      <c r="D1655" s="37" t="n"/>
      <c r="E1655" s="38" t="n"/>
      <c r="G1655" s="33" t="inlineStr">
        <is>
          <t>( x )</t>
        </is>
      </c>
      <c r="H1655" s="34" t="inlineStr">
        <is>
          <t>L4 · Dependencias resueltas — Cumple</t>
        </is>
      </c>
      <c r="I1655" s="8" t="n"/>
      <c r="J1655" s="23" t="n"/>
    </row>
    <row r="1656" ht="30" customHeight="1">
      <c r="G1656" s="33" t="inlineStr">
        <is>
          <t>( x )</t>
        </is>
      </c>
      <c r="H1656" s="34" t="inlineStr">
        <is>
          <t>L5 · Estimada por los Developers — Cumple</t>
        </is>
      </c>
      <c r="I1656" s="8" t="n"/>
      <c r="J1656" s="23" t="n"/>
    </row>
    <row r="1657" ht="30" customHeight="1">
      <c r="G1657" s="33" t="inlineStr">
        <is>
          <t>( x )</t>
        </is>
      </c>
      <c r="H1657" s="34" t="inlineStr">
        <is>
          <t>L6 · Cabe en un sprint (8 puntos o menos) — Cumple</t>
        </is>
      </c>
      <c r="I1657" s="8" t="n"/>
      <c r="J1657" s="23" t="n"/>
    </row>
    <row r="1658" ht="30" customHeight="1">
      <c r="G1658" s="33" t="inlineStr">
        <is>
          <t>( x )</t>
        </is>
      </c>
      <c r="H1658" s="34" t="inlineStr">
        <is>
          <t>L7 · Reglas de dominio identificadas — Cumple</t>
        </is>
      </c>
      <c r="I1658" s="8" t="n"/>
      <c r="J1658" s="23" t="n"/>
    </row>
    <row r="1659" ht="30" customHeight="1">
      <c r="G1659" s="33" t="inlineStr">
        <is>
          <t>( x )</t>
        </is>
      </c>
      <c r="H1659" s="34" t="inlineStr">
        <is>
          <t>L8 · Datos de prueba disponibles — Cumple</t>
        </is>
      </c>
      <c r="I1659" s="8" t="n"/>
      <c r="J1659" s="23" t="n"/>
    </row>
    <row r="1660" ht="30" customHeight="1">
      <c r="G1660" s="33" t="inlineStr">
        <is>
          <t>( x )</t>
        </is>
      </c>
      <c r="H1660" s="34" t="inlineStr">
        <is>
          <t>L9 · Responsable técnico asignado — Cumple</t>
        </is>
      </c>
      <c r="I1660" s="8" t="n"/>
      <c r="J1660" s="23" t="n"/>
    </row>
    <row r="1661" ht="30" customHeight="1">
      <c r="G1661" s="33" t="inlineStr">
        <is>
          <t>( x )</t>
        </is>
      </c>
      <c r="H1661" s="34" t="inlineStr">
        <is>
          <t>L10 · Recursos identificados — Cumple: Henry Ticona + equipo de desarrollo y datos de prueba</t>
        </is>
      </c>
      <c r="I1661" s="8" t="n"/>
      <c r="J1661" s="23" t="n"/>
    </row>
    <row r="1662" ht="30" customHeight="1">
      <c r="G1662" s="33" t="inlineStr">
        <is>
          <t>( x )</t>
        </is>
      </c>
      <c r="H1662" s="34" t="inlineStr">
        <is>
          <t>L11 · Requisitos técnicos de programación definidos — Cumple: FastAPI, SQLAlchemy 2, Alembic y PostgreSQL 16</t>
        </is>
      </c>
      <c r="I1662" s="8" t="n"/>
      <c r="J1662" s="23" t="n"/>
    </row>
    <row r="1663" ht="30" customHeight="1">
      <c r="G1663" s="33" t="inlineStr">
        <is>
          <t>( x )</t>
        </is>
      </c>
      <c r="H1663" s="34" t="inlineStr">
        <is>
          <t>L12 · Accesos de red disponibles — Cumple: GitHub (repositorio privado), API y PostgreSQL en docker compose</t>
        </is>
      </c>
      <c r="I1663" s="8" t="n"/>
      <c r="J1663" s="23" t="n"/>
    </row>
    <row r="1664" ht="36" customHeight="1">
      <c r="G1664" s="39" t="inlineStr">
        <is>
          <t>Riesgos: Mezclar horas normales con extras · se muestran por separado</t>
        </is>
      </c>
      <c r="H1664" s="8" t="n"/>
      <c r="I1664" s="8" t="n"/>
      <c r="J1664" s="23" t="n"/>
    </row>
    <row r="1665" ht="36" customHeight="1">
      <c r="G1665" s="32" t="inlineStr">
        <is>
          <t>Proveedores de servicio: PostgreSQL gestionado en la nube (capa gratuita) · GitHub</t>
        </is>
      </c>
      <c r="H1665" s="8" t="n"/>
      <c r="I1665" s="8" t="n"/>
      <c r="J1665" s="23" t="n"/>
    </row>
    <row r="1666" ht="36" customHeight="1">
      <c r="G1666" s="36" t="inlineStr">
        <is>
          <t>Costos: 3 pts ≈ 6 horas-persona (1 punto ≈ 2 h) · servicios externos: S/ 0 (planes gratuitos)</t>
        </is>
      </c>
      <c r="H1666" s="37" t="n"/>
      <c r="I1666" s="37" t="n"/>
      <c r="J1666" s="38" t="n"/>
    </row>
    <row r="1669">
      <c r="B1669" s="18" t="inlineStr">
        <is>
          <t>HU-65 · Consultar costo de mano de obra</t>
        </is>
      </c>
    </row>
    <row r="1670" ht="18" customHeight="1">
      <c r="B1670" s="19" t="inlineStr">
        <is>
          <t>TARJETA 1 · Historia de usuario</t>
        </is>
      </c>
      <c r="C1670" s="20" t="n"/>
      <c r="D1670" s="20" t="n"/>
      <c r="E1670" s="21" t="n"/>
      <c r="G1670" s="19" t="inlineStr">
        <is>
          <t>TARJETA 2 · Definición de Listo</t>
        </is>
      </c>
      <c r="H1670" s="20" t="n"/>
      <c r="I1670" s="20" t="n"/>
      <c r="J1670" s="21" t="n"/>
      <c r="L1670" s="19" t="inlineStr">
        <is>
          <t>TARJETA 3 · Definición de Terminado</t>
        </is>
      </c>
      <c r="M1670" s="20" t="n"/>
      <c r="N1670" s="20" t="n"/>
      <c r="O1670" s="21" t="n"/>
    </row>
    <row r="1671" ht="28" customHeight="1">
      <c r="B1671" s="22" t="inlineStr">
        <is>
          <t>La unidad con la que se planifica, se estima y se acepta el trabajo</t>
        </is>
      </c>
      <c r="C1671" s="8" t="n"/>
      <c r="D1671" s="8" t="n"/>
      <c r="E1671" s="23" t="n"/>
      <c r="G1671" s="22" t="inlineStr">
        <is>
          <t>El enfoque está en la consideración del equipo de desarrollo sobre si la historia está lista para un Sprint</t>
        </is>
      </c>
      <c r="H1671" s="8" t="n"/>
      <c r="I1671" s="8" t="n"/>
      <c r="J1671" s="23" t="n"/>
      <c r="L1671" s="22" t="inlineStr">
        <is>
          <t>El enfoque está en la aceptación del cliente cuando se le entregue el producto</t>
        </is>
      </c>
      <c r="M1671" s="8" t="n"/>
      <c r="N1671" s="8" t="n"/>
      <c r="O1671" s="23" t="n"/>
    </row>
    <row r="1672">
      <c r="B1672" s="24" t="inlineStr">
        <is>
          <t>Historia de usuario</t>
        </is>
      </c>
      <c r="C1672" s="8" t="n"/>
      <c r="D1672" s="25" t="inlineStr">
        <is>
          <t>Prioridad</t>
        </is>
      </c>
      <c r="E1672" s="26" t="inlineStr">
        <is>
          <t>Estimación</t>
        </is>
      </c>
      <c r="G1672" s="24" t="inlineStr">
        <is>
          <t>Historia de usuario</t>
        </is>
      </c>
      <c r="H1672" s="8" t="n"/>
      <c r="I1672" s="25" t="inlineStr">
        <is>
          <t>Prioridad</t>
        </is>
      </c>
      <c r="J1672" s="26" t="inlineStr">
        <is>
          <t>Estimación</t>
        </is>
      </c>
      <c r="L1672" s="24" t="inlineStr">
        <is>
          <t>Historia de usuario</t>
        </is>
      </c>
      <c r="M1672" s="8" t="n"/>
      <c r="N1672" s="25" t="inlineStr">
        <is>
          <t>Prioridad</t>
        </is>
      </c>
      <c r="O1672" s="26" t="inlineStr">
        <is>
          <t>Estimación</t>
        </is>
      </c>
    </row>
    <row r="1673" ht="30" customHeight="1">
      <c r="B1673" s="27" t="inlineStr">
        <is>
          <t>HU-65 · Consultar costo de mano de obra</t>
        </is>
      </c>
      <c r="C1673" s="8" t="n"/>
      <c r="D1673" s="9" t="inlineStr">
        <is>
          <t>Alta</t>
        </is>
      </c>
      <c r="E1673" s="28" t="inlineStr">
        <is>
          <t>5 pts</t>
        </is>
      </c>
      <c r="G1673" s="27" t="inlineStr">
        <is>
          <t>HU-65 · Consultar costo de mano de obra</t>
        </is>
      </c>
      <c r="H1673" s="8" t="n"/>
      <c r="I1673" s="9" t="inlineStr">
        <is>
          <t>Alta</t>
        </is>
      </c>
      <c r="J1673" s="28" t="inlineStr">
        <is>
          <t>5 pts</t>
        </is>
      </c>
      <c r="L1673" s="27" t="inlineStr">
        <is>
          <t>HU-65 · Consultar costo de mano de obra</t>
        </is>
      </c>
      <c r="M1673" s="8" t="n"/>
      <c r="N1673" s="9" t="inlineStr">
        <is>
          <t>Alta</t>
        </is>
      </c>
      <c r="O1673" s="28" t="inlineStr">
        <is>
          <t>5 pts</t>
        </is>
      </c>
    </row>
    <row r="1674">
      <c r="B1674" s="29" t="inlineStr">
        <is>
          <t>Descripción:</t>
        </is>
      </c>
      <c r="C1674" s="8" t="n"/>
      <c r="D1674" s="8" t="n"/>
      <c r="E1674" s="23" t="n"/>
      <c r="G1674" s="29" t="inlineStr">
        <is>
          <t>Descripción:</t>
        </is>
      </c>
      <c r="H1674" s="8" t="n"/>
      <c r="I1674" s="8" t="n"/>
      <c r="J1674" s="23" t="n"/>
      <c r="L1674" s="29" t="inlineStr">
        <is>
          <t>Descripción:</t>
        </is>
      </c>
      <c r="M1674" s="8" t="n"/>
      <c r="N1674" s="8" t="n"/>
      <c r="O1674" s="23" t="n"/>
    </row>
    <row r="1675" ht="28" customHeight="1">
      <c r="B1675" s="30" t="inlineStr">
        <is>
          <t>Como gerente, quiero consultar el costo de las horas trabajadas junto al costo del material, para conocer cuánto lleva gastado la obra en sus recursos.</t>
        </is>
      </c>
      <c r="C1675" s="8" t="n"/>
      <c r="D1675" s="8" t="n"/>
      <c r="E1675" s="23" t="n"/>
      <c r="G1675" s="30" t="inlineStr">
        <is>
          <t>Como gerente, quiero consultar el costo de las horas trabajadas junto al costo del material, para conocer cuánto lleva gastado la obra en sus recursos.</t>
        </is>
      </c>
      <c r="H1675" s="8" t="n"/>
      <c r="I1675" s="8" t="n"/>
      <c r="J1675" s="23" t="n"/>
      <c r="L1675" s="30" t="inlineStr">
        <is>
          <t>Como gerente, quiero consultar el costo de las horas trabajadas junto al costo del material, para conocer cuánto lleva gastado la obra en sus recursos.</t>
        </is>
      </c>
      <c r="M1675" s="8" t="n"/>
      <c r="N1675" s="8" t="n"/>
      <c r="O1675" s="23" t="n"/>
    </row>
    <row r="1676" ht="28" customHeight="1">
      <c r="B1676" s="31" t="n"/>
      <c r="C1676" s="8" t="n"/>
      <c r="D1676" s="8" t="n"/>
      <c r="E1676" s="23" t="n"/>
      <c r="G1676" s="31" t="n"/>
      <c r="H1676" s="8" t="n"/>
      <c r="I1676" s="8" t="n"/>
      <c r="J1676" s="23" t="n"/>
      <c r="L1676" s="31" t="n"/>
      <c r="M1676" s="8" t="n"/>
      <c r="N1676" s="8" t="n"/>
      <c r="O1676" s="23" t="n"/>
    </row>
    <row r="1677">
      <c r="B1677" s="29" t="inlineStr">
        <is>
          <t>Ficha de la historia</t>
        </is>
      </c>
      <c r="C1677" s="8" t="n"/>
      <c r="D1677" s="8" t="n"/>
      <c r="E1677" s="23" t="n"/>
      <c r="G1677" s="29" t="inlineStr">
        <is>
          <t>Criterios de listo:</t>
        </is>
      </c>
      <c r="H1677" s="8" t="n"/>
      <c r="I1677" s="8" t="n"/>
      <c r="J1677" s="23" t="n"/>
      <c r="L1677" s="29" t="inlineStr">
        <is>
          <t>Condiciones finales (se marcan cuando el PO acepta la HU en la Review):</t>
        </is>
      </c>
      <c r="M1677" s="8" t="n"/>
      <c r="N1677" s="8" t="n"/>
      <c r="O1677" s="23" t="n"/>
    </row>
    <row r="1678" ht="30" customHeight="1">
      <c r="B1678" s="32" t="inlineStr">
        <is>
          <t>Épica: E7. Controlar la asistencia de la mano de obra</t>
        </is>
      </c>
      <c r="C1678" s="8" t="n"/>
      <c r="D1678" s="8" t="n"/>
      <c r="E1678" s="23" t="n"/>
      <c r="G1678" s="33" t="inlineStr">
        <is>
          <t>( x )</t>
        </is>
      </c>
      <c r="H1678" s="34" t="inlineStr">
        <is>
          <t>L1 · Redactada en el formato acordado — Cumple</t>
        </is>
      </c>
      <c r="I1678" s="8" t="n"/>
      <c r="J1678" s="23" t="n"/>
      <c r="L1678" s="35" t="inlineStr">
        <is>
          <t>(    )</t>
        </is>
      </c>
      <c r="M1678" s="34" t="inlineStr">
        <is>
          <t>Las horas se han valorizado con el costo por hora de su categoría del S10, y las extra con su recargo</t>
        </is>
      </c>
      <c r="N1678" s="8" t="n"/>
      <c r="O1678" s="23" t="n"/>
    </row>
    <row r="1679" ht="30" customHeight="1">
      <c r="B1679" s="32" t="inlineStr">
        <is>
          <t>Módulo: Mano de obra</t>
        </is>
      </c>
      <c r="C1679" s="8" t="n"/>
      <c r="D1679" s="8" t="n"/>
      <c r="E1679" s="23" t="n"/>
      <c r="G1679" s="33" t="inlineStr">
        <is>
          <t>( x )</t>
        </is>
      </c>
      <c r="H1679" s="34" t="inlineStr">
        <is>
          <t>L2 · Nombre corto en forma de acción — Cumple</t>
        </is>
      </c>
      <c r="I1679" s="8" t="n"/>
      <c r="J1679" s="23" t="n"/>
      <c r="L1679" s="35" t="inlineStr">
        <is>
          <t>(    )</t>
        </is>
      </c>
      <c r="M1679" s="34" t="inlineStr">
        <is>
          <t>Se han comparado contra las horas hombre planificadas, en horas e importe</t>
        </is>
      </c>
      <c r="N1679" s="8" t="n"/>
      <c r="O1679" s="23" t="n"/>
    </row>
    <row r="1680" ht="30" customHeight="1">
      <c r="B1680" s="32" t="inlineStr">
        <is>
          <t>Responsable técnico: Web · Víctor Luján</t>
        </is>
      </c>
      <c r="C1680" s="8" t="n"/>
      <c r="D1680" s="8" t="n"/>
      <c r="E1680" s="23" t="n"/>
      <c r="G1680" s="33" t="inlineStr">
        <is>
          <t>( x )</t>
        </is>
      </c>
      <c r="H1680" s="34" t="inlineStr">
        <is>
          <t>L3 · Criterios de aceptación escritos — Cumple</t>
        </is>
      </c>
      <c r="I1680" s="8" t="n"/>
      <c r="J1680" s="23" t="n"/>
      <c r="L1680" s="35" t="inlineStr">
        <is>
          <t>(    )</t>
        </is>
      </c>
      <c r="M1680" s="34" t="inlineStr">
        <is>
          <t>El costo de mano de obra se ha mostrado junto al de material y herramientas</t>
        </is>
      </c>
      <c r="N1680" s="8" t="n"/>
      <c r="O1680" s="23" t="n"/>
    </row>
    <row r="1681" ht="30" customHeight="1">
      <c r="B1681" s="36" t="inlineStr">
        <is>
          <t>Depende de: HU-64</t>
        </is>
      </c>
      <c r="C1681" s="37" t="n"/>
      <c r="D1681" s="37" t="n"/>
      <c r="E1681" s="38" t="n"/>
      <c r="G1681" s="33" t="inlineStr">
        <is>
          <t>( x )</t>
        </is>
      </c>
      <c r="H1681" s="34" t="inlineStr">
        <is>
          <t>L4 · Dependencias resueltas — Cumple</t>
        </is>
      </c>
      <c r="I1681" s="8" t="n"/>
      <c r="J1681" s="23" t="n"/>
      <c r="L1681" s="35" t="inlineStr">
        <is>
          <t>(    )</t>
        </is>
      </c>
      <c r="M1681" s="34" t="inlineStr">
        <is>
          <t>El reporte ha advertido que es referencial y no reemplaza a la planilla</t>
        </is>
      </c>
      <c r="N1681" s="8" t="n"/>
      <c r="O1681" s="23" t="n"/>
    </row>
    <row r="1682" ht="36" customHeight="1">
      <c r="G1682" s="33" t="inlineStr">
        <is>
          <t>( x )</t>
        </is>
      </c>
      <c r="H1682" s="34" t="inlineStr">
        <is>
          <t>L5 · Estimada por los Developers — Cumple</t>
        </is>
      </c>
      <c r="I1682" s="8" t="n"/>
      <c r="J1682" s="23" t="n"/>
      <c r="L1682" s="36" t="inlineStr">
        <is>
          <t>Mitad técnica: Además, los diez criterios T1 a T10 de la hoja «3. Criterios DoR y DoD», sin excepción</t>
        </is>
      </c>
      <c r="M1682" s="37" t="n"/>
      <c r="N1682" s="37" t="n"/>
      <c r="O1682" s="38" t="n"/>
    </row>
    <row r="1683" ht="30" customHeight="1">
      <c r="G1683" s="33" t="inlineStr">
        <is>
          <t>( x )</t>
        </is>
      </c>
      <c r="H1683" s="34" t="inlineStr">
        <is>
          <t>L6 · Cabe en un sprint (8 puntos o menos) — Cumple</t>
        </is>
      </c>
      <c r="I1683" s="8" t="n"/>
      <c r="J1683" s="23" t="n"/>
    </row>
    <row r="1684" ht="30" customHeight="1">
      <c r="G1684" s="33" t="inlineStr">
        <is>
          <t>( x )</t>
        </is>
      </c>
      <c r="H1684" s="34" t="inlineStr">
        <is>
          <t>L7 · Reglas de dominio identificadas — Cumple</t>
        </is>
      </c>
      <c r="I1684" s="8" t="n"/>
      <c r="J1684" s="23" t="n"/>
    </row>
    <row r="1685" ht="30" customHeight="1">
      <c r="G1685" s="33" t="inlineStr">
        <is>
          <t>( x )</t>
        </is>
      </c>
      <c r="H1685" s="34" t="inlineStr">
        <is>
          <t>L8 · Datos de prueba disponibles — Cumple</t>
        </is>
      </c>
      <c r="I1685" s="8" t="n"/>
      <c r="J1685" s="23" t="n"/>
    </row>
    <row r="1686" ht="30" customHeight="1">
      <c r="G1686" s="33" t="inlineStr">
        <is>
          <t>( x )</t>
        </is>
      </c>
      <c r="H1686" s="34" t="inlineStr">
        <is>
          <t>L9 · Responsable técnico asignado — Cumple</t>
        </is>
      </c>
      <c r="I1686" s="8" t="n"/>
      <c r="J1686" s="23" t="n"/>
    </row>
    <row r="1687" ht="30" customHeight="1">
      <c r="G1687" s="33" t="inlineStr">
        <is>
          <t>( x )</t>
        </is>
      </c>
      <c r="H1687" s="34" t="inlineStr">
        <is>
          <t>L10 · Recursos identificados — Cumple: Víctor Luján + equipo de desarrollo y datos de prueba</t>
        </is>
      </c>
      <c r="I1687" s="8" t="n"/>
      <c r="J1687" s="23" t="n"/>
    </row>
    <row r="1688" ht="30" customHeight="1">
      <c r="G1688" s="33" t="inlineStr">
        <is>
          <t>( x )</t>
        </is>
      </c>
      <c r="H1688" s="34" t="inlineStr">
        <is>
          <t>L11 · Requisitos técnicos de programación definidos — Cumple: React 18, TypeScript y Vite</t>
        </is>
      </c>
      <c r="I1688" s="8" t="n"/>
      <c r="J1688" s="23" t="n"/>
    </row>
    <row r="1689" ht="30" customHeight="1">
      <c r="G1689" s="33" t="inlineStr">
        <is>
          <t>( x )</t>
        </is>
      </c>
      <c r="H1689" s="34" t="inlineStr">
        <is>
          <t>L12 · Accesos de red disponibles — Cumple: GitHub (repositorio privado), API y PostgreSQL en docker compose</t>
        </is>
      </c>
      <c r="I1689" s="8" t="n"/>
      <c r="J1689" s="23" t="n"/>
    </row>
    <row r="1690" ht="36" customHeight="1">
      <c r="G1690" s="39" t="inlineStr">
        <is>
          <t>Riesgos: Costo por hora inventado · se toma del reporte de recursos del S10</t>
        </is>
      </c>
      <c r="H1690" s="8" t="n"/>
      <c r="I1690" s="8" t="n"/>
      <c r="J1690" s="23" t="n"/>
    </row>
    <row r="1691" ht="36" customHeight="1">
      <c r="G1691" s="32" t="inlineStr">
        <is>
          <t>Proveedores de servicio: Navegador · API en la nube (PostgreSQL gestionado, capa gratuita)</t>
        </is>
      </c>
      <c r="H1691" s="8" t="n"/>
      <c r="I1691" s="8" t="n"/>
      <c r="J1691" s="23" t="n"/>
    </row>
    <row r="1692" ht="36" customHeight="1">
      <c r="G1692" s="36" t="inlineStr">
        <is>
          <t>Costos: 5 pts ≈ 10 horas-persona (1 punto ≈ 2 h) · servicios externos: S/ 0 (planes gratuitos)</t>
        </is>
      </c>
      <c r="H1692" s="37" t="n"/>
      <c r="I1692" s="37" t="n"/>
      <c r="J1692" s="38" t="n"/>
    </row>
    <row r="1695">
      <c r="B1695" s="18" t="inlineStr">
        <is>
          <t>HU-66 · Hacer solicitud de materiales</t>
        </is>
      </c>
    </row>
    <row r="1696" ht="18" customHeight="1">
      <c r="B1696" s="19" t="inlineStr">
        <is>
          <t>TARJETA 1 · Historia de usuario</t>
        </is>
      </c>
      <c r="C1696" s="20" t="n"/>
      <c r="D1696" s="20" t="n"/>
      <c r="E1696" s="21" t="n"/>
      <c r="G1696" s="19" t="inlineStr">
        <is>
          <t>TARJETA 2 · Definición de Listo</t>
        </is>
      </c>
      <c r="H1696" s="20" t="n"/>
      <c r="I1696" s="20" t="n"/>
      <c r="J1696" s="21" t="n"/>
      <c r="L1696" s="19" t="inlineStr">
        <is>
          <t>TARJETA 3 · Definición de Terminado</t>
        </is>
      </c>
      <c r="M1696" s="20" t="n"/>
      <c r="N1696" s="20" t="n"/>
      <c r="O1696" s="21" t="n"/>
    </row>
    <row r="1697" ht="28" customHeight="1">
      <c r="B1697" s="22" t="inlineStr">
        <is>
          <t>La unidad con la que se planifica, se estima y se acepta el trabajo</t>
        </is>
      </c>
      <c r="C1697" s="8" t="n"/>
      <c r="D1697" s="8" t="n"/>
      <c r="E1697" s="23" t="n"/>
      <c r="G1697" s="22" t="inlineStr">
        <is>
          <t>El enfoque está en la consideración del equipo de desarrollo sobre si la historia está lista para un Sprint</t>
        </is>
      </c>
      <c r="H1697" s="8" t="n"/>
      <c r="I1697" s="8" t="n"/>
      <c r="J1697" s="23" t="n"/>
      <c r="L1697" s="22" t="inlineStr">
        <is>
          <t>El enfoque está en la aceptación del cliente cuando se le entregue el producto</t>
        </is>
      </c>
      <c r="M1697" s="8" t="n"/>
      <c r="N1697" s="8" t="n"/>
      <c r="O1697" s="23" t="n"/>
    </row>
    <row r="1698">
      <c r="B1698" s="24" t="inlineStr">
        <is>
          <t>Historia de usuario</t>
        </is>
      </c>
      <c r="C1698" s="8" t="n"/>
      <c r="D1698" s="25" t="inlineStr">
        <is>
          <t>Prioridad</t>
        </is>
      </c>
      <c r="E1698" s="26" t="inlineStr">
        <is>
          <t>Estimación</t>
        </is>
      </c>
      <c r="G1698" s="24" t="inlineStr">
        <is>
          <t>Historia de usuario</t>
        </is>
      </c>
      <c r="H1698" s="8" t="n"/>
      <c r="I1698" s="25" t="inlineStr">
        <is>
          <t>Prioridad</t>
        </is>
      </c>
      <c r="J1698" s="26" t="inlineStr">
        <is>
          <t>Estimación</t>
        </is>
      </c>
      <c r="L1698" s="24" t="inlineStr">
        <is>
          <t>Historia de usuario</t>
        </is>
      </c>
      <c r="M1698" s="8" t="n"/>
      <c r="N1698" s="25" t="inlineStr">
        <is>
          <t>Prioridad</t>
        </is>
      </c>
      <c r="O1698" s="26" t="inlineStr">
        <is>
          <t>Estimación</t>
        </is>
      </c>
    </row>
    <row r="1699" ht="30" customHeight="1">
      <c r="B1699" s="27" t="inlineStr">
        <is>
          <t>HU-66 · Hacer solicitud de materiales</t>
        </is>
      </c>
      <c r="C1699" s="8" t="n"/>
      <c r="D1699" s="9" t="inlineStr">
        <is>
          <t>Alta</t>
        </is>
      </c>
      <c r="E1699" s="28" t="inlineStr">
        <is>
          <t>5 pts</t>
        </is>
      </c>
      <c r="G1699" s="27" t="inlineStr">
        <is>
          <t>HU-66 · Hacer solicitud de materiales</t>
        </is>
      </c>
      <c r="H1699" s="8" t="n"/>
      <c r="I1699" s="9" t="inlineStr">
        <is>
          <t>Alta</t>
        </is>
      </c>
      <c r="J1699" s="28" t="inlineStr">
        <is>
          <t>5 pts</t>
        </is>
      </c>
      <c r="L1699" s="27" t="inlineStr">
        <is>
          <t>HU-66 · Hacer solicitud de materiales</t>
        </is>
      </c>
      <c r="M1699" s="8" t="n"/>
      <c r="N1699" s="9" t="inlineStr">
        <is>
          <t>Alta</t>
        </is>
      </c>
      <c r="O1699" s="28" t="inlineStr">
        <is>
          <t>5 pts</t>
        </is>
      </c>
    </row>
    <row r="1700">
      <c r="B1700" s="29" t="inlineStr">
        <is>
          <t>Descripción:</t>
        </is>
      </c>
      <c r="C1700" s="8" t="n"/>
      <c r="D1700" s="8" t="n"/>
      <c r="E1700" s="23" t="n"/>
      <c r="G1700" s="29" t="inlineStr">
        <is>
          <t>Descripción:</t>
        </is>
      </c>
      <c r="H1700" s="8" t="n"/>
      <c r="I1700" s="8" t="n"/>
      <c r="J1700" s="23" t="n"/>
      <c r="L1700" s="29" t="inlineStr">
        <is>
          <t>Descripción:</t>
        </is>
      </c>
      <c r="M1700" s="8" t="n"/>
      <c r="N1700" s="8" t="n"/>
      <c r="O1700" s="23" t="n"/>
    </row>
    <row r="1701" ht="28" customHeight="1">
      <c r="B1701" s="30" t="inlineStr">
        <is>
          <t>Como residente de obra, quiero registrar la solicitud de materiales con las cantidades que necesita la obra, para que la compra parta de un pedido escrito y no de una coordinación verbal.</t>
        </is>
      </c>
      <c r="C1701" s="8" t="n"/>
      <c r="D1701" s="8" t="n"/>
      <c r="E1701" s="23" t="n"/>
      <c r="G1701" s="30" t="inlineStr">
        <is>
          <t>Como residente de obra, quiero registrar la solicitud de materiales con las cantidades que necesita la obra, para que la compra parta de un pedido escrito y no de una coordinación verbal.</t>
        </is>
      </c>
      <c r="H1701" s="8" t="n"/>
      <c r="I1701" s="8" t="n"/>
      <c r="J1701" s="23" t="n"/>
      <c r="L1701" s="30" t="inlineStr">
        <is>
          <t>Como residente de obra, quiero registrar la solicitud de materiales con las cantidades que necesita la obra, para que la compra parta de un pedido escrito y no de una coordinación verbal.</t>
        </is>
      </c>
      <c r="M1701" s="8" t="n"/>
      <c r="N1701" s="8" t="n"/>
      <c r="O1701" s="23" t="n"/>
    </row>
    <row r="1702" ht="28" customHeight="1">
      <c r="B1702" s="31" t="n"/>
      <c r="C1702" s="8" t="n"/>
      <c r="D1702" s="8" t="n"/>
      <c r="E1702" s="23" t="n"/>
      <c r="G1702" s="31" t="n"/>
      <c r="H1702" s="8" t="n"/>
      <c r="I1702" s="8" t="n"/>
      <c r="J1702" s="23" t="n"/>
      <c r="L1702" s="31" t="n"/>
      <c r="M1702" s="8" t="n"/>
      <c r="N1702" s="8" t="n"/>
      <c r="O1702" s="23" t="n"/>
    </row>
    <row r="1703">
      <c r="B1703" s="29" t="inlineStr">
        <is>
          <t>Ficha de la historia</t>
        </is>
      </c>
      <c r="C1703" s="8" t="n"/>
      <c r="D1703" s="8" t="n"/>
      <c r="E1703" s="23" t="n"/>
      <c r="G1703" s="29" t="inlineStr">
        <is>
          <t>Criterios de listo:</t>
        </is>
      </c>
      <c r="H1703" s="8" t="n"/>
      <c r="I1703" s="8" t="n"/>
      <c r="J1703" s="23" t="n"/>
      <c r="L1703" s="29" t="inlineStr">
        <is>
          <t>Condiciones finales (se marcan cuando el PO acepta la HU en la Review):</t>
        </is>
      </c>
      <c r="M1703" s="8" t="n"/>
      <c r="N1703" s="8" t="n"/>
      <c r="O1703" s="23" t="n"/>
    </row>
    <row r="1704" ht="30" customHeight="1">
      <c r="B1704" s="32" t="inlineStr">
        <is>
          <t>Épica: E2. Planificar el requerimiento y la reposición de recursos</t>
        </is>
      </c>
      <c r="C1704" s="8" t="n"/>
      <c r="D1704" s="8" t="n"/>
      <c r="E1704" s="23" t="n"/>
      <c r="G1704" s="33" t="inlineStr">
        <is>
          <t>( x )</t>
        </is>
      </c>
      <c r="H1704" s="34" t="inlineStr">
        <is>
          <t>L1 · Redactada en el formato acordado — Cumple</t>
        </is>
      </c>
      <c r="I1704" s="8" t="n"/>
      <c r="J1704" s="23" t="n"/>
      <c r="L1704" s="35" t="inlineStr">
        <is>
          <t>(    )</t>
        </is>
      </c>
      <c r="M1704" s="34" t="inlineStr">
        <is>
          <t>La solicitud se ha registrado con número correlativo, fecha y quién la emitió</t>
        </is>
      </c>
      <c r="N1704" s="8" t="n"/>
      <c r="O1704" s="23" t="n"/>
    </row>
    <row r="1705" ht="30" customHeight="1">
      <c r="B1705" s="32" t="inlineStr">
        <is>
          <t>Módulo: S10 / Requerimientos</t>
        </is>
      </c>
      <c r="C1705" s="8" t="n"/>
      <c r="D1705" s="8" t="n"/>
      <c r="E1705" s="23" t="n"/>
      <c r="G1705" s="33" t="inlineStr">
        <is>
          <t>( x )</t>
        </is>
      </c>
      <c r="H1705" s="34" t="inlineStr">
        <is>
          <t>L2 · Nombre corto en forma de acción — Cumple</t>
        </is>
      </c>
      <c r="I1705" s="8" t="n"/>
      <c r="J1705" s="23" t="n"/>
      <c r="L1705" s="35" t="inlineStr">
        <is>
          <t>(    )</t>
        </is>
      </c>
      <c r="M1705" s="34" t="inlineStr">
        <is>
          <t>Las cantidades han quedado en unidad de compra</t>
        </is>
      </c>
      <c r="N1705" s="8" t="n"/>
      <c r="O1705" s="23" t="n"/>
    </row>
    <row r="1706" ht="30" customHeight="1">
      <c r="B1706" s="32" t="inlineStr">
        <is>
          <t>Responsable técnico: Web · Víctor Luján</t>
        </is>
      </c>
      <c r="C1706" s="8" t="n"/>
      <c r="D1706" s="8" t="n"/>
      <c r="E1706" s="23" t="n"/>
      <c r="G1706" s="33" t="inlineStr">
        <is>
          <t>( x )</t>
        </is>
      </c>
      <c r="H1706" s="34" t="inlineStr">
        <is>
          <t>L3 · Criterios de aceptación escritos — Cumple</t>
        </is>
      </c>
      <c r="I1706" s="8" t="n"/>
      <c r="J1706" s="23" t="n"/>
      <c r="L1706" s="35" t="inlineStr">
        <is>
          <t>(    )</t>
        </is>
      </c>
      <c r="M1706" s="34" t="inlineStr">
        <is>
          <t>La solicitud se ha armado desde la sugerencia de reposición sin reescribirla</t>
        </is>
      </c>
      <c r="N1706" s="8" t="n"/>
      <c r="O1706" s="23" t="n"/>
    </row>
    <row r="1707" ht="30" customHeight="1">
      <c r="B1707" s="36" t="inlineStr">
        <is>
          <t>Depende de: HU-27</t>
        </is>
      </c>
      <c r="C1707" s="37" t="n"/>
      <c r="D1707" s="37" t="n"/>
      <c r="E1707" s="38" t="n"/>
      <c r="G1707" s="33" t="inlineStr">
        <is>
          <t>( x )</t>
        </is>
      </c>
      <c r="H1707" s="34" t="inlineStr">
        <is>
          <t>L4 · Dependencias resueltas — Cumple</t>
        </is>
      </c>
      <c r="I1707" s="8" t="n"/>
      <c r="J1707" s="23" t="n"/>
      <c r="L1707" s="35" t="inlineStr">
        <is>
          <t>(    )</t>
        </is>
      </c>
      <c r="M1707" s="34" t="inlineStr">
        <is>
          <t>Una solicitud emitida se ha anulado con su motivo, sin editarse</t>
        </is>
      </c>
      <c r="N1707" s="8" t="n"/>
      <c r="O1707" s="23" t="n"/>
    </row>
    <row r="1708" ht="36" customHeight="1">
      <c r="G1708" s="33" t="inlineStr">
        <is>
          <t>( x )</t>
        </is>
      </c>
      <c r="H1708" s="34" t="inlineStr">
        <is>
          <t>L5 · Estimada por los Developers — Cumple</t>
        </is>
      </c>
      <c r="I1708" s="8" t="n"/>
      <c r="J1708" s="23" t="n"/>
      <c r="L1708" s="36" t="inlineStr">
        <is>
          <t>Mitad técnica: Además, los diez criterios T1 a T10 de la hoja «3. Criterios DoR y DoD», sin excepción</t>
        </is>
      </c>
      <c r="M1708" s="37" t="n"/>
      <c r="N1708" s="37" t="n"/>
      <c r="O1708" s="38" t="n"/>
    </row>
    <row r="1709" ht="30" customHeight="1">
      <c r="G1709" s="33" t="inlineStr">
        <is>
          <t>( x )</t>
        </is>
      </c>
      <c r="H1709" s="34" t="inlineStr">
        <is>
          <t>L6 · Cabe en un sprint (8 puntos o menos) — Cumple</t>
        </is>
      </c>
      <c r="I1709" s="8" t="n"/>
      <c r="J1709" s="23" t="n"/>
    </row>
    <row r="1710" ht="30" customHeight="1">
      <c r="G1710" s="33" t="inlineStr">
        <is>
          <t>( x )</t>
        </is>
      </c>
      <c r="H1710" s="34" t="inlineStr">
        <is>
          <t>L7 · Reglas de dominio identificadas — Cumple</t>
        </is>
      </c>
      <c r="I1710" s="8" t="n"/>
      <c r="J1710" s="23" t="n"/>
    </row>
    <row r="1711" ht="30" customHeight="1">
      <c r="G1711" s="33" t="inlineStr">
        <is>
          <t>( x )</t>
        </is>
      </c>
      <c r="H1711" s="34" t="inlineStr">
        <is>
          <t>L8 · Datos de prueba disponibles — Cumple</t>
        </is>
      </c>
      <c r="I1711" s="8" t="n"/>
      <c r="J1711" s="23" t="n"/>
    </row>
    <row r="1712" ht="30" customHeight="1">
      <c r="G1712" s="33" t="inlineStr">
        <is>
          <t>( x )</t>
        </is>
      </c>
      <c r="H1712" s="34" t="inlineStr">
        <is>
          <t>L9 · Responsable técnico asignado — Cumple</t>
        </is>
      </c>
      <c r="I1712" s="8" t="n"/>
      <c r="J1712" s="23" t="n"/>
    </row>
    <row r="1713" ht="30" customHeight="1">
      <c r="G1713" s="33" t="inlineStr">
        <is>
          <t>( x )</t>
        </is>
      </c>
      <c r="H1713" s="34" t="inlineStr">
        <is>
          <t>L10 · Recursos identificados — Cumple: Víctor Luján + equipo de desarrollo y datos de prueba</t>
        </is>
      </c>
      <c r="I1713" s="8" t="n"/>
      <c r="J1713" s="23" t="n"/>
    </row>
    <row r="1714" ht="30" customHeight="1">
      <c r="G1714" s="33" t="inlineStr">
        <is>
          <t>( x )</t>
        </is>
      </c>
      <c r="H1714" s="34" t="inlineStr">
        <is>
          <t>L11 · Requisitos técnicos de programación definidos — Cumple: React 18, TypeScript y Vite</t>
        </is>
      </c>
      <c r="I1714" s="8" t="n"/>
      <c r="J1714" s="23" t="n"/>
    </row>
    <row r="1715" ht="30" customHeight="1">
      <c r="G1715" s="33" t="inlineStr">
        <is>
          <t>( x )</t>
        </is>
      </c>
      <c r="H1715" s="34" t="inlineStr">
        <is>
          <t>L12 · Accesos de red disponibles — Cumple: GitHub (repositorio privado), API y PostgreSQL en docker compose</t>
        </is>
      </c>
      <c r="I1715" s="8" t="n"/>
      <c r="J1715" s="23" t="n"/>
    </row>
    <row r="1716" ht="36" customHeight="1">
      <c r="G1716" s="39" t="inlineStr">
        <is>
          <t>Riesgos: Confundir la solicitud con el requerimiento total del S10 · son documentos distintos</t>
        </is>
      </c>
      <c r="H1716" s="8" t="n"/>
      <c r="I1716" s="8" t="n"/>
      <c r="J1716" s="23" t="n"/>
    </row>
    <row r="1717" ht="36" customHeight="1">
      <c r="G1717" s="32" t="inlineStr">
        <is>
          <t>Proveedores de servicio: Navegador · API en la nube (PostgreSQL gestionado, capa gratuita)</t>
        </is>
      </c>
      <c r="H1717" s="8" t="n"/>
      <c r="I1717" s="8" t="n"/>
      <c r="J1717" s="23" t="n"/>
    </row>
    <row r="1718" ht="36" customHeight="1">
      <c r="G1718" s="36" t="inlineStr">
        <is>
          <t>Costos: 5 pts ≈ 10 horas-persona (1 punto ≈ 2 h) · servicios externos: S/ 0 (planes gratuitos)</t>
        </is>
      </c>
      <c r="H1718" s="37" t="n"/>
      <c r="I1718" s="37" t="n"/>
      <c r="J1718" s="38" t="n"/>
    </row>
    <row r="1721">
      <c r="B1721" s="18" t="inlineStr">
        <is>
          <t>HU-67 · Seguir estado de la solicitud</t>
        </is>
      </c>
    </row>
    <row r="1722" ht="18" customHeight="1">
      <c r="B1722" s="19" t="inlineStr">
        <is>
          <t>TARJETA 1 · Historia de usuario</t>
        </is>
      </c>
      <c r="C1722" s="20" t="n"/>
      <c r="D1722" s="20" t="n"/>
      <c r="E1722" s="21" t="n"/>
      <c r="G1722" s="19" t="inlineStr">
        <is>
          <t>TARJETA 2 · Definición de Listo</t>
        </is>
      </c>
      <c r="H1722" s="20" t="n"/>
      <c r="I1722" s="20" t="n"/>
      <c r="J1722" s="21" t="n"/>
      <c r="L1722" s="19" t="inlineStr">
        <is>
          <t>TARJETA 3 · Definición de Terminado</t>
        </is>
      </c>
      <c r="M1722" s="20" t="n"/>
      <c r="N1722" s="20" t="n"/>
      <c r="O1722" s="21" t="n"/>
    </row>
    <row r="1723" ht="28" customHeight="1">
      <c r="B1723" s="22" t="inlineStr">
        <is>
          <t>La unidad con la que se planifica, se estima y se acepta el trabajo</t>
        </is>
      </c>
      <c r="C1723" s="8" t="n"/>
      <c r="D1723" s="8" t="n"/>
      <c r="E1723" s="23" t="n"/>
      <c r="G1723" s="22" t="inlineStr">
        <is>
          <t>El enfoque está en la consideración del equipo de desarrollo sobre si la historia está lista para un Sprint</t>
        </is>
      </c>
      <c r="H1723" s="8" t="n"/>
      <c r="I1723" s="8" t="n"/>
      <c r="J1723" s="23" t="n"/>
      <c r="L1723" s="22" t="inlineStr">
        <is>
          <t>El enfoque está en la aceptación del cliente cuando se le entregue el producto</t>
        </is>
      </c>
      <c r="M1723" s="8" t="n"/>
      <c r="N1723" s="8" t="n"/>
      <c r="O1723" s="23" t="n"/>
    </row>
    <row r="1724">
      <c r="B1724" s="24" t="inlineStr">
        <is>
          <t>Historia de usuario</t>
        </is>
      </c>
      <c r="C1724" s="8" t="n"/>
      <c r="D1724" s="25" t="inlineStr">
        <is>
          <t>Prioridad</t>
        </is>
      </c>
      <c r="E1724" s="26" t="inlineStr">
        <is>
          <t>Estimación</t>
        </is>
      </c>
      <c r="G1724" s="24" t="inlineStr">
        <is>
          <t>Historia de usuario</t>
        </is>
      </c>
      <c r="H1724" s="8" t="n"/>
      <c r="I1724" s="25" t="inlineStr">
        <is>
          <t>Prioridad</t>
        </is>
      </c>
      <c r="J1724" s="26" t="inlineStr">
        <is>
          <t>Estimación</t>
        </is>
      </c>
      <c r="L1724" s="24" t="inlineStr">
        <is>
          <t>Historia de usuario</t>
        </is>
      </c>
      <c r="M1724" s="8" t="n"/>
      <c r="N1724" s="25" t="inlineStr">
        <is>
          <t>Prioridad</t>
        </is>
      </c>
      <c r="O1724" s="26" t="inlineStr">
        <is>
          <t>Estimación</t>
        </is>
      </c>
    </row>
    <row r="1725" ht="30" customHeight="1">
      <c r="B1725" s="27" t="inlineStr">
        <is>
          <t>HU-67 · Seguir estado de la solicitud</t>
        </is>
      </c>
      <c r="C1725" s="8" t="n"/>
      <c r="D1725" s="9" t="inlineStr">
        <is>
          <t>Alta</t>
        </is>
      </c>
      <c r="E1725" s="28" t="inlineStr">
        <is>
          <t>3 pts</t>
        </is>
      </c>
      <c r="G1725" s="27" t="inlineStr">
        <is>
          <t>HU-67 · Seguir estado de la solicitud</t>
        </is>
      </c>
      <c r="H1725" s="8" t="n"/>
      <c r="I1725" s="9" t="inlineStr">
        <is>
          <t>Alta</t>
        </is>
      </c>
      <c r="J1725" s="28" t="inlineStr">
        <is>
          <t>3 pts</t>
        </is>
      </c>
      <c r="L1725" s="27" t="inlineStr">
        <is>
          <t>HU-67 · Seguir estado de la solicitud</t>
        </is>
      </c>
      <c r="M1725" s="8" t="n"/>
      <c r="N1725" s="9" t="inlineStr">
        <is>
          <t>Alta</t>
        </is>
      </c>
      <c r="O1725" s="28" t="inlineStr">
        <is>
          <t>3 pts</t>
        </is>
      </c>
    </row>
    <row r="1726">
      <c r="B1726" s="29" t="inlineStr">
        <is>
          <t>Descripción:</t>
        </is>
      </c>
      <c r="C1726" s="8" t="n"/>
      <c r="D1726" s="8" t="n"/>
      <c r="E1726" s="23" t="n"/>
      <c r="G1726" s="29" t="inlineStr">
        <is>
          <t>Descripción:</t>
        </is>
      </c>
      <c r="H1726" s="8" t="n"/>
      <c r="I1726" s="8" t="n"/>
      <c r="J1726" s="23" t="n"/>
      <c r="L1726" s="29" t="inlineStr">
        <is>
          <t>Descripción:</t>
        </is>
      </c>
      <c r="M1726" s="8" t="n"/>
      <c r="N1726" s="8" t="n"/>
      <c r="O1726" s="23" t="n"/>
    </row>
    <row r="1727" ht="28" customHeight="1">
      <c r="B1727" s="30" t="inlineStr">
        <is>
          <t>Como residente de obra, quiero consultar en qué estado está cada solicitud de materiales, para saber qué falta llegar sin tener que preguntar por teléfono.</t>
        </is>
      </c>
      <c r="C1727" s="8" t="n"/>
      <c r="D1727" s="8" t="n"/>
      <c r="E1727" s="23" t="n"/>
      <c r="G1727" s="30" t="inlineStr">
        <is>
          <t>Como residente de obra, quiero consultar en qué estado está cada solicitud de materiales, para saber qué falta llegar sin tener que preguntar por teléfono.</t>
        </is>
      </c>
      <c r="H1727" s="8" t="n"/>
      <c r="I1727" s="8" t="n"/>
      <c r="J1727" s="23" t="n"/>
      <c r="L1727" s="30" t="inlineStr">
        <is>
          <t>Como residente de obra, quiero consultar en qué estado está cada solicitud de materiales, para saber qué falta llegar sin tener que preguntar por teléfono.</t>
        </is>
      </c>
      <c r="M1727" s="8" t="n"/>
      <c r="N1727" s="8" t="n"/>
      <c r="O1727" s="23" t="n"/>
    </row>
    <row r="1728" ht="28" customHeight="1">
      <c r="B1728" s="31" t="n"/>
      <c r="C1728" s="8" t="n"/>
      <c r="D1728" s="8" t="n"/>
      <c r="E1728" s="23" t="n"/>
      <c r="G1728" s="31" t="n"/>
      <c r="H1728" s="8" t="n"/>
      <c r="I1728" s="8" t="n"/>
      <c r="J1728" s="23" t="n"/>
      <c r="L1728" s="31" t="n"/>
      <c r="M1728" s="8" t="n"/>
      <c r="N1728" s="8" t="n"/>
      <c r="O1728" s="23" t="n"/>
    </row>
    <row r="1729">
      <c r="B1729" s="29" t="inlineStr">
        <is>
          <t>Ficha de la historia</t>
        </is>
      </c>
      <c r="C1729" s="8" t="n"/>
      <c r="D1729" s="8" t="n"/>
      <c r="E1729" s="23" t="n"/>
      <c r="G1729" s="29" t="inlineStr">
        <is>
          <t>Criterios de listo:</t>
        </is>
      </c>
      <c r="H1729" s="8" t="n"/>
      <c r="I1729" s="8" t="n"/>
      <c r="J1729" s="23" t="n"/>
      <c r="L1729" s="29" t="inlineStr">
        <is>
          <t>Condiciones finales (se marcan cuando el PO acepta la HU en la Review):</t>
        </is>
      </c>
      <c r="M1729" s="8" t="n"/>
      <c r="N1729" s="8" t="n"/>
      <c r="O1729" s="23" t="n"/>
    </row>
    <row r="1730" ht="30" customHeight="1">
      <c r="B1730" s="32" t="inlineStr">
        <is>
          <t>Épica: E2. Planificar el requerimiento y la reposición de recursos</t>
        </is>
      </c>
      <c r="C1730" s="8" t="n"/>
      <c r="D1730" s="8" t="n"/>
      <c r="E1730" s="23" t="n"/>
      <c r="G1730" s="33" t="inlineStr">
        <is>
          <t>( x )</t>
        </is>
      </c>
      <c r="H1730" s="34" t="inlineStr">
        <is>
          <t>L1 · Redactada en el formato acordado — Cumple</t>
        </is>
      </c>
      <c r="I1730" s="8" t="n"/>
      <c r="J1730" s="23" t="n"/>
      <c r="L1730" s="35" t="inlineStr">
        <is>
          <t>(    )</t>
        </is>
      </c>
      <c r="M1730" s="34" t="inlineStr">
        <is>
          <t>Se ha consultado el estado de cada solicitud: solicitada, comprada en parte, comprada, recibida en parte o recibida</t>
        </is>
      </c>
      <c r="N1730" s="8" t="n"/>
      <c r="O1730" s="23" t="n"/>
    </row>
    <row r="1731" ht="30" customHeight="1">
      <c r="B1731" s="32" t="inlineStr">
        <is>
          <t>Módulo: S10 / Requerimientos</t>
        </is>
      </c>
      <c r="C1731" s="8" t="n"/>
      <c r="D1731" s="8" t="n"/>
      <c r="E1731" s="23" t="n"/>
      <c r="G1731" s="33" t="inlineStr">
        <is>
          <t>( x )</t>
        </is>
      </c>
      <c r="H1731" s="34" t="inlineStr">
        <is>
          <t>L2 · Nombre corto en forma de acción — Cumple</t>
        </is>
      </c>
      <c r="I1731" s="8" t="n"/>
      <c r="J1731" s="23" t="n"/>
      <c r="L1731" s="35" t="inlineStr">
        <is>
          <t>(    )</t>
        </is>
      </c>
      <c r="M1731" s="34" t="inlineStr">
        <is>
          <t>Cada línea ha mostrado lo solicitado, lo comprado y lo recibido</t>
        </is>
      </c>
      <c r="N1731" s="8" t="n"/>
      <c r="O1731" s="23" t="n"/>
    </row>
    <row r="1732" ht="30" customHeight="1">
      <c r="B1732" s="32" t="inlineStr">
        <is>
          <t>Responsable técnico: Web · Víctor Luján</t>
        </is>
      </c>
      <c r="C1732" s="8" t="n"/>
      <c r="D1732" s="8" t="n"/>
      <c r="E1732" s="23" t="n"/>
      <c r="G1732" s="33" t="inlineStr">
        <is>
          <t>( x )</t>
        </is>
      </c>
      <c r="H1732" s="34" t="inlineStr">
        <is>
          <t>L3 · Criterios de aceptación escritos — Cumple</t>
        </is>
      </c>
      <c r="I1732" s="8" t="n"/>
      <c r="J1732" s="23" t="n"/>
      <c r="L1732" s="35" t="inlineStr">
        <is>
          <t>(    )</t>
        </is>
      </c>
      <c r="M1732" s="34" t="inlineStr">
        <is>
          <t>El estado lo ha calculado el servidor y no se ha podido editar a mano</t>
        </is>
      </c>
      <c r="N1732" s="8" t="n"/>
      <c r="O1732" s="23" t="n"/>
    </row>
    <row r="1733" ht="36" customHeight="1">
      <c r="B1733" s="36" t="inlineStr">
        <is>
          <t>Depende de: HU-66</t>
        </is>
      </c>
      <c r="C1733" s="37" t="n"/>
      <c r="D1733" s="37" t="n"/>
      <c r="E1733" s="38" t="n"/>
      <c r="G1733" s="33" t="inlineStr">
        <is>
          <t>( x )</t>
        </is>
      </c>
      <c r="H1733" s="34" t="inlineStr">
        <is>
          <t>L4 · Dependencias resueltas — Cumple</t>
        </is>
      </c>
      <c r="I1733" s="8" t="n"/>
      <c r="J1733" s="23" t="n"/>
      <c r="L1733" s="36" t="inlineStr">
        <is>
          <t>Mitad técnica: Además, los diez criterios T1 a T10 de la hoja «3. Criterios DoR y DoD», sin excepción</t>
        </is>
      </c>
      <c r="M1733" s="37" t="n"/>
      <c r="N1733" s="37" t="n"/>
      <c r="O1733" s="38" t="n"/>
    </row>
    <row r="1734" ht="30" customHeight="1">
      <c r="G1734" s="33" t="inlineStr">
        <is>
          <t>( x )</t>
        </is>
      </c>
      <c r="H1734" s="34" t="inlineStr">
        <is>
          <t>L5 · Estimada por los Developers — Cumple</t>
        </is>
      </c>
      <c r="I1734" s="8" t="n"/>
      <c r="J1734" s="23" t="n"/>
    </row>
    <row r="1735" ht="30" customHeight="1">
      <c r="G1735" s="33" t="inlineStr">
        <is>
          <t>( x )</t>
        </is>
      </c>
      <c r="H1735" s="34" t="inlineStr">
        <is>
          <t>L6 · Cabe en un sprint (8 puntos o menos) — Cumple</t>
        </is>
      </c>
      <c r="I1735" s="8" t="n"/>
      <c r="J1735" s="23" t="n"/>
    </row>
    <row r="1736" ht="30" customHeight="1">
      <c r="G1736" s="33" t="inlineStr">
        <is>
          <t>( x )</t>
        </is>
      </c>
      <c r="H1736" s="34" t="inlineStr">
        <is>
          <t>L7 · Reglas de dominio identificadas — Cumple</t>
        </is>
      </c>
      <c r="I1736" s="8" t="n"/>
      <c r="J1736" s="23" t="n"/>
    </row>
    <row r="1737" ht="30" customHeight="1">
      <c r="G1737" s="33" t="inlineStr">
        <is>
          <t>( x )</t>
        </is>
      </c>
      <c r="H1737" s="34" t="inlineStr">
        <is>
          <t>L8 · Datos de prueba disponibles — Cumple</t>
        </is>
      </c>
      <c r="I1737" s="8" t="n"/>
      <c r="J1737" s="23" t="n"/>
    </row>
    <row r="1738" ht="30" customHeight="1">
      <c r="G1738" s="33" t="inlineStr">
        <is>
          <t>( x )</t>
        </is>
      </c>
      <c r="H1738" s="34" t="inlineStr">
        <is>
          <t>L9 · Responsable técnico asignado — Cumple</t>
        </is>
      </c>
      <c r="I1738" s="8" t="n"/>
      <c r="J1738" s="23" t="n"/>
    </row>
    <row r="1739" ht="30" customHeight="1">
      <c r="G1739" s="33" t="inlineStr">
        <is>
          <t>( x )</t>
        </is>
      </c>
      <c r="H1739" s="34" t="inlineStr">
        <is>
          <t>L10 · Recursos identificados — Cumple: Víctor Luján + equipo de desarrollo y datos de prueba</t>
        </is>
      </c>
      <c r="I1739" s="8" t="n"/>
      <c r="J1739" s="23" t="n"/>
    </row>
    <row r="1740" ht="30" customHeight="1">
      <c r="G1740" s="33" t="inlineStr">
        <is>
          <t>( x )</t>
        </is>
      </c>
      <c r="H1740" s="34" t="inlineStr">
        <is>
          <t>L11 · Requisitos técnicos de programación definidos — Cumple: React 18, TypeScript y Vite</t>
        </is>
      </c>
      <c r="I1740" s="8" t="n"/>
      <c r="J1740" s="23" t="n"/>
    </row>
    <row r="1741" ht="30" customHeight="1">
      <c r="G1741" s="33" t="inlineStr">
        <is>
          <t>( x )</t>
        </is>
      </c>
      <c r="H1741" s="34" t="inlineStr">
        <is>
          <t>L12 · Accesos de red disponibles — Cumple: GitHub (repositorio privado), API y PostgreSQL en docker compose</t>
        </is>
      </c>
      <c r="I1741" s="8" t="n"/>
      <c r="J1741" s="23" t="n"/>
    </row>
    <row r="1742" ht="36" customHeight="1">
      <c r="G1742" s="39" t="inlineStr">
        <is>
          <t>Riesgos: Estado editado a mano que no cuadra · lo calcula el servidor desde compras y recepciones</t>
        </is>
      </c>
      <c r="H1742" s="8" t="n"/>
      <c r="I1742" s="8" t="n"/>
      <c r="J1742" s="23" t="n"/>
    </row>
    <row r="1743" ht="36" customHeight="1">
      <c r="G1743" s="32" t="inlineStr">
        <is>
          <t>Proveedores de servicio: Navegador · API en la nube (PostgreSQL gestionado, capa gratuita)</t>
        </is>
      </c>
      <c r="H1743" s="8" t="n"/>
      <c r="I1743" s="8" t="n"/>
      <c r="J1743" s="23" t="n"/>
    </row>
    <row r="1744" ht="36" customHeight="1">
      <c r="G1744" s="36" t="inlineStr">
        <is>
          <t>Costos: 3 pts ≈ 6 horas-persona (1 punto ≈ 2 h) · servicios externos: S/ 0 (planes gratuitos)</t>
        </is>
      </c>
      <c r="H1744" s="37" t="n"/>
      <c r="I1744" s="37" t="n"/>
      <c r="J1744" s="38" t="n"/>
    </row>
    <row r="1747">
      <c r="B1747" s="18" t="inlineStr">
        <is>
          <t>HT-01 · Desplegar el ambiente de pruebas (historia técnica)</t>
        </is>
      </c>
    </row>
    <row r="1748" ht="18" customHeight="1">
      <c r="B1748" s="19" t="inlineStr">
        <is>
          <t>TARJETA 1 · Historia técnica</t>
        </is>
      </c>
      <c r="C1748" s="20" t="n"/>
      <c r="D1748" s="20" t="n"/>
      <c r="E1748" s="21" t="n"/>
      <c r="G1748" s="19" t="inlineStr">
        <is>
          <t>TARJETA 2 · Definición de Listo</t>
        </is>
      </c>
      <c r="H1748" s="20" t="n"/>
      <c r="I1748" s="20" t="n"/>
      <c r="J1748" s="21" t="n"/>
      <c r="L1748" s="19" t="inlineStr">
        <is>
          <t>TARJETA 3 · Definición de Terminado</t>
        </is>
      </c>
      <c r="M1748" s="20" t="n"/>
      <c r="N1748" s="20" t="n"/>
      <c r="O1748" s="21" t="n"/>
    </row>
    <row r="1749" ht="28" customHeight="1">
      <c r="B1749" s="22" t="inlineStr">
        <is>
          <t>Habilita a las HU de usuario: no entrega una función al usuario final</t>
        </is>
      </c>
      <c r="C1749" s="8" t="n"/>
      <c r="D1749" s="8" t="n"/>
      <c r="E1749" s="23" t="n"/>
      <c r="G1749" s="22" t="inlineStr">
        <is>
          <t>El enfoque está en la consideración del equipo de desarrollo sobre si la historia está lista para un Sprint</t>
        </is>
      </c>
      <c r="H1749" s="8" t="n"/>
      <c r="I1749" s="8" t="n"/>
      <c r="J1749" s="23" t="n"/>
      <c r="L1749" s="22" t="inlineStr">
        <is>
          <t>El enfoque está en la aceptación del cliente cuando se le entregue el producto</t>
        </is>
      </c>
      <c r="M1749" s="8" t="n"/>
      <c r="N1749" s="8" t="n"/>
      <c r="O1749" s="23" t="n"/>
    </row>
    <row r="1750">
      <c r="B1750" s="24" t="inlineStr">
        <is>
          <t>Historia de usuario</t>
        </is>
      </c>
      <c r="C1750" s="8" t="n"/>
      <c r="D1750" s="25" t="inlineStr">
        <is>
          <t>Prioridad</t>
        </is>
      </c>
      <c r="E1750" s="26" t="inlineStr">
        <is>
          <t>Estimación</t>
        </is>
      </c>
      <c r="G1750" s="24" t="inlineStr">
        <is>
          <t>Historia de usuario</t>
        </is>
      </c>
      <c r="H1750" s="8" t="n"/>
      <c r="I1750" s="25" t="inlineStr">
        <is>
          <t>Prioridad</t>
        </is>
      </c>
      <c r="J1750" s="26" t="inlineStr">
        <is>
          <t>Estimación</t>
        </is>
      </c>
      <c r="L1750" s="24" t="inlineStr">
        <is>
          <t>Historia de usuario</t>
        </is>
      </c>
      <c r="M1750" s="8" t="n"/>
      <c r="N1750" s="25" t="inlineStr">
        <is>
          <t>Prioridad</t>
        </is>
      </c>
      <c r="O1750" s="26" t="inlineStr">
        <is>
          <t>Estimación</t>
        </is>
      </c>
    </row>
    <row r="1751" ht="30" customHeight="1">
      <c r="B1751" s="27" t="inlineStr">
        <is>
          <t>HT-01 · Desplegar el ambiente de pruebas</t>
        </is>
      </c>
      <c r="C1751" s="8" t="n"/>
      <c r="D1751" s="9" t="inlineStr">
        <is>
          <t>Crítica</t>
        </is>
      </c>
      <c r="E1751" s="28" t="inlineStr">
        <is>
          <t>Por votar</t>
        </is>
      </c>
      <c r="G1751" s="27" t="inlineStr">
        <is>
          <t>HT-01 · Desplegar el ambiente de pruebas</t>
        </is>
      </c>
      <c r="H1751" s="8" t="n"/>
      <c r="I1751" s="9" t="inlineStr">
        <is>
          <t>Crítica</t>
        </is>
      </c>
      <c r="J1751" s="28" t="inlineStr">
        <is>
          <t>Por votar</t>
        </is>
      </c>
      <c r="L1751" s="27" t="inlineStr">
        <is>
          <t>HT-01 · Desplegar el ambiente de pruebas</t>
        </is>
      </c>
      <c r="M1751" s="8" t="n"/>
      <c r="N1751" s="9" t="inlineStr">
        <is>
          <t>Crítica</t>
        </is>
      </c>
      <c r="O1751" s="28" t="inlineStr">
        <is>
          <t>Por votar</t>
        </is>
      </c>
    </row>
    <row r="1752">
      <c r="B1752" s="29" t="inlineStr">
        <is>
          <t>Descripción:</t>
        </is>
      </c>
      <c r="C1752" s="8" t="n"/>
      <c r="D1752" s="8" t="n"/>
      <c r="E1752" s="23" t="n"/>
      <c r="G1752" s="29" t="inlineStr">
        <is>
          <t>Descripción:</t>
        </is>
      </c>
      <c r="H1752" s="8" t="n"/>
      <c r="I1752" s="8" t="n"/>
      <c r="J1752" s="23" t="n"/>
      <c r="L1752" s="29" t="inlineStr">
        <is>
          <t>Descripción:</t>
        </is>
      </c>
      <c r="M1752" s="8" t="n"/>
      <c r="N1752" s="8" t="n"/>
      <c r="O1752" s="23" t="n"/>
    </row>
    <row r="1753" ht="28" customHeight="1">
      <c r="B1753" s="30" t="inlineStr">
        <is>
          <t>Como equipo de desarrollo, quiero un ambiente de pruebas desplegado con la API, la base de datos y la web, para que cada HU se pruebe y se acepte fuera de la máquina de quien la programó.</t>
        </is>
      </c>
      <c r="C1753" s="8" t="n"/>
      <c r="D1753" s="8" t="n"/>
      <c r="E1753" s="23" t="n"/>
      <c r="G1753" s="30" t="inlineStr">
        <is>
          <t>Como equipo de desarrollo, quiero un ambiente de pruebas desplegado con la API, la base de datos y la web, para que cada HU se pruebe y se acepte fuera de la máquina de quien la programó.</t>
        </is>
      </c>
      <c r="H1753" s="8" t="n"/>
      <c r="I1753" s="8" t="n"/>
      <c r="J1753" s="23" t="n"/>
      <c r="L1753" s="30" t="inlineStr">
        <is>
          <t>Como equipo de desarrollo, quiero un ambiente de pruebas desplegado con la API, la base de datos y la web, para que cada HU se pruebe y se acepte fuera de la máquina de quien la programó.</t>
        </is>
      </c>
      <c r="M1753" s="8" t="n"/>
      <c r="N1753" s="8" t="n"/>
      <c r="O1753" s="23" t="n"/>
    </row>
    <row r="1754" ht="28" customHeight="1">
      <c r="B1754" s="31" t="n"/>
      <c r="C1754" s="8" t="n"/>
      <c r="D1754" s="8" t="n"/>
      <c r="E1754" s="23" t="n"/>
      <c r="G1754" s="31" t="n"/>
      <c r="H1754" s="8" t="n"/>
      <c r="I1754" s="8" t="n"/>
      <c r="J1754" s="23" t="n"/>
      <c r="L1754" s="31" t="n"/>
      <c r="M1754" s="8" t="n"/>
      <c r="N1754" s="8" t="n"/>
      <c r="O1754" s="23" t="n"/>
    </row>
    <row r="1755">
      <c r="B1755" s="29" t="inlineStr">
        <is>
          <t>Ficha de la historia</t>
        </is>
      </c>
      <c r="C1755" s="8" t="n"/>
      <c r="D1755" s="8" t="n"/>
      <c r="E1755" s="23" t="n"/>
      <c r="G1755" s="29" t="inlineStr">
        <is>
          <t>Criterios de listo:</t>
        </is>
      </c>
      <c r="H1755" s="8" t="n"/>
      <c r="I1755" s="8" t="n"/>
      <c r="J1755" s="23" t="n"/>
      <c r="L1755" s="29" t="inlineStr">
        <is>
          <t>Condiciones finales (se marcan cuando el PO acepta la historia en la Review):</t>
        </is>
      </c>
      <c r="M1755" s="8" t="n"/>
      <c r="N1755" s="8" t="n"/>
      <c r="O1755" s="23" t="n"/>
    </row>
    <row r="1756" ht="30" customHeight="1">
      <c r="B1756" s="32" t="inlineStr">
        <is>
          <t>Tipo: Historia técnica (habilitadora)</t>
        </is>
      </c>
      <c r="C1756" s="8" t="n"/>
      <c r="D1756" s="8" t="n"/>
      <c r="E1756" s="23" t="n"/>
      <c r="G1756" s="33" t="inlineStr">
        <is>
          <t>( x )</t>
        </is>
      </c>
      <c r="H1756" s="34" t="inlineStr">
        <is>
          <t>L1 · Redactada en el formato acordado — Cumple</t>
        </is>
      </c>
      <c r="I1756" s="8" t="n"/>
      <c r="J1756" s="23" t="n"/>
      <c r="L1756" s="35" t="inlineStr">
        <is>
          <t>(    )</t>
        </is>
      </c>
      <c r="M1756" s="34" t="inlineStr">
        <is>
          <t>La API, la base y la web se han desplegado y responden desde una URL pública de pruebas</t>
        </is>
      </c>
      <c r="N1756" s="8" t="n"/>
      <c r="O1756" s="23" t="n"/>
    </row>
    <row r="1757" ht="30" customHeight="1">
      <c r="B1757" s="32" t="inlineStr">
        <is>
          <t>Qué destraba: T8 de la DoD: sin esto ninguna HU llega a Done</t>
        </is>
      </c>
      <c r="C1757" s="8" t="n"/>
      <c r="D1757" s="8" t="n"/>
      <c r="E1757" s="23" t="n"/>
      <c r="G1757" s="33" t="inlineStr">
        <is>
          <t>( x )</t>
        </is>
      </c>
      <c r="H1757" s="34" t="inlineStr">
        <is>
          <t>L2 · Nombre corto en forma de acción — Cumple</t>
        </is>
      </c>
      <c r="I1757" s="8" t="n"/>
      <c r="J1757" s="23" t="n"/>
      <c r="L1757" s="35" t="inlineStr">
        <is>
          <t>(    )</t>
        </is>
      </c>
      <c r="M1757" s="34" t="inlineStr">
        <is>
          <t>Las migraciones se han aplicado solas al desplegar (alembic upgrade head)</t>
        </is>
      </c>
      <c r="N1757" s="8" t="n"/>
      <c r="O1757" s="23" t="n"/>
    </row>
    <row r="1758" ht="30" customHeight="1">
      <c r="B1758" s="32" t="inlineStr">
        <is>
          <t>Responsable técnico: Fernando</t>
        </is>
      </c>
      <c r="C1758" s="8" t="n"/>
      <c r="D1758" s="8" t="n"/>
      <c r="E1758" s="23" t="n"/>
      <c r="G1758" s="33" t="inlineStr">
        <is>
          <t>( x )</t>
        </is>
      </c>
      <c r="H1758" s="34" t="inlineStr">
        <is>
          <t>L3 · Criterios de aceptación escritos — Cumple</t>
        </is>
      </c>
      <c r="I1758" s="8" t="n"/>
      <c r="J1758" s="23" t="n"/>
      <c r="L1758" s="35" t="inlineStr">
        <is>
          <t>(    )</t>
        </is>
      </c>
      <c r="M1758" s="34" t="inlineStr">
        <is>
          <t>Los secretos se han configurado como variables del servicio, nunca en el repositorio</t>
        </is>
      </c>
      <c r="N1758" s="8" t="n"/>
      <c r="O1758" s="23" t="n"/>
    </row>
    <row r="1759" ht="30" customHeight="1">
      <c r="B1759" s="36" t="inlineStr">
        <is>
          <t>Depende de: Ninguna</t>
        </is>
      </c>
      <c r="C1759" s="37" t="n"/>
      <c r="D1759" s="37" t="n"/>
      <c r="E1759" s="38" t="n"/>
      <c r="G1759" s="33" t="inlineStr">
        <is>
          <t>( x )</t>
        </is>
      </c>
      <c r="H1759" s="34" t="inlineStr">
        <is>
          <t>L4 · Dependencias resueltas — Cumple</t>
        </is>
      </c>
      <c r="I1759" s="8" t="n"/>
      <c r="J1759" s="23" t="n"/>
      <c r="L1759" s="35" t="inlineStr">
        <is>
          <t>(    )</t>
        </is>
      </c>
      <c r="M1759" s="34" t="inlineStr">
        <is>
          <t>Alguien distinto de quien desplegó ha entrado a la web de pruebas y ha iniciado sesión</t>
        </is>
      </c>
      <c r="N1759" s="8" t="n"/>
      <c r="O1759" s="23" t="n"/>
    </row>
    <row r="1760" ht="36" customHeight="1">
      <c r="G1760" s="40" t="inlineStr">
        <is>
          <t>( x )</t>
        </is>
      </c>
      <c r="H1760" s="34" t="inlineStr">
        <is>
          <t>L5 · Estimada por los Developers — No cumple: se vota en el próximo Daily</t>
        </is>
      </c>
      <c r="I1760" s="8" t="n"/>
      <c r="J1760" s="23" t="n"/>
      <c r="L1760" s="36" t="inlineStr">
        <is>
          <t>Mitad técnica: Además, los criterios T1 a T10 de la hoja «3. Criterios DoR y DoD» que le apliquen</t>
        </is>
      </c>
      <c r="M1760" s="37" t="n"/>
      <c r="N1760" s="37" t="n"/>
      <c r="O1760" s="38" t="n"/>
    </row>
    <row r="1761" ht="30" customHeight="1">
      <c r="G1761" s="33" t="inlineStr">
        <is>
          <t>( x )</t>
        </is>
      </c>
      <c r="H1761" s="34" t="inlineStr">
        <is>
          <t>L6 · Cabe en un sprint (8 puntos o menos) — Cumple</t>
        </is>
      </c>
      <c r="I1761" s="8" t="n"/>
      <c r="J1761" s="23" t="n"/>
    </row>
    <row r="1762" ht="30" customHeight="1">
      <c r="G1762" s="33" t="inlineStr">
        <is>
          <t>( x )</t>
        </is>
      </c>
      <c r="H1762" s="34" t="inlineStr">
        <is>
          <t>L7 · Reglas de dominio identificadas — Cumple</t>
        </is>
      </c>
      <c r="I1762" s="8" t="n"/>
      <c r="J1762" s="23" t="n"/>
    </row>
    <row r="1763" ht="30" customHeight="1">
      <c r="G1763" s="33" t="inlineStr">
        <is>
          <t>( x )</t>
        </is>
      </c>
      <c r="H1763" s="34" t="inlineStr">
        <is>
          <t>L8 · Datos de prueba disponibles — Cumple</t>
        </is>
      </c>
      <c r="I1763" s="8" t="n"/>
      <c r="J1763" s="23" t="n"/>
    </row>
    <row r="1764" ht="30" customHeight="1">
      <c r="G1764" s="33" t="inlineStr">
        <is>
          <t>( x )</t>
        </is>
      </c>
      <c r="H1764" s="34" t="inlineStr">
        <is>
          <t>L9 · Responsable técnico asignado — Cumple</t>
        </is>
      </c>
      <c r="I1764" s="8" t="n"/>
      <c r="J1764" s="23" t="n"/>
    </row>
    <row r="1765" ht="30" customHeight="1">
      <c r="G1765" s="33" t="inlineStr">
        <is>
          <t>( x )</t>
        </is>
      </c>
      <c r="H1765" s="34" t="inlineStr">
        <is>
          <t>L10 · Recursos identificados — Cumple: Fernando + equipo</t>
        </is>
      </c>
      <c r="I1765" s="8" t="n"/>
      <c r="J1765" s="23" t="n"/>
    </row>
    <row r="1766" ht="30" customHeight="1">
      <c r="G1766" s="33" t="inlineStr">
        <is>
          <t>( x )</t>
        </is>
      </c>
      <c r="H1766" s="34" t="inlineStr">
        <is>
          <t>L11 · Requisitos técnicos de programación definidos — Cumple: FastAPI, Docker y la consola del hosting</t>
        </is>
      </c>
      <c r="I1766" s="8" t="n"/>
      <c r="J1766" s="23" t="n"/>
    </row>
    <row r="1767" ht="30" customHeight="1">
      <c r="G1767" s="33" t="inlineStr">
        <is>
          <t>( x )</t>
        </is>
      </c>
      <c r="H1767" s="34" t="inlineStr">
        <is>
          <t>L12 · Accesos de red disponibles — Cumple: Hosting en la nube (capa gratuita) · PostgreSQL gestionado · GitHub</t>
        </is>
      </c>
      <c r="I1767" s="8" t="n"/>
      <c r="J1767" s="23" t="n"/>
    </row>
    <row r="1768" ht="36" customHeight="1">
      <c r="G1768" s="39" t="inlineStr">
        <is>
          <t>Riesgos: Planes gratuitos con límites o que se duermen · elegir uno con base gestionada y documentar cómo despertarlo</t>
        </is>
      </c>
      <c r="H1768" s="8" t="n"/>
      <c r="I1768" s="8" t="n"/>
      <c r="J1768" s="23" t="n"/>
    </row>
    <row r="1769" ht="36" customHeight="1">
      <c r="G1769" s="32" t="inlineStr">
        <is>
          <t>Proveedores de servicio: Hosting en la nube (capa gratuita) · PostgreSQL gestionado · GitHub</t>
        </is>
      </c>
      <c r="H1769" s="8" t="n"/>
      <c r="I1769" s="8" t="n"/>
      <c r="J1769" s="23" t="n"/>
    </row>
    <row r="1770" ht="36" customHeight="1">
      <c r="G1770" s="36" t="inlineStr">
        <is>
          <t>Costos: S/ 0 en servicios (planes gratuitos) · horas según la votación</t>
        </is>
      </c>
      <c r="H1770" s="37" t="n"/>
      <c r="I1770" s="37" t="n"/>
      <c r="J1770" s="38" t="n"/>
    </row>
    <row r="1773">
      <c r="B1773" s="18" t="inlineStr">
        <is>
          <t>HT-02 · Configurar la integración continua (historia técnica)</t>
        </is>
      </c>
    </row>
    <row r="1774" ht="18" customHeight="1">
      <c r="B1774" s="19" t="inlineStr">
        <is>
          <t>TARJETA 1 · Historia técnica</t>
        </is>
      </c>
      <c r="C1774" s="20" t="n"/>
      <c r="D1774" s="20" t="n"/>
      <c r="E1774" s="21" t="n"/>
      <c r="G1774" s="19" t="inlineStr">
        <is>
          <t>TARJETA 2 · Definición de Listo</t>
        </is>
      </c>
      <c r="H1774" s="20" t="n"/>
      <c r="I1774" s="20" t="n"/>
      <c r="J1774" s="21" t="n"/>
      <c r="L1774" s="19" t="inlineStr">
        <is>
          <t>TARJETA 3 · Definición de Terminado</t>
        </is>
      </c>
      <c r="M1774" s="20" t="n"/>
      <c r="N1774" s="20" t="n"/>
      <c r="O1774" s="21" t="n"/>
    </row>
    <row r="1775" ht="28" customHeight="1">
      <c r="B1775" s="22" t="inlineStr">
        <is>
          <t>Habilita a las HU de usuario: no entrega una función al usuario final</t>
        </is>
      </c>
      <c r="C1775" s="8" t="n"/>
      <c r="D1775" s="8" t="n"/>
      <c r="E1775" s="23" t="n"/>
      <c r="G1775" s="22" t="inlineStr">
        <is>
          <t>El enfoque está en la consideración del equipo de desarrollo sobre si la historia está lista para un Sprint</t>
        </is>
      </c>
      <c r="H1775" s="8" t="n"/>
      <c r="I1775" s="8" t="n"/>
      <c r="J1775" s="23" t="n"/>
      <c r="L1775" s="22" t="inlineStr">
        <is>
          <t>El enfoque está en la aceptación del cliente cuando se le entregue el producto</t>
        </is>
      </c>
      <c r="M1775" s="8" t="n"/>
      <c r="N1775" s="8" t="n"/>
      <c r="O1775" s="23" t="n"/>
    </row>
    <row r="1776">
      <c r="B1776" s="24" t="inlineStr">
        <is>
          <t>Historia de usuario</t>
        </is>
      </c>
      <c r="C1776" s="8" t="n"/>
      <c r="D1776" s="25" t="inlineStr">
        <is>
          <t>Prioridad</t>
        </is>
      </c>
      <c r="E1776" s="26" t="inlineStr">
        <is>
          <t>Estimación</t>
        </is>
      </c>
      <c r="G1776" s="24" t="inlineStr">
        <is>
          <t>Historia de usuario</t>
        </is>
      </c>
      <c r="H1776" s="8" t="n"/>
      <c r="I1776" s="25" t="inlineStr">
        <is>
          <t>Prioridad</t>
        </is>
      </c>
      <c r="J1776" s="26" t="inlineStr">
        <is>
          <t>Estimación</t>
        </is>
      </c>
      <c r="L1776" s="24" t="inlineStr">
        <is>
          <t>Historia de usuario</t>
        </is>
      </c>
      <c r="M1776" s="8" t="n"/>
      <c r="N1776" s="25" t="inlineStr">
        <is>
          <t>Prioridad</t>
        </is>
      </c>
      <c r="O1776" s="26" t="inlineStr">
        <is>
          <t>Estimación</t>
        </is>
      </c>
    </row>
    <row r="1777" ht="30" customHeight="1">
      <c r="B1777" s="27" t="inlineStr">
        <is>
          <t>HT-02 · Configurar la integración continua</t>
        </is>
      </c>
      <c r="C1777" s="8" t="n"/>
      <c r="D1777" s="9" t="inlineStr">
        <is>
          <t>Alta</t>
        </is>
      </c>
      <c r="E1777" s="28" t="inlineStr">
        <is>
          <t>Por votar</t>
        </is>
      </c>
      <c r="G1777" s="27" t="inlineStr">
        <is>
          <t>HT-02 · Configurar la integración continua</t>
        </is>
      </c>
      <c r="H1777" s="8" t="n"/>
      <c r="I1777" s="9" t="inlineStr">
        <is>
          <t>Alta</t>
        </is>
      </c>
      <c r="J1777" s="28" t="inlineStr">
        <is>
          <t>Por votar</t>
        </is>
      </c>
      <c r="L1777" s="27" t="inlineStr">
        <is>
          <t>HT-02 · Configurar la integración continua</t>
        </is>
      </c>
      <c r="M1777" s="8" t="n"/>
      <c r="N1777" s="9" t="inlineStr">
        <is>
          <t>Alta</t>
        </is>
      </c>
      <c r="O1777" s="28" t="inlineStr">
        <is>
          <t>Por votar</t>
        </is>
      </c>
    </row>
    <row r="1778">
      <c r="B1778" s="29" t="inlineStr">
        <is>
          <t>Descripción:</t>
        </is>
      </c>
      <c r="C1778" s="8" t="n"/>
      <c r="D1778" s="8" t="n"/>
      <c r="E1778" s="23" t="n"/>
      <c r="G1778" s="29" t="inlineStr">
        <is>
          <t>Descripción:</t>
        </is>
      </c>
      <c r="H1778" s="8" t="n"/>
      <c r="I1778" s="8" t="n"/>
      <c r="J1778" s="23" t="n"/>
      <c r="L1778" s="29" t="inlineStr">
        <is>
          <t>Descripción:</t>
        </is>
      </c>
      <c r="M1778" s="8" t="n"/>
      <c r="N1778" s="8" t="n"/>
      <c r="O1778" s="23" t="n"/>
    </row>
    <row r="1779" ht="28" customHeight="1">
      <c r="B1779" s="30" t="inlineStr">
        <is>
          <t>Como equipo de desarrollo, quiero que cada Pull Request compile y corra las pruebas automáticamente, para detectar un error antes de que llegue a main.</t>
        </is>
      </c>
      <c r="C1779" s="8" t="n"/>
      <c r="D1779" s="8" t="n"/>
      <c r="E1779" s="23" t="n"/>
      <c r="G1779" s="30" t="inlineStr">
        <is>
          <t>Como equipo de desarrollo, quiero que cada Pull Request compile y corra las pruebas automáticamente, para detectar un error antes de que llegue a main.</t>
        </is>
      </c>
      <c r="H1779" s="8" t="n"/>
      <c r="I1779" s="8" t="n"/>
      <c r="J1779" s="23" t="n"/>
      <c r="L1779" s="30" t="inlineStr">
        <is>
          <t>Como equipo de desarrollo, quiero que cada Pull Request compile y corra las pruebas automáticamente, para detectar un error antes de que llegue a main.</t>
        </is>
      </c>
      <c r="M1779" s="8" t="n"/>
      <c r="N1779" s="8" t="n"/>
      <c r="O1779" s="23" t="n"/>
    </row>
    <row r="1780" ht="28" customHeight="1">
      <c r="B1780" s="31" t="n"/>
      <c r="C1780" s="8" t="n"/>
      <c r="D1780" s="8" t="n"/>
      <c r="E1780" s="23" t="n"/>
      <c r="G1780" s="31" t="n"/>
      <c r="H1780" s="8" t="n"/>
      <c r="I1780" s="8" t="n"/>
      <c r="J1780" s="23" t="n"/>
      <c r="L1780" s="31" t="n"/>
      <c r="M1780" s="8" t="n"/>
      <c r="N1780" s="8" t="n"/>
      <c r="O1780" s="23" t="n"/>
    </row>
    <row r="1781">
      <c r="B1781" s="29" t="inlineStr">
        <is>
          <t>Ficha de la historia</t>
        </is>
      </c>
      <c r="C1781" s="8" t="n"/>
      <c r="D1781" s="8" t="n"/>
      <c r="E1781" s="23" t="n"/>
      <c r="G1781" s="29" t="inlineStr">
        <is>
          <t>Criterios de listo:</t>
        </is>
      </c>
      <c r="H1781" s="8" t="n"/>
      <c r="I1781" s="8" t="n"/>
      <c r="J1781" s="23" t="n"/>
      <c r="L1781" s="29" t="inlineStr">
        <is>
          <t>Condiciones finales (se marcan cuando el PO acepta la historia en la Review):</t>
        </is>
      </c>
      <c r="M1781" s="8" t="n"/>
      <c r="N1781" s="8" t="n"/>
      <c r="O1781" s="23" t="n"/>
    </row>
    <row r="1782" ht="30" customHeight="1">
      <c r="B1782" s="32" t="inlineStr">
        <is>
          <t>Tipo: Historia técnica (habilitadora)</t>
        </is>
      </c>
      <c r="C1782" s="8" t="n"/>
      <c r="D1782" s="8" t="n"/>
      <c r="E1782" s="23" t="n"/>
      <c r="G1782" s="33" t="inlineStr">
        <is>
          <t>( x )</t>
        </is>
      </c>
      <c r="H1782" s="34" t="inlineStr">
        <is>
          <t>L1 · Redactada en el formato acordado — Cumple</t>
        </is>
      </c>
      <c r="I1782" s="8" t="n"/>
      <c r="J1782" s="23" t="n"/>
      <c r="L1782" s="35" t="inlineStr">
        <is>
          <t>(    )</t>
        </is>
      </c>
      <c r="M1782" s="34" t="inlineStr">
        <is>
          <t>Cada PR ha ejecutado el build de la web y las pruebas de la API y del microservicio</t>
        </is>
      </c>
      <c r="N1782" s="8" t="n"/>
      <c r="O1782" s="23" t="n"/>
    </row>
    <row r="1783" ht="30" customHeight="1">
      <c r="B1783" s="32" t="inlineStr">
        <is>
          <t>Qué destraba: T1 y T5 de la DoD</t>
        </is>
      </c>
      <c r="C1783" s="8" t="n"/>
      <c r="D1783" s="8" t="n"/>
      <c r="E1783" s="23" t="n"/>
      <c r="G1783" s="33" t="inlineStr">
        <is>
          <t>( x )</t>
        </is>
      </c>
      <c r="H1783" s="34" t="inlineStr">
        <is>
          <t>L2 · Nombre corto en forma de acción — Cumple</t>
        </is>
      </c>
      <c r="I1783" s="8" t="n"/>
      <c r="J1783" s="23" t="n"/>
      <c r="L1783" s="35" t="inlineStr">
        <is>
          <t>(    )</t>
        </is>
      </c>
      <c r="M1783" s="34" t="inlineStr">
        <is>
          <t>Un PR con una prueba fallida ha quedado marcado en rojo y no se ha podido fusionar</t>
        </is>
      </c>
      <c r="N1783" s="8" t="n"/>
      <c r="O1783" s="23" t="n"/>
    </row>
    <row r="1784" ht="30" customHeight="1">
      <c r="B1784" s="32" t="inlineStr">
        <is>
          <t>Responsable técnico: Adiel</t>
        </is>
      </c>
      <c r="C1784" s="8" t="n"/>
      <c r="D1784" s="8" t="n"/>
      <c r="E1784" s="23" t="n"/>
      <c r="G1784" s="33" t="inlineStr">
        <is>
          <t>( x )</t>
        </is>
      </c>
      <c r="H1784" s="34" t="inlineStr">
        <is>
          <t>L3 · Criterios de aceptación escritos — Cumple</t>
        </is>
      </c>
      <c r="I1784" s="8" t="n"/>
      <c r="J1784" s="23" t="n"/>
      <c r="L1784" s="35" t="inlineStr">
        <is>
          <t>(    )</t>
        </is>
      </c>
      <c r="M1784" s="34" t="inlineStr">
        <is>
          <t>El resultado se ha visto en el propio PR</t>
        </is>
      </c>
      <c r="N1784" s="8" t="n"/>
      <c r="O1784" s="23" t="n"/>
    </row>
    <row r="1785" ht="36" customHeight="1">
      <c r="B1785" s="36" t="inlineStr">
        <is>
          <t>Depende de: Ninguna</t>
        </is>
      </c>
      <c r="C1785" s="37" t="n"/>
      <c r="D1785" s="37" t="n"/>
      <c r="E1785" s="38" t="n"/>
      <c r="G1785" s="33" t="inlineStr">
        <is>
          <t>( x )</t>
        </is>
      </c>
      <c r="H1785" s="34" t="inlineStr">
        <is>
          <t>L4 · Dependencias resueltas — Cumple</t>
        </is>
      </c>
      <c r="I1785" s="8" t="n"/>
      <c r="J1785" s="23" t="n"/>
      <c r="L1785" s="36" t="inlineStr">
        <is>
          <t>Mitad técnica: Además, los criterios T1 a T10 de la hoja «3. Criterios DoR y DoD» que le apliquen</t>
        </is>
      </c>
      <c r="M1785" s="37" t="n"/>
      <c r="N1785" s="37" t="n"/>
      <c r="O1785" s="38" t="n"/>
    </row>
    <row r="1786" ht="30" customHeight="1">
      <c r="G1786" s="40" t="inlineStr">
        <is>
          <t>( x )</t>
        </is>
      </c>
      <c r="H1786" s="34" t="inlineStr">
        <is>
          <t>L5 · Estimada por los Developers — No cumple: se vota en el próximo Daily</t>
        </is>
      </c>
      <c r="I1786" s="8" t="n"/>
      <c r="J1786" s="23" t="n"/>
    </row>
    <row r="1787" ht="30" customHeight="1">
      <c r="G1787" s="33" t="inlineStr">
        <is>
          <t>( x )</t>
        </is>
      </c>
      <c r="H1787" s="34" t="inlineStr">
        <is>
          <t>L6 · Cabe en un sprint (8 puntos o menos) — Cumple</t>
        </is>
      </c>
      <c r="I1787" s="8" t="n"/>
      <c r="J1787" s="23" t="n"/>
    </row>
    <row r="1788" ht="30" customHeight="1">
      <c r="G1788" s="33" t="inlineStr">
        <is>
          <t>( x )</t>
        </is>
      </c>
      <c r="H1788" s="34" t="inlineStr">
        <is>
          <t>L7 · Reglas de dominio identificadas — Cumple</t>
        </is>
      </c>
      <c r="I1788" s="8" t="n"/>
      <c r="J1788" s="23" t="n"/>
    </row>
    <row r="1789" ht="30" customHeight="1">
      <c r="G1789" s="33" t="inlineStr">
        <is>
          <t>( x )</t>
        </is>
      </c>
      <c r="H1789" s="34" t="inlineStr">
        <is>
          <t>L8 · Datos de prueba disponibles — Cumple</t>
        </is>
      </c>
      <c r="I1789" s="8" t="n"/>
      <c r="J1789" s="23" t="n"/>
    </row>
    <row r="1790" ht="30" customHeight="1">
      <c r="G1790" s="33" t="inlineStr">
        <is>
          <t>( x )</t>
        </is>
      </c>
      <c r="H1790" s="34" t="inlineStr">
        <is>
          <t>L9 · Responsable técnico asignado — Cumple</t>
        </is>
      </c>
      <c r="I1790" s="8" t="n"/>
      <c r="J1790" s="23" t="n"/>
    </row>
    <row r="1791" ht="30" customHeight="1">
      <c r="G1791" s="33" t="inlineStr">
        <is>
          <t>( x )</t>
        </is>
      </c>
      <c r="H1791" s="34" t="inlineStr">
        <is>
          <t>L10 · Recursos identificados — Cumple: Adiel + equipo</t>
        </is>
      </c>
      <c r="I1791" s="8" t="n"/>
      <c r="J1791" s="23" t="n"/>
    </row>
    <row r="1792" ht="30" customHeight="1">
      <c r="G1792" s="33" t="inlineStr">
        <is>
          <t>( x )</t>
        </is>
      </c>
      <c r="H1792" s="34" t="inlineStr">
        <is>
          <t>L11 · Requisitos técnicos de programación definidos — Cumple: FastAPI, pytest y GitHub Actions</t>
        </is>
      </c>
      <c r="I1792" s="8" t="n"/>
      <c r="J1792" s="23" t="n"/>
    </row>
    <row r="1793" ht="30" customHeight="1">
      <c r="G1793" s="33" t="inlineStr">
        <is>
          <t>( x )</t>
        </is>
      </c>
      <c r="H1793" s="34" t="inlineStr">
        <is>
          <t>L12 · Accesos de red disponibles — Cumple: GitHub Actions (minutos gratuitos)</t>
        </is>
      </c>
      <c r="I1793" s="8" t="n"/>
      <c r="J1793" s="23" t="n"/>
    </row>
    <row r="1794" ht="36" customHeight="1">
      <c r="G1794" s="39" t="inlineStr">
        <is>
          <t>Riesgos: Pruebas lentas o que dependen de la base · separar las de dominio, que corren sin base</t>
        </is>
      </c>
      <c r="H1794" s="8" t="n"/>
      <c r="I1794" s="8" t="n"/>
      <c r="J1794" s="23" t="n"/>
    </row>
    <row r="1795" ht="36" customHeight="1">
      <c r="G1795" s="32" t="inlineStr">
        <is>
          <t>Proveedores de servicio: GitHub Actions (minutos gratuitos)</t>
        </is>
      </c>
      <c r="H1795" s="8" t="n"/>
      <c r="I1795" s="8" t="n"/>
      <c r="J1795" s="23" t="n"/>
    </row>
    <row r="1796" ht="36" customHeight="1">
      <c r="G1796" s="36" t="inlineStr">
        <is>
          <t>Costos: S/ 0 en servicios (planes gratuitos) · horas según la votación</t>
        </is>
      </c>
      <c r="H1796" s="37" t="n"/>
      <c r="I1796" s="37" t="n"/>
      <c r="J1796" s="38" t="n"/>
    </row>
    <row r="1799">
      <c r="B1799" s="18" t="inlineStr">
        <is>
          <t>HT-03 · Proteger el repositorio y main (historia técnica)</t>
        </is>
      </c>
    </row>
    <row r="1800" ht="18" customHeight="1">
      <c r="B1800" s="19" t="inlineStr">
        <is>
          <t>TARJETA 1 · Historia técnica</t>
        </is>
      </c>
      <c r="C1800" s="20" t="n"/>
      <c r="D1800" s="20" t="n"/>
      <c r="E1800" s="21" t="n"/>
      <c r="G1800" s="19" t="inlineStr">
        <is>
          <t>TARJETA 2 · Definición de Listo</t>
        </is>
      </c>
      <c r="H1800" s="20" t="n"/>
      <c r="I1800" s="20" t="n"/>
      <c r="J1800" s="21" t="n"/>
      <c r="L1800" s="19" t="inlineStr">
        <is>
          <t>TARJETA 3 · Definición de Terminado</t>
        </is>
      </c>
      <c r="M1800" s="20" t="n"/>
      <c r="N1800" s="20" t="n"/>
      <c r="O1800" s="21" t="n"/>
    </row>
    <row r="1801" ht="28" customHeight="1">
      <c r="B1801" s="22" t="inlineStr">
        <is>
          <t>Habilita a las HU de usuario: no entrega una función al usuario final</t>
        </is>
      </c>
      <c r="C1801" s="8" t="n"/>
      <c r="D1801" s="8" t="n"/>
      <c r="E1801" s="23" t="n"/>
      <c r="G1801" s="22" t="inlineStr">
        <is>
          <t>El enfoque está en la consideración del equipo de desarrollo sobre si la historia está lista para un Sprint</t>
        </is>
      </c>
      <c r="H1801" s="8" t="n"/>
      <c r="I1801" s="8" t="n"/>
      <c r="J1801" s="23" t="n"/>
      <c r="L1801" s="22" t="inlineStr">
        <is>
          <t>El enfoque está en la aceptación del cliente cuando se le entregue el producto</t>
        </is>
      </c>
      <c r="M1801" s="8" t="n"/>
      <c r="N1801" s="8" t="n"/>
      <c r="O1801" s="23" t="n"/>
    </row>
    <row r="1802">
      <c r="B1802" s="24" t="inlineStr">
        <is>
          <t>Historia de usuario</t>
        </is>
      </c>
      <c r="C1802" s="8" t="n"/>
      <c r="D1802" s="25" t="inlineStr">
        <is>
          <t>Prioridad</t>
        </is>
      </c>
      <c r="E1802" s="26" t="inlineStr">
        <is>
          <t>Estimación</t>
        </is>
      </c>
      <c r="G1802" s="24" t="inlineStr">
        <is>
          <t>Historia de usuario</t>
        </is>
      </c>
      <c r="H1802" s="8" t="n"/>
      <c r="I1802" s="25" t="inlineStr">
        <is>
          <t>Prioridad</t>
        </is>
      </c>
      <c r="J1802" s="26" t="inlineStr">
        <is>
          <t>Estimación</t>
        </is>
      </c>
      <c r="L1802" s="24" t="inlineStr">
        <is>
          <t>Historia de usuario</t>
        </is>
      </c>
      <c r="M1802" s="8" t="n"/>
      <c r="N1802" s="25" t="inlineStr">
        <is>
          <t>Prioridad</t>
        </is>
      </c>
      <c r="O1802" s="26" t="inlineStr">
        <is>
          <t>Estimación</t>
        </is>
      </c>
    </row>
    <row r="1803" ht="30" customHeight="1">
      <c r="B1803" s="27" t="inlineStr">
        <is>
          <t>HT-03 · Proteger el repositorio y main</t>
        </is>
      </c>
      <c r="C1803" s="8" t="n"/>
      <c r="D1803" s="9" t="inlineStr">
        <is>
          <t>Crítica</t>
        </is>
      </c>
      <c r="E1803" s="28" t="inlineStr">
        <is>
          <t>Por votar</t>
        </is>
      </c>
      <c r="G1803" s="27" t="inlineStr">
        <is>
          <t>HT-03 · Proteger el repositorio y main</t>
        </is>
      </c>
      <c r="H1803" s="8" t="n"/>
      <c r="I1803" s="9" t="inlineStr">
        <is>
          <t>Crítica</t>
        </is>
      </c>
      <c r="J1803" s="28" t="inlineStr">
        <is>
          <t>Por votar</t>
        </is>
      </c>
      <c r="L1803" s="27" t="inlineStr">
        <is>
          <t>HT-03 · Proteger el repositorio y main</t>
        </is>
      </c>
      <c r="M1803" s="8" t="n"/>
      <c r="N1803" s="9" t="inlineStr">
        <is>
          <t>Crítica</t>
        </is>
      </c>
      <c r="O1803" s="28" t="inlineStr">
        <is>
          <t>Por votar</t>
        </is>
      </c>
    </row>
    <row r="1804">
      <c r="B1804" s="29" t="inlineStr">
        <is>
          <t>Descripción:</t>
        </is>
      </c>
      <c r="C1804" s="8" t="n"/>
      <c r="D1804" s="8" t="n"/>
      <c r="E1804" s="23" t="n"/>
      <c r="G1804" s="29" t="inlineStr">
        <is>
          <t>Descripción:</t>
        </is>
      </c>
      <c r="H1804" s="8" t="n"/>
      <c r="I1804" s="8" t="n"/>
      <c r="J1804" s="23" t="n"/>
      <c r="L1804" s="29" t="inlineStr">
        <is>
          <t>Descripción:</t>
        </is>
      </c>
      <c r="M1804" s="8" t="n"/>
      <c r="N1804" s="8" t="n"/>
      <c r="O1804" s="23" t="n"/>
    </row>
    <row r="1805" ht="28" customHeight="1">
      <c r="B1805" s="30" t="inlineStr">
        <is>
          <t>Como equipo de desarrollo, quiero el repositorio privado y la rama main protegida, para que los datos del cliente no queden expuestos y nada entre sin revisión.</t>
        </is>
      </c>
      <c r="C1805" s="8" t="n"/>
      <c r="D1805" s="8" t="n"/>
      <c r="E1805" s="23" t="n"/>
      <c r="G1805" s="30" t="inlineStr">
        <is>
          <t>Como equipo de desarrollo, quiero el repositorio privado y la rama main protegida, para que los datos del cliente no queden expuestos y nada entre sin revisión.</t>
        </is>
      </c>
      <c r="H1805" s="8" t="n"/>
      <c r="I1805" s="8" t="n"/>
      <c r="J1805" s="23" t="n"/>
      <c r="L1805" s="30" t="inlineStr">
        <is>
          <t>Como equipo de desarrollo, quiero el repositorio privado y la rama main protegida, para que los datos del cliente no queden expuestos y nada entre sin revisión.</t>
        </is>
      </c>
      <c r="M1805" s="8" t="n"/>
      <c r="N1805" s="8" t="n"/>
      <c r="O1805" s="23" t="n"/>
    </row>
    <row r="1806" ht="28" customHeight="1">
      <c r="B1806" s="31" t="n"/>
      <c r="C1806" s="8" t="n"/>
      <c r="D1806" s="8" t="n"/>
      <c r="E1806" s="23" t="n"/>
      <c r="G1806" s="31" t="n"/>
      <c r="H1806" s="8" t="n"/>
      <c r="I1806" s="8" t="n"/>
      <c r="J1806" s="23" t="n"/>
      <c r="L1806" s="31" t="n"/>
      <c r="M1806" s="8" t="n"/>
      <c r="N1806" s="8" t="n"/>
      <c r="O1806" s="23" t="n"/>
    </row>
    <row r="1807">
      <c r="B1807" s="29" t="inlineStr">
        <is>
          <t>Ficha de la historia</t>
        </is>
      </c>
      <c r="C1807" s="8" t="n"/>
      <c r="D1807" s="8" t="n"/>
      <c r="E1807" s="23" t="n"/>
      <c r="G1807" s="29" t="inlineStr">
        <is>
          <t>Criterios de listo:</t>
        </is>
      </c>
      <c r="H1807" s="8" t="n"/>
      <c r="I1807" s="8" t="n"/>
      <c r="J1807" s="23" t="n"/>
      <c r="L1807" s="29" t="inlineStr">
        <is>
          <t>Condiciones finales (se marcan cuando el PO acepta la historia en la Review):</t>
        </is>
      </c>
      <c r="M1807" s="8" t="n"/>
      <c r="N1807" s="8" t="n"/>
      <c r="O1807" s="23" t="n"/>
    </row>
    <row r="1808" ht="30" customHeight="1">
      <c r="B1808" s="32" t="inlineStr">
        <is>
          <t>Tipo: Historia técnica (habilitadora)</t>
        </is>
      </c>
      <c r="C1808" s="8" t="n"/>
      <c r="D1808" s="8" t="n"/>
      <c r="E1808" s="23" t="n"/>
      <c r="G1808" s="33" t="inlineStr">
        <is>
          <t>( x )</t>
        </is>
      </c>
      <c r="H1808" s="34" t="inlineStr">
        <is>
          <t>L1 · Redactada en el formato acordado — Cumple</t>
        </is>
      </c>
      <c r="I1808" s="8" t="n"/>
      <c r="J1808" s="23" t="n"/>
      <c r="L1808" s="35" t="inlineStr">
        <is>
          <t>(    )</t>
        </is>
      </c>
      <c r="M1808" s="34" t="inlineStr">
        <is>
          <t>El repositorio se ha puesto en privado y el docente se ha invitado como lector</t>
        </is>
      </c>
      <c r="N1808" s="8" t="n"/>
      <c r="O1808" s="23" t="n"/>
    </row>
    <row r="1809" ht="30" customHeight="1">
      <c r="B1809" s="32" t="inlineStr">
        <is>
          <t>Qué destraba: T1 de la DoD y la confidencialidad de los datos de SEVENS</t>
        </is>
      </c>
      <c r="C1809" s="8" t="n"/>
      <c r="D1809" s="8" t="n"/>
      <c r="E1809" s="23" t="n"/>
      <c r="G1809" s="33" t="inlineStr">
        <is>
          <t>( x )</t>
        </is>
      </c>
      <c r="H1809" s="34" t="inlineStr">
        <is>
          <t>L2 · Nombre corto en forma de acción — Cumple</t>
        </is>
      </c>
      <c r="I1809" s="8" t="n"/>
      <c r="J1809" s="23" t="n"/>
      <c r="L1809" s="35" t="inlineStr">
        <is>
          <t>(    )</t>
        </is>
      </c>
      <c r="M1809" s="34" t="inlineStr">
        <is>
          <t>Un push directo a main se ha rechazado: todo entra por PR con al menos una aprobación de otro integrante</t>
        </is>
      </c>
      <c r="N1809" s="8" t="n"/>
      <c r="O1809" s="23" t="n"/>
    </row>
    <row r="1810" ht="30" customHeight="1">
      <c r="B1810" s="32" t="inlineStr">
        <is>
          <t>Responsable técnico: Fernando</t>
        </is>
      </c>
      <c r="C1810" s="8" t="n"/>
      <c r="D1810" s="8" t="n"/>
      <c r="E1810" s="23" t="n"/>
      <c r="G1810" s="33" t="inlineStr">
        <is>
          <t>( x )</t>
        </is>
      </c>
      <c r="H1810" s="34" t="inlineStr">
        <is>
          <t>L3 · Criterios de aceptación escritos — Cumple</t>
        </is>
      </c>
      <c r="I1810" s="8" t="n"/>
      <c r="J1810" s="23" t="n"/>
      <c r="L1810" s="35" t="inlineStr">
        <is>
          <t>(    )</t>
        </is>
      </c>
      <c r="M1810" s="34" t="inlineStr">
        <is>
          <t>Se ha verificado que ningún .env ni token está en el historial del repositorio</t>
        </is>
      </c>
      <c r="N1810" s="8" t="n"/>
      <c r="O1810" s="23" t="n"/>
    </row>
    <row r="1811" ht="36" customHeight="1">
      <c r="B1811" s="36" t="inlineStr">
        <is>
          <t>Depende de: Ninguna</t>
        </is>
      </c>
      <c r="C1811" s="37" t="n"/>
      <c r="D1811" s="37" t="n"/>
      <c r="E1811" s="38" t="n"/>
      <c r="G1811" s="33" t="inlineStr">
        <is>
          <t>( x )</t>
        </is>
      </c>
      <c r="H1811" s="34" t="inlineStr">
        <is>
          <t>L4 · Dependencias resueltas — Cumple</t>
        </is>
      </c>
      <c r="I1811" s="8" t="n"/>
      <c r="J1811" s="23" t="n"/>
      <c r="L1811" s="36" t="inlineStr">
        <is>
          <t>Mitad técnica: Además, los criterios T1 a T10 de la hoja «3. Criterios DoR y DoD» que le apliquen</t>
        </is>
      </c>
      <c r="M1811" s="37" t="n"/>
      <c r="N1811" s="37" t="n"/>
      <c r="O1811" s="38" t="n"/>
    </row>
    <row r="1812" ht="30" customHeight="1">
      <c r="G1812" s="40" t="inlineStr">
        <is>
          <t>( x )</t>
        </is>
      </c>
      <c r="H1812" s="34" t="inlineStr">
        <is>
          <t>L5 · Estimada por los Developers — No cumple: se vota en el próximo Daily</t>
        </is>
      </c>
      <c r="I1812" s="8" t="n"/>
      <c r="J1812" s="23" t="n"/>
    </row>
    <row r="1813" ht="30" customHeight="1">
      <c r="G1813" s="33" t="inlineStr">
        <is>
          <t>( x )</t>
        </is>
      </c>
      <c r="H1813" s="34" t="inlineStr">
        <is>
          <t>L6 · Cabe en un sprint (8 puntos o menos) — Cumple</t>
        </is>
      </c>
      <c r="I1813" s="8" t="n"/>
      <c r="J1813" s="23" t="n"/>
    </row>
    <row r="1814" ht="30" customHeight="1">
      <c r="G1814" s="33" t="inlineStr">
        <is>
          <t>( x )</t>
        </is>
      </c>
      <c r="H1814" s="34" t="inlineStr">
        <is>
          <t>L7 · Reglas de dominio identificadas — Cumple</t>
        </is>
      </c>
      <c r="I1814" s="8" t="n"/>
      <c r="J1814" s="23" t="n"/>
    </row>
    <row r="1815" ht="30" customHeight="1">
      <c r="G1815" s="33" t="inlineStr">
        <is>
          <t>( x )</t>
        </is>
      </c>
      <c r="H1815" s="34" t="inlineStr">
        <is>
          <t>L8 · Datos de prueba disponibles — Cumple</t>
        </is>
      </c>
      <c r="I1815" s="8" t="n"/>
      <c r="J1815" s="23" t="n"/>
    </row>
    <row r="1816" ht="30" customHeight="1">
      <c r="G1816" s="33" t="inlineStr">
        <is>
          <t>( x )</t>
        </is>
      </c>
      <c r="H1816" s="34" t="inlineStr">
        <is>
          <t>L9 · Responsable técnico asignado — Cumple</t>
        </is>
      </c>
      <c r="I1816" s="8" t="n"/>
      <c r="J1816" s="23" t="n"/>
    </row>
    <row r="1817" ht="30" customHeight="1">
      <c r="G1817" s="33" t="inlineStr">
        <is>
          <t>( x )</t>
        </is>
      </c>
      <c r="H1817" s="34" t="inlineStr">
        <is>
          <t>L10 · Recursos identificados — Cumple: Fernando + equipo</t>
        </is>
      </c>
      <c r="I1817" s="8" t="n"/>
      <c r="J1817" s="23" t="n"/>
    </row>
    <row r="1818" ht="30" customHeight="1">
      <c r="G1818" s="33" t="inlineStr">
        <is>
          <t>( x )</t>
        </is>
      </c>
      <c r="H1818" s="34" t="inlineStr">
        <is>
          <t>L11 · Requisitos técnicos de programación definidos — Cumple: FastAPI, Docker y la consola del hosting</t>
        </is>
      </c>
      <c r="I1818" s="8" t="n"/>
      <c r="J1818" s="23" t="n"/>
    </row>
    <row r="1819" ht="30" customHeight="1">
      <c r="G1819" s="33" t="inlineStr">
        <is>
          <t>( x )</t>
        </is>
      </c>
      <c r="H1819" s="34" t="inlineStr">
        <is>
          <t>L12 · Accesos de red disponibles — Cumple: GitHub</t>
        </is>
      </c>
      <c r="I1819" s="8" t="n"/>
      <c r="J1819" s="23" t="n"/>
    </row>
    <row r="1820" ht="36" customHeight="1">
      <c r="G1820" s="39" t="inlineStr">
        <is>
          <t>Riesgos: Hoy el repositorio es público con precios y proveedores del cliente · cambiarlo antes que cualquier otra cosa</t>
        </is>
      </c>
      <c r="H1820" s="8" t="n"/>
      <c r="I1820" s="8" t="n"/>
      <c r="J1820" s="23" t="n"/>
    </row>
    <row r="1821" ht="36" customHeight="1">
      <c r="G1821" s="32" t="inlineStr">
        <is>
          <t>Proveedores de servicio: GitHub</t>
        </is>
      </c>
      <c r="H1821" s="8" t="n"/>
      <c r="I1821" s="8" t="n"/>
      <c r="J1821" s="23" t="n"/>
    </row>
    <row r="1822" ht="36" customHeight="1">
      <c r="G1822" s="36" t="inlineStr">
        <is>
          <t>Costos: S/ 0 en servicios (planes gratuitos) · horas según la votación</t>
        </is>
      </c>
      <c r="H1822" s="37" t="n"/>
      <c r="I1822" s="37" t="n"/>
      <c r="J1822" s="38" t="n"/>
    </row>
    <row r="1825">
      <c r="B1825" s="18" t="inlineStr">
        <is>
          <t>HT-04 · Conectar la web con la API real (historia técnica)</t>
        </is>
      </c>
    </row>
    <row r="1826" ht="18" customHeight="1">
      <c r="B1826" s="19" t="inlineStr">
        <is>
          <t>TARJETA 1 · Historia técnica</t>
        </is>
      </c>
      <c r="C1826" s="20" t="n"/>
      <c r="D1826" s="20" t="n"/>
      <c r="E1826" s="21" t="n"/>
      <c r="G1826" s="19" t="inlineStr">
        <is>
          <t>TARJETA 2 · Definición de Listo</t>
        </is>
      </c>
      <c r="H1826" s="20" t="n"/>
      <c r="I1826" s="20" t="n"/>
      <c r="J1826" s="21" t="n"/>
      <c r="L1826" s="19" t="inlineStr">
        <is>
          <t>TARJETA 3 · Definición de Terminado</t>
        </is>
      </c>
      <c r="M1826" s="20" t="n"/>
      <c r="N1826" s="20" t="n"/>
      <c r="O1826" s="21" t="n"/>
    </row>
    <row r="1827" ht="28" customHeight="1">
      <c r="B1827" s="22" t="inlineStr">
        <is>
          <t>Habilita a las HU de usuario: no entrega una función al usuario final</t>
        </is>
      </c>
      <c r="C1827" s="8" t="n"/>
      <c r="D1827" s="8" t="n"/>
      <c r="E1827" s="23" t="n"/>
      <c r="G1827" s="22" t="inlineStr">
        <is>
          <t>El enfoque está en la consideración del equipo de desarrollo sobre si la historia está lista para un Sprint</t>
        </is>
      </c>
      <c r="H1827" s="8" t="n"/>
      <c r="I1827" s="8" t="n"/>
      <c r="J1827" s="23" t="n"/>
      <c r="L1827" s="22" t="inlineStr">
        <is>
          <t>El enfoque está en la aceptación del cliente cuando se le entregue el producto</t>
        </is>
      </c>
      <c r="M1827" s="8" t="n"/>
      <c r="N1827" s="8" t="n"/>
      <c r="O1827" s="23" t="n"/>
    </row>
    <row r="1828">
      <c r="B1828" s="24" t="inlineStr">
        <is>
          <t>Historia de usuario</t>
        </is>
      </c>
      <c r="C1828" s="8" t="n"/>
      <c r="D1828" s="25" t="inlineStr">
        <is>
          <t>Prioridad</t>
        </is>
      </c>
      <c r="E1828" s="26" t="inlineStr">
        <is>
          <t>Estimación</t>
        </is>
      </c>
      <c r="G1828" s="24" t="inlineStr">
        <is>
          <t>Historia de usuario</t>
        </is>
      </c>
      <c r="H1828" s="8" t="n"/>
      <c r="I1828" s="25" t="inlineStr">
        <is>
          <t>Prioridad</t>
        </is>
      </c>
      <c r="J1828" s="26" t="inlineStr">
        <is>
          <t>Estimación</t>
        </is>
      </c>
      <c r="L1828" s="24" t="inlineStr">
        <is>
          <t>Historia de usuario</t>
        </is>
      </c>
      <c r="M1828" s="8" t="n"/>
      <c r="N1828" s="25" t="inlineStr">
        <is>
          <t>Prioridad</t>
        </is>
      </c>
      <c r="O1828" s="26" t="inlineStr">
        <is>
          <t>Estimación</t>
        </is>
      </c>
    </row>
    <row r="1829" ht="30" customHeight="1">
      <c r="B1829" s="27" t="inlineStr">
        <is>
          <t>HT-04 · Conectar la web con la API real</t>
        </is>
      </c>
      <c r="C1829" s="8" t="n"/>
      <c r="D1829" s="9" t="inlineStr">
        <is>
          <t>Crítica</t>
        </is>
      </c>
      <c r="E1829" s="28" t="inlineStr">
        <is>
          <t>Por votar</t>
        </is>
      </c>
      <c r="G1829" s="27" t="inlineStr">
        <is>
          <t>HT-04 · Conectar la web con la API real</t>
        </is>
      </c>
      <c r="H1829" s="8" t="n"/>
      <c r="I1829" s="9" t="inlineStr">
        <is>
          <t>Crítica</t>
        </is>
      </c>
      <c r="J1829" s="28" t="inlineStr">
        <is>
          <t>Por votar</t>
        </is>
      </c>
      <c r="L1829" s="27" t="inlineStr">
        <is>
          <t>HT-04 · Conectar la web con la API real</t>
        </is>
      </c>
      <c r="M1829" s="8" t="n"/>
      <c r="N1829" s="9" t="inlineStr">
        <is>
          <t>Crítica</t>
        </is>
      </c>
      <c r="O1829" s="28" t="inlineStr">
        <is>
          <t>Por votar</t>
        </is>
      </c>
    </row>
    <row r="1830">
      <c r="B1830" s="29" t="inlineStr">
        <is>
          <t>Descripción:</t>
        </is>
      </c>
      <c r="C1830" s="8" t="n"/>
      <c r="D1830" s="8" t="n"/>
      <c r="E1830" s="23" t="n"/>
      <c r="G1830" s="29" t="inlineStr">
        <is>
          <t>Descripción:</t>
        </is>
      </c>
      <c r="H1830" s="8" t="n"/>
      <c r="I1830" s="8" t="n"/>
      <c r="J1830" s="23" t="n"/>
      <c r="L1830" s="29" t="inlineStr">
        <is>
          <t>Descripción:</t>
        </is>
      </c>
      <c r="M1830" s="8" t="n"/>
      <c r="N1830" s="8" t="n"/>
      <c r="O1830" s="23" t="n"/>
    </row>
    <row r="1831" ht="28" customHeight="1">
      <c r="B1831" s="30" t="inlineStr">
        <is>
          <t>Como equipo de desarrollo, quiero un cliente HTTP único en la web que hable con la API, para conectar todas las pantallas sin rehacerlas.</t>
        </is>
      </c>
      <c r="C1831" s="8" t="n"/>
      <c r="D1831" s="8" t="n"/>
      <c r="E1831" s="23" t="n"/>
      <c r="G1831" s="30" t="inlineStr">
        <is>
          <t>Como equipo de desarrollo, quiero un cliente HTTP único en la web que hable con la API, para conectar todas las pantallas sin rehacerlas.</t>
        </is>
      </c>
      <c r="H1831" s="8" t="n"/>
      <c r="I1831" s="8" t="n"/>
      <c r="J1831" s="23" t="n"/>
      <c r="L1831" s="30" t="inlineStr">
        <is>
          <t>Como equipo de desarrollo, quiero un cliente HTTP único en la web que hable con la API, para conectar todas las pantallas sin rehacerlas.</t>
        </is>
      </c>
      <c r="M1831" s="8" t="n"/>
      <c r="N1831" s="8" t="n"/>
      <c r="O1831" s="23" t="n"/>
    </row>
    <row r="1832" ht="28" customHeight="1">
      <c r="B1832" s="31" t="n"/>
      <c r="C1832" s="8" t="n"/>
      <c r="D1832" s="8" t="n"/>
      <c r="E1832" s="23" t="n"/>
      <c r="G1832" s="31" t="n"/>
      <c r="H1832" s="8" t="n"/>
      <c r="I1832" s="8" t="n"/>
      <c r="J1832" s="23" t="n"/>
      <c r="L1832" s="31" t="n"/>
      <c r="M1832" s="8" t="n"/>
      <c r="N1832" s="8" t="n"/>
      <c r="O1832" s="23" t="n"/>
    </row>
    <row r="1833">
      <c r="B1833" s="29" t="inlineStr">
        <is>
          <t>Ficha de la historia</t>
        </is>
      </c>
      <c r="C1833" s="8" t="n"/>
      <c r="D1833" s="8" t="n"/>
      <c r="E1833" s="23" t="n"/>
      <c r="G1833" s="29" t="inlineStr">
        <is>
          <t>Criterios de listo:</t>
        </is>
      </c>
      <c r="H1833" s="8" t="n"/>
      <c r="I1833" s="8" t="n"/>
      <c r="J1833" s="23" t="n"/>
      <c r="L1833" s="29" t="inlineStr">
        <is>
          <t>Condiciones finales (se marcan cuando el PO acepta la historia en la Review):</t>
        </is>
      </c>
      <c r="M1833" s="8" t="n"/>
      <c r="N1833" s="8" t="n"/>
      <c r="O1833" s="23" t="n"/>
    </row>
    <row r="1834" ht="30" customHeight="1">
      <c r="B1834" s="32" t="inlineStr">
        <is>
          <t>Tipo: Historia técnica (habilitadora)</t>
        </is>
      </c>
      <c r="C1834" s="8" t="n"/>
      <c r="D1834" s="8" t="n"/>
      <c r="E1834" s="23" t="n"/>
      <c r="G1834" s="33" t="inlineStr">
        <is>
          <t>( x )</t>
        </is>
      </c>
      <c r="H1834" s="34" t="inlineStr">
        <is>
          <t>L1 · Redactada en el formato acordado — Cumple</t>
        </is>
      </c>
      <c r="I1834" s="8" t="n"/>
      <c r="J1834" s="23" t="n"/>
      <c r="L1834" s="35" t="inlineStr">
        <is>
          <t>(    )</t>
        </is>
      </c>
      <c r="M1834" s="34" t="inlineStr">
        <is>
          <t>La web ha iniciado sesión contra la API real y ha enviado el token en cada llamada</t>
        </is>
      </c>
      <c r="N1834" s="8" t="n"/>
      <c r="O1834" s="23" t="n"/>
    </row>
    <row r="1835" ht="30" customHeight="1">
      <c r="B1835" s="32" t="inlineStr">
        <is>
          <t>Qué destraba: Todas las tareas «Conectar con la API» de la web</t>
        </is>
      </c>
      <c r="C1835" s="8" t="n"/>
      <c r="D1835" s="8" t="n"/>
      <c r="E1835" s="23" t="n"/>
      <c r="G1835" s="33" t="inlineStr">
        <is>
          <t>( x )</t>
        </is>
      </c>
      <c r="H1835" s="34" t="inlineStr">
        <is>
          <t>L2 · Nombre corto en forma de acción — Cumple</t>
        </is>
      </c>
      <c r="I1835" s="8" t="n"/>
      <c r="J1835" s="23" t="n"/>
      <c r="L1835" s="35" t="inlineStr">
        <is>
          <t>(    )</t>
        </is>
      </c>
      <c r="M1835" s="34" t="inlineStr">
        <is>
          <t>Los campos se han convertido entre snake_case y camelCase en un solo lugar</t>
        </is>
      </c>
      <c r="N1835" s="8" t="n"/>
      <c r="O1835" s="23" t="n"/>
    </row>
    <row r="1836" ht="30" customHeight="1">
      <c r="B1836" s="32" t="inlineStr">
        <is>
          <t>Responsable técnico: Henry</t>
        </is>
      </c>
      <c r="C1836" s="8" t="n"/>
      <c r="D1836" s="8" t="n"/>
      <c r="E1836" s="23" t="n"/>
      <c r="G1836" s="33" t="inlineStr">
        <is>
          <t>( x )</t>
        </is>
      </c>
      <c r="H1836" s="34" t="inlineStr">
        <is>
          <t>L3 · Criterios de aceptación escritos — Cumple</t>
        </is>
      </c>
      <c r="I1836" s="8" t="n"/>
      <c r="J1836" s="23" t="n"/>
      <c r="L1836" s="35" t="inlineStr">
        <is>
          <t>(    )</t>
        </is>
      </c>
      <c r="M1836" s="34" t="inlineStr">
        <is>
          <t>Un error {codigo, mensaje} de la API se ha mostrado igual que los errores simulados</t>
        </is>
      </c>
      <c r="N1836" s="8" t="n"/>
      <c r="O1836" s="23" t="n"/>
    </row>
    <row r="1837" ht="30" customHeight="1">
      <c r="B1837" s="36" t="inlineStr">
        <is>
          <t>Depende de: HT-01</t>
        </is>
      </c>
      <c r="C1837" s="37" t="n"/>
      <c r="D1837" s="37" t="n"/>
      <c r="E1837" s="38" t="n"/>
      <c r="G1837" s="33" t="inlineStr">
        <is>
          <t>( x )</t>
        </is>
      </c>
      <c r="H1837" s="34" t="inlineStr">
        <is>
          <t>L4 · Dependencias resueltas — Cumple</t>
        </is>
      </c>
      <c r="I1837" s="8" t="n"/>
      <c r="J1837" s="23" t="n"/>
      <c r="L1837" s="35" t="inlineStr">
        <is>
          <t>(    )</t>
        </is>
      </c>
      <c r="M1837" s="34" t="inlineStr">
        <is>
          <t>Lo que la API aún no tiene ha seguido funcionando con el cliente simulado</t>
        </is>
      </c>
      <c r="N1837" s="8" t="n"/>
      <c r="O1837" s="23" t="n"/>
    </row>
    <row r="1838" ht="36" customHeight="1">
      <c r="G1838" s="40" t="inlineStr">
        <is>
          <t>( x )</t>
        </is>
      </c>
      <c r="H1838" s="34" t="inlineStr">
        <is>
          <t>L5 · Estimada por los Developers — No cumple: se vota en el próximo Daily</t>
        </is>
      </c>
      <c r="I1838" s="8" t="n"/>
      <c r="J1838" s="23" t="n"/>
      <c r="L1838" s="36" t="inlineStr">
        <is>
          <t>Mitad técnica: Además, los criterios T1 a T10 de la hoja «3. Criterios DoR y DoD» que le apliquen</t>
        </is>
      </c>
      <c r="M1838" s="37" t="n"/>
      <c r="N1838" s="37" t="n"/>
      <c r="O1838" s="38" t="n"/>
    </row>
    <row r="1839" ht="30" customHeight="1">
      <c r="G1839" s="33" t="inlineStr">
        <is>
          <t>( x )</t>
        </is>
      </c>
      <c r="H1839" s="34" t="inlineStr">
        <is>
          <t>L6 · Cabe en un sprint (8 puntos o menos) — Cumple</t>
        </is>
      </c>
      <c r="I1839" s="8" t="n"/>
      <c r="J1839" s="23" t="n"/>
    </row>
    <row r="1840" ht="30" customHeight="1">
      <c r="G1840" s="33" t="inlineStr">
        <is>
          <t>( x )</t>
        </is>
      </c>
      <c r="H1840" s="34" t="inlineStr">
        <is>
          <t>L7 · Reglas de dominio identificadas — Cumple</t>
        </is>
      </c>
      <c r="I1840" s="8" t="n"/>
      <c r="J1840" s="23" t="n"/>
    </row>
    <row r="1841" ht="30" customHeight="1">
      <c r="G1841" s="33" t="inlineStr">
        <is>
          <t>( x )</t>
        </is>
      </c>
      <c r="H1841" s="34" t="inlineStr">
        <is>
          <t>L8 · Datos de prueba disponibles — Cumple</t>
        </is>
      </c>
      <c r="I1841" s="8" t="n"/>
      <c r="J1841" s="23" t="n"/>
    </row>
    <row r="1842" ht="30" customHeight="1">
      <c r="G1842" s="33" t="inlineStr">
        <is>
          <t>( x )</t>
        </is>
      </c>
      <c r="H1842" s="34" t="inlineStr">
        <is>
          <t>L9 · Responsable técnico asignado — Cumple</t>
        </is>
      </c>
      <c r="I1842" s="8" t="n"/>
      <c r="J1842" s="23" t="n"/>
    </row>
    <row r="1843" ht="30" customHeight="1">
      <c r="G1843" s="33" t="inlineStr">
        <is>
          <t>( x )</t>
        </is>
      </c>
      <c r="H1843" s="34" t="inlineStr">
        <is>
          <t>L10 · Recursos identificados — Cumple: Henry + equipo</t>
        </is>
      </c>
      <c r="I1843" s="8" t="n"/>
      <c r="J1843" s="23" t="n"/>
    </row>
    <row r="1844" ht="30" customHeight="1">
      <c r="G1844" s="33" t="inlineStr">
        <is>
          <t>( x )</t>
        </is>
      </c>
      <c r="H1844" s="34" t="inlineStr">
        <is>
          <t>L11 · Requisitos técnicos de programación definidos — Cumple: React 18 y TypeScript (fetch)</t>
        </is>
      </c>
      <c r="I1844" s="8" t="n"/>
      <c r="J1844" s="23" t="n"/>
    </row>
    <row r="1845" ht="30" customHeight="1">
      <c r="G1845" s="33" t="inlineStr">
        <is>
          <t>( x )</t>
        </is>
      </c>
      <c r="H1845" s="34" t="inlineStr">
        <is>
          <t>L12 · Accesos de red disponibles — Cumple: API en el ambiente de pruebas</t>
        </is>
      </c>
      <c r="I1845" s="8" t="n"/>
      <c r="J1845" s="23" t="n"/>
    </row>
    <row r="1846" ht="36" customHeight="1">
      <c r="G1846" s="39" t="inlineStr">
        <is>
          <t>Riesgos: Diferencias de nombres entre API y web · convertir snake_case ↔ camelCase en un solo archivo</t>
        </is>
      </c>
      <c r="H1846" s="8" t="n"/>
      <c r="I1846" s="8" t="n"/>
      <c r="J1846" s="23" t="n"/>
    </row>
    <row r="1847" ht="36" customHeight="1">
      <c r="G1847" s="32" t="inlineStr">
        <is>
          <t>Proveedores de servicio: API en el ambiente de pruebas</t>
        </is>
      </c>
      <c r="H1847" s="8" t="n"/>
      <c r="I1847" s="8" t="n"/>
      <c r="J1847" s="23" t="n"/>
    </row>
    <row r="1848" ht="36" customHeight="1">
      <c r="G1848" s="36" t="inlineStr">
        <is>
          <t>Costos: S/ 0 en servicios (planes gratuitos) · horas según la votación</t>
        </is>
      </c>
      <c r="H1848" s="37" t="n"/>
      <c r="I1848" s="37" t="n"/>
      <c r="J1848" s="38" t="n"/>
    </row>
    <row r="1851">
      <c r="B1851" s="18" t="inlineStr">
        <is>
          <t>HT-05 · Crear la base de la app Android (historia técnica)</t>
        </is>
      </c>
    </row>
    <row r="1852" ht="18" customHeight="1">
      <c r="B1852" s="19" t="inlineStr">
        <is>
          <t>TARJETA 1 · Historia técnica</t>
        </is>
      </c>
      <c r="C1852" s="20" t="n"/>
      <c r="D1852" s="20" t="n"/>
      <c r="E1852" s="21" t="n"/>
      <c r="G1852" s="19" t="inlineStr">
        <is>
          <t>TARJETA 2 · Definición de Listo</t>
        </is>
      </c>
      <c r="H1852" s="20" t="n"/>
      <c r="I1852" s="20" t="n"/>
      <c r="J1852" s="21" t="n"/>
      <c r="L1852" s="19" t="inlineStr">
        <is>
          <t>TARJETA 3 · Definición de Terminado</t>
        </is>
      </c>
      <c r="M1852" s="20" t="n"/>
      <c r="N1852" s="20" t="n"/>
      <c r="O1852" s="21" t="n"/>
    </row>
    <row r="1853" ht="28" customHeight="1">
      <c r="B1853" s="22" t="inlineStr">
        <is>
          <t>Habilita a las HU de usuario: no entrega una función al usuario final</t>
        </is>
      </c>
      <c r="C1853" s="8" t="n"/>
      <c r="D1853" s="8" t="n"/>
      <c r="E1853" s="23" t="n"/>
      <c r="G1853" s="22" t="inlineStr">
        <is>
          <t>El enfoque está en la consideración del equipo de desarrollo sobre si la historia está lista para un Sprint</t>
        </is>
      </c>
      <c r="H1853" s="8" t="n"/>
      <c r="I1853" s="8" t="n"/>
      <c r="J1853" s="23" t="n"/>
      <c r="L1853" s="22" t="inlineStr">
        <is>
          <t>El enfoque está en la aceptación del cliente cuando se le entregue el producto</t>
        </is>
      </c>
      <c r="M1853" s="8" t="n"/>
      <c r="N1853" s="8" t="n"/>
      <c r="O1853" s="23" t="n"/>
    </row>
    <row r="1854">
      <c r="B1854" s="24" t="inlineStr">
        <is>
          <t>Historia de usuario</t>
        </is>
      </c>
      <c r="C1854" s="8" t="n"/>
      <c r="D1854" s="25" t="inlineStr">
        <is>
          <t>Prioridad</t>
        </is>
      </c>
      <c r="E1854" s="26" t="inlineStr">
        <is>
          <t>Estimación</t>
        </is>
      </c>
      <c r="G1854" s="24" t="inlineStr">
        <is>
          <t>Historia de usuario</t>
        </is>
      </c>
      <c r="H1854" s="8" t="n"/>
      <c r="I1854" s="25" t="inlineStr">
        <is>
          <t>Prioridad</t>
        </is>
      </c>
      <c r="J1854" s="26" t="inlineStr">
        <is>
          <t>Estimación</t>
        </is>
      </c>
      <c r="L1854" s="24" t="inlineStr">
        <is>
          <t>Historia de usuario</t>
        </is>
      </c>
      <c r="M1854" s="8" t="n"/>
      <c r="N1854" s="25" t="inlineStr">
        <is>
          <t>Prioridad</t>
        </is>
      </c>
      <c r="O1854" s="26" t="inlineStr">
        <is>
          <t>Estimación</t>
        </is>
      </c>
    </row>
    <row r="1855" ht="30" customHeight="1">
      <c r="B1855" s="27" t="inlineStr">
        <is>
          <t>HT-05 · Crear la base de la app Android</t>
        </is>
      </c>
      <c r="C1855" s="8" t="n"/>
      <c r="D1855" s="9" t="inlineStr">
        <is>
          <t>Crítica</t>
        </is>
      </c>
      <c r="E1855" s="28" t="inlineStr">
        <is>
          <t>Por votar</t>
        </is>
      </c>
      <c r="G1855" s="27" t="inlineStr">
        <is>
          <t>HT-05 · Crear la base de la app Android</t>
        </is>
      </c>
      <c r="H1855" s="8" t="n"/>
      <c r="I1855" s="9" t="inlineStr">
        <is>
          <t>Crítica</t>
        </is>
      </c>
      <c r="J1855" s="28" t="inlineStr">
        <is>
          <t>Por votar</t>
        </is>
      </c>
      <c r="L1855" s="27" t="inlineStr">
        <is>
          <t>HT-05 · Crear la base de la app Android</t>
        </is>
      </c>
      <c r="M1855" s="8" t="n"/>
      <c r="N1855" s="9" t="inlineStr">
        <is>
          <t>Crítica</t>
        </is>
      </c>
      <c r="O1855" s="28" t="inlineStr">
        <is>
          <t>Por votar</t>
        </is>
      </c>
    </row>
    <row r="1856">
      <c r="B1856" s="29" t="inlineStr">
        <is>
          <t>Descripción:</t>
        </is>
      </c>
      <c r="C1856" s="8" t="n"/>
      <c r="D1856" s="8" t="n"/>
      <c r="E1856" s="23" t="n"/>
      <c r="G1856" s="29" t="inlineStr">
        <is>
          <t>Descripción:</t>
        </is>
      </c>
      <c r="H1856" s="8" t="n"/>
      <c r="I1856" s="8" t="n"/>
      <c r="J1856" s="23" t="n"/>
      <c r="L1856" s="29" t="inlineStr">
        <is>
          <t>Descripción:</t>
        </is>
      </c>
      <c r="M1856" s="8" t="n"/>
      <c r="N1856" s="8" t="n"/>
      <c r="O1856" s="23" t="n"/>
    </row>
    <row r="1857" ht="28" customHeight="1">
      <c r="B1857" s="30" t="inlineStr">
        <is>
          <t>Como equipo de desarrollo, quiero el proyecto base de la app con Compose, Room, WorkManager, sesión y cliente de la API, para construir encima las pantallas del almacenero.</t>
        </is>
      </c>
      <c r="C1857" s="8" t="n"/>
      <c r="D1857" s="8" t="n"/>
      <c r="E1857" s="23" t="n"/>
      <c r="G1857" s="30" t="inlineStr">
        <is>
          <t>Como equipo de desarrollo, quiero el proyecto base de la app con Compose, Room, WorkManager, sesión y cliente de la API, para construir encima las pantallas del almacenero.</t>
        </is>
      </c>
      <c r="H1857" s="8" t="n"/>
      <c r="I1857" s="8" t="n"/>
      <c r="J1857" s="23" t="n"/>
      <c r="L1857" s="30" t="inlineStr">
        <is>
          <t>Como equipo de desarrollo, quiero el proyecto base de la app con Compose, Room, WorkManager, sesión y cliente de la API, para construir encima las pantallas del almacenero.</t>
        </is>
      </c>
      <c r="M1857" s="8" t="n"/>
      <c r="N1857" s="8" t="n"/>
      <c r="O1857" s="23" t="n"/>
    </row>
    <row r="1858" ht="28" customHeight="1">
      <c r="B1858" s="31" t="n"/>
      <c r="C1858" s="8" t="n"/>
      <c r="D1858" s="8" t="n"/>
      <c r="E1858" s="23" t="n"/>
      <c r="G1858" s="31" t="n"/>
      <c r="H1858" s="8" t="n"/>
      <c r="I1858" s="8" t="n"/>
      <c r="J1858" s="23" t="n"/>
      <c r="L1858" s="31" t="n"/>
      <c r="M1858" s="8" t="n"/>
      <c r="N1858" s="8" t="n"/>
      <c r="O1858" s="23" t="n"/>
    </row>
    <row r="1859">
      <c r="B1859" s="29" t="inlineStr">
        <is>
          <t>Ficha de la historia</t>
        </is>
      </c>
      <c r="C1859" s="8" t="n"/>
      <c r="D1859" s="8" t="n"/>
      <c r="E1859" s="23" t="n"/>
      <c r="G1859" s="29" t="inlineStr">
        <is>
          <t>Criterios de listo:</t>
        </is>
      </c>
      <c r="H1859" s="8" t="n"/>
      <c r="I1859" s="8" t="n"/>
      <c r="J1859" s="23" t="n"/>
      <c r="L1859" s="29" t="inlineStr">
        <is>
          <t>Condiciones finales (se marcan cuando el PO acepta la historia en la Review):</t>
        </is>
      </c>
      <c r="M1859" s="8" t="n"/>
      <c r="N1859" s="8" t="n"/>
      <c r="O1859" s="23" t="n"/>
    </row>
    <row r="1860" ht="30" customHeight="1">
      <c r="B1860" s="32" t="inlineStr">
        <is>
          <t>Tipo: Historia técnica (habilitadora)</t>
        </is>
      </c>
      <c r="C1860" s="8" t="n"/>
      <c r="D1860" s="8" t="n"/>
      <c r="E1860" s="23" t="n"/>
      <c r="G1860" s="33" t="inlineStr">
        <is>
          <t>( x )</t>
        </is>
      </c>
      <c r="H1860" s="34" t="inlineStr">
        <is>
          <t>L1 · Redactada en el formato acordado — Cumple</t>
        </is>
      </c>
      <c r="I1860" s="8" t="n"/>
      <c r="J1860" s="23" t="n"/>
      <c r="L1860" s="35" t="inlineStr">
        <is>
          <t>(    )</t>
        </is>
      </c>
      <c r="M1860" s="34" t="inlineStr">
        <is>
          <t>La app se ha instalado en un teléfono real y ha iniciado sesión contra la API</t>
        </is>
      </c>
      <c r="N1860" s="8" t="n"/>
      <c r="O1860" s="23" t="n"/>
    </row>
    <row r="1861" ht="30" customHeight="1">
      <c r="B1861" s="32" t="inlineStr">
        <is>
          <t>Qué destraba: Todas las HU de la app (HU-12, 15, 35, 37, 38, 40, 43, 62 y 63)</t>
        </is>
      </c>
      <c r="C1861" s="8" t="n"/>
      <c r="D1861" s="8" t="n"/>
      <c r="E1861" s="23" t="n"/>
      <c r="G1861" s="33" t="inlineStr">
        <is>
          <t>( x )</t>
        </is>
      </c>
      <c r="H1861" s="34" t="inlineStr">
        <is>
          <t>L2 · Nombre corto en forma de acción — Cumple</t>
        </is>
      </c>
      <c r="I1861" s="8" t="n"/>
      <c r="J1861" s="23" t="n"/>
      <c r="L1861" s="35" t="inlineStr">
        <is>
          <t>(    )</t>
        </is>
      </c>
      <c r="M1861" s="34" t="inlineStr">
        <is>
          <t>Room ha guardado un dato local que ha sobrevivido al cierre de la app</t>
        </is>
      </c>
      <c r="N1861" s="8" t="n"/>
      <c r="O1861" s="23" t="n"/>
    </row>
    <row r="1862" ht="30" customHeight="1">
      <c r="B1862" s="32" t="inlineStr">
        <is>
          <t>Responsable técnico: Nicolás</t>
        </is>
      </c>
      <c r="C1862" s="8" t="n"/>
      <c r="D1862" s="8" t="n"/>
      <c r="E1862" s="23" t="n"/>
      <c r="G1862" s="33" t="inlineStr">
        <is>
          <t>( x )</t>
        </is>
      </c>
      <c r="H1862" s="34" t="inlineStr">
        <is>
          <t>L3 · Criterios de aceptación escritos — Cumple</t>
        </is>
      </c>
      <c r="I1862" s="8" t="n"/>
      <c r="J1862" s="23" t="n"/>
      <c r="L1862" s="35" t="inlineStr">
        <is>
          <t>(    )</t>
        </is>
      </c>
      <c r="M1862" s="34" t="inlineStr">
        <is>
          <t>WorkManager ha ejecutado un trabajo de prueba al recuperar la conexión</t>
        </is>
      </c>
      <c r="N1862" s="8" t="n"/>
      <c r="O1862" s="23" t="n"/>
    </row>
    <row r="1863" ht="30" customHeight="1">
      <c r="B1863" s="36" t="inlineStr">
        <is>
          <t>Depende de: HT-01</t>
        </is>
      </c>
      <c r="C1863" s="37" t="n"/>
      <c r="D1863" s="37" t="n"/>
      <c r="E1863" s="38" t="n"/>
      <c r="G1863" s="33" t="inlineStr">
        <is>
          <t>( x )</t>
        </is>
      </c>
      <c r="H1863" s="34" t="inlineStr">
        <is>
          <t>L4 · Dependencias resueltas — Cumple</t>
        </is>
      </c>
      <c r="I1863" s="8" t="n"/>
      <c r="J1863" s="23" t="n"/>
      <c r="L1863" s="35" t="inlineStr">
        <is>
          <t>(    )</t>
        </is>
      </c>
      <c r="M1863" s="34" t="inlineStr">
        <is>
          <t>El APK de pruebas se ha generado desde el repositorio</t>
        </is>
      </c>
      <c r="N1863" s="8" t="n"/>
      <c r="O1863" s="23" t="n"/>
    </row>
    <row r="1864" ht="36" customHeight="1">
      <c r="G1864" s="40" t="inlineStr">
        <is>
          <t>( x )</t>
        </is>
      </c>
      <c r="H1864" s="34" t="inlineStr">
        <is>
          <t>L5 · Estimada por los Developers — No cumple: se vota en el próximo Daily</t>
        </is>
      </c>
      <c r="I1864" s="8" t="n"/>
      <c r="J1864" s="23" t="n"/>
      <c r="L1864" s="36" t="inlineStr">
        <is>
          <t>Mitad técnica: Además, los criterios T1 a T10 de la hoja «3. Criterios DoR y DoD» que le apliquen</t>
        </is>
      </c>
      <c r="M1864" s="37" t="n"/>
      <c r="N1864" s="37" t="n"/>
      <c r="O1864" s="38" t="n"/>
    </row>
    <row r="1865" ht="30" customHeight="1">
      <c r="G1865" s="33" t="inlineStr">
        <is>
          <t>( x )</t>
        </is>
      </c>
      <c r="H1865" s="34" t="inlineStr">
        <is>
          <t>L6 · Cabe en un sprint (8 puntos o menos) — Cumple</t>
        </is>
      </c>
      <c r="I1865" s="8" t="n"/>
      <c r="J1865" s="23" t="n"/>
    </row>
    <row r="1866" ht="30" customHeight="1">
      <c r="G1866" s="33" t="inlineStr">
        <is>
          <t>( x )</t>
        </is>
      </c>
      <c r="H1866" s="34" t="inlineStr">
        <is>
          <t>L7 · Reglas de dominio identificadas — Cumple</t>
        </is>
      </c>
      <c r="I1866" s="8" t="n"/>
      <c r="J1866" s="23" t="n"/>
    </row>
    <row r="1867" ht="30" customHeight="1">
      <c r="G1867" s="33" t="inlineStr">
        <is>
          <t>( x )</t>
        </is>
      </c>
      <c r="H1867" s="34" t="inlineStr">
        <is>
          <t>L8 · Datos de prueba disponibles — Cumple</t>
        </is>
      </c>
      <c r="I1867" s="8" t="n"/>
      <c r="J1867" s="23" t="n"/>
    </row>
    <row r="1868" ht="30" customHeight="1">
      <c r="G1868" s="33" t="inlineStr">
        <is>
          <t>( x )</t>
        </is>
      </c>
      <c r="H1868" s="34" t="inlineStr">
        <is>
          <t>L9 · Responsable técnico asignado — Cumple</t>
        </is>
      </c>
      <c r="I1868" s="8" t="n"/>
      <c r="J1868" s="23" t="n"/>
    </row>
    <row r="1869" ht="30" customHeight="1">
      <c r="G1869" s="33" t="inlineStr">
        <is>
          <t>( x )</t>
        </is>
      </c>
      <c r="H1869" s="34" t="inlineStr">
        <is>
          <t>L10 · Recursos identificados — Cumple: Nicolás + equipo</t>
        </is>
      </c>
      <c r="I1869" s="8" t="n"/>
      <c r="J1869" s="23" t="n"/>
    </row>
    <row r="1870" ht="30" customHeight="1">
      <c r="G1870" s="33" t="inlineStr">
        <is>
          <t>( x )</t>
        </is>
      </c>
      <c r="H1870" s="34" t="inlineStr">
        <is>
          <t>L11 · Requisitos técnicos de programación definidos — Cumple: Kotlin, Compose, Room y WorkManager</t>
        </is>
      </c>
      <c r="I1870" s="8" t="n"/>
      <c r="J1870" s="23" t="n"/>
    </row>
    <row r="1871" ht="30" customHeight="1">
      <c r="G1871" s="33" t="inlineStr">
        <is>
          <t>( x )</t>
        </is>
      </c>
      <c r="H1871" s="34" t="inlineStr">
        <is>
          <t>L12 · Accesos de red disponibles — Cumple: Android Studio · teléfono de prueba · API en el ambiente de pruebas</t>
        </is>
      </c>
      <c r="I1871" s="8" t="n"/>
      <c r="J1871" s="23" t="n"/>
    </row>
    <row r="1872" ht="36" customHeight="1">
      <c r="G1872" s="39" t="inlineStr">
        <is>
          <t>Riesgos: Configuración de Gradle que consume el sprint · partir de la plantilla oficial de Compose</t>
        </is>
      </c>
      <c r="H1872" s="8" t="n"/>
      <c r="I1872" s="8" t="n"/>
      <c r="J1872" s="23" t="n"/>
    </row>
    <row r="1873" ht="36" customHeight="1">
      <c r="G1873" s="32" t="inlineStr">
        <is>
          <t>Proveedores de servicio: Android Studio · teléfono de prueba · API en el ambiente de pruebas</t>
        </is>
      </c>
      <c r="H1873" s="8" t="n"/>
      <c r="I1873" s="8" t="n"/>
      <c r="J1873" s="23" t="n"/>
    </row>
    <row r="1874" ht="36" customHeight="1">
      <c r="G1874" s="36" t="inlineStr">
        <is>
          <t>Costos: S/ 0 en servicios (planes gratuitos) · horas según la votación</t>
        </is>
      </c>
      <c r="H1874" s="37" t="n"/>
      <c r="I1874" s="37" t="n"/>
      <c r="J1874" s="38" t="n"/>
    </row>
    <row r="1877">
      <c r="B1877" s="18" t="inlineStr">
        <is>
          <t>HT-06 · Publicar el contrato de la API y Postman (historia técnica)</t>
        </is>
      </c>
    </row>
    <row r="1878" ht="18" customHeight="1">
      <c r="B1878" s="19" t="inlineStr">
        <is>
          <t>TARJETA 1 · Historia técnica</t>
        </is>
      </c>
      <c r="C1878" s="20" t="n"/>
      <c r="D1878" s="20" t="n"/>
      <c r="E1878" s="21" t="n"/>
      <c r="G1878" s="19" t="inlineStr">
        <is>
          <t>TARJETA 2 · Definición de Listo</t>
        </is>
      </c>
      <c r="H1878" s="20" t="n"/>
      <c r="I1878" s="20" t="n"/>
      <c r="J1878" s="21" t="n"/>
      <c r="L1878" s="19" t="inlineStr">
        <is>
          <t>TARJETA 3 · Definición de Terminado</t>
        </is>
      </c>
      <c r="M1878" s="20" t="n"/>
      <c r="N1878" s="20" t="n"/>
      <c r="O1878" s="21" t="n"/>
    </row>
    <row r="1879" ht="28" customHeight="1">
      <c r="B1879" s="22" t="inlineStr">
        <is>
          <t>Habilita a las HU de usuario: no entrega una función al usuario final</t>
        </is>
      </c>
      <c r="C1879" s="8" t="n"/>
      <c r="D1879" s="8" t="n"/>
      <c r="E1879" s="23" t="n"/>
      <c r="G1879" s="22" t="inlineStr">
        <is>
          <t>El enfoque está en la consideración del equipo de desarrollo sobre si la historia está lista para un Sprint</t>
        </is>
      </c>
      <c r="H1879" s="8" t="n"/>
      <c r="I1879" s="8" t="n"/>
      <c r="J1879" s="23" t="n"/>
      <c r="L1879" s="22" t="inlineStr">
        <is>
          <t>El enfoque está en la aceptación del cliente cuando se le entregue el producto</t>
        </is>
      </c>
      <c r="M1879" s="8" t="n"/>
      <c r="N1879" s="8" t="n"/>
      <c r="O1879" s="23" t="n"/>
    </row>
    <row r="1880">
      <c r="B1880" s="24" t="inlineStr">
        <is>
          <t>Historia de usuario</t>
        </is>
      </c>
      <c r="C1880" s="8" t="n"/>
      <c r="D1880" s="25" t="inlineStr">
        <is>
          <t>Prioridad</t>
        </is>
      </c>
      <c r="E1880" s="26" t="inlineStr">
        <is>
          <t>Estimación</t>
        </is>
      </c>
      <c r="G1880" s="24" t="inlineStr">
        <is>
          <t>Historia de usuario</t>
        </is>
      </c>
      <c r="H1880" s="8" t="n"/>
      <c r="I1880" s="25" t="inlineStr">
        <is>
          <t>Prioridad</t>
        </is>
      </c>
      <c r="J1880" s="26" t="inlineStr">
        <is>
          <t>Estimación</t>
        </is>
      </c>
      <c r="L1880" s="24" t="inlineStr">
        <is>
          <t>Historia de usuario</t>
        </is>
      </c>
      <c r="M1880" s="8" t="n"/>
      <c r="N1880" s="25" t="inlineStr">
        <is>
          <t>Prioridad</t>
        </is>
      </c>
      <c r="O1880" s="26" t="inlineStr">
        <is>
          <t>Estimación</t>
        </is>
      </c>
    </row>
    <row r="1881" ht="30" customHeight="1">
      <c r="B1881" s="27" t="inlineStr">
        <is>
          <t>HT-06 · Publicar el contrato de la API y Postman</t>
        </is>
      </c>
      <c r="C1881" s="8" t="n"/>
      <c r="D1881" s="9" t="inlineStr">
        <is>
          <t>Alta</t>
        </is>
      </c>
      <c r="E1881" s="28" t="inlineStr">
        <is>
          <t>Por votar</t>
        </is>
      </c>
      <c r="G1881" s="27" t="inlineStr">
        <is>
          <t>HT-06 · Publicar el contrato de la API y Postman</t>
        </is>
      </c>
      <c r="H1881" s="8" t="n"/>
      <c r="I1881" s="9" t="inlineStr">
        <is>
          <t>Alta</t>
        </is>
      </c>
      <c r="J1881" s="28" t="inlineStr">
        <is>
          <t>Por votar</t>
        </is>
      </c>
      <c r="L1881" s="27" t="inlineStr">
        <is>
          <t>HT-06 · Publicar el contrato de la API y Postman</t>
        </is>
      </c>
      <c r="M1881" s="8" t="n"/>
      <c r="N1881" s="9" t="inlineStr">
        <is>
          <t>Alta</t>
        </is>
      </c>
      <c r="O1881" s="28" t="inlineStr">
        <is>
          <t>Por votar</t>
        </is>
      </c>
    </row>
    <row r="1882">
      <c r="B1882" s="29" t="inlineStr">
        <is>
          <t>Descripción:</t>
        </is>
      </c>
      <c r="C1882" s="8" t="n"/>
      <c r="D1882" s="8" t="n"/>
      <c r="E1882" s="23" t="n"/>
      <c r="G1882" s="29" t="inlineStr">
        <is>
          <t>Descripción:</t>
        </is>
      </c>
      <c r="H1882" s="8" t="n"/>
      <c r="I1882" s="8" t="n"/>
      <c r="J1882" s="23" t="n"/>
      <c r="L1882" s="29" t="inlineStr">
        <is>
          <t>Descripción:</t>
        </is>
      </c>
      <c r="M1882" s="8" t="n"/>
      <c r="N1882" s="8" t="n"/>
      <c r="O1882" s="23" t="n"/>
    </row>
    <row r="1883" ht="28" customHeight="1">
      <c r="B1883" s="30" t="inlineStr">
        <is>
          <t>Como equipo de desarrollo, quiero el contrato de la API publicado (OpenAPI) y una colección de Postman compartida, para probar cada endpoint igual y sin adivinar cómo llamarlo.</t>
        </is>
      </c>
      <c r="C1883" s="8" t="n"/>
      <c r="D1883" s="8" t="n"/>
      <c r="E1883" s="23" t="n"/>
      <c r="G1883" s="30" t="inlineStr">
        <is>
          <t>Como equipo de desarrollo, quiero el contrato de la API publicado (OpenAPI) y una colección de Postman compartida, para probar cada endpoint igual y sin adivinar cómo llamarlo.</t>
        </is>
      </c>
      <c r="H1883" s="8" t="n"/>
      <c r="I1883" s="8" t="n"/>
      <c r="J1883" s="23" t="n"/>
      <c r="L1883" s="30" t="inlineStr">
        <is>
          <t>Como equipo de desarrollo, quiero el contrato de la API publicado (OpenAPI) y una colección de Postman compartida, para probar cada endpoint igual y sin adivinar cómo llamarlo.</t>
        </is>
      </c>
      <c r="M1883" s="8" t="n"/>
      <c r="N1883" s="8" t="n"/>
      <c r="O1883" s="23" t="n"/>
    </row>
    <row r="1884" ht="28" customHeight="1">
      <c r="B1884" s="31" t="n"/>
      <c r="C1884" s="8" t="n"/>
      <c r="D1884" s="8" t="n"/>
      <c r="E1884" s="23" t="n"/>
      <c r="G1884" s="31" t="n"/>
      <c r="H1884" s="8" t="n"/>
      <c r="I1884" s="8" t="n"/>
      <c r="J1884" s="23" t="n"/>
      <c r="L1884" s="31" t="n"/>
      <c r="M1884" s="8" t="n"/>
      <c r="N1884" s="8" t="n"/>
      <c r="O1884" s="23" t="n"/>
    </row>
    <row r="1885">
      <c r="B1885" s="29" t="inlineStr">
        <is>
          <t>Ficha de la historia</t>
        </is>
      </c>
      <c r="C1885" s="8" t="n"/>
      <c r="D1885" s="8" t="n"/>
      <c r="E1885" s="23" t="n"/>
      <c r="G1885" s="29" t="inlineStr">
        <is>
          <t>Criterios de listo:</t>
        </is>
      </c>
      <c r="H1885" s="8" t="n"/>
      <c r="I1885" s="8" t="n"/>
      <c r="J1885" s="23" t="n"/>
      <c r="L1885" s="29" t="inlineStr">
        <is>
          <t>Condiciones finales (se marcan cuando el PO acepta la historia en la Review):</t>
        </is>
      </c>
      <c r="M1885" s="8" t="n"/>
      <c r="N1885" s="8" t="n"/>
      <c r="O1885" s="23" t="n"/>
    </row>
    <row r="1886" ht="30" customHeight="1">
      <c r="B1886" s="32" t="inlineStr">
        <is>
          <t>Tipo: Historia técnica (habilitadora)</t>
        </is>
      </c>
      <c r="C1886" s="8" t="n"/>
      <c r="D1886" s="8" t="n"/>
      <c r="E1886" s="23" t="n"/>
      <c r="G1886" s="33" t="inlineStr">
        <is>
          <t>( x )</t>
        </is>
      </c>
      <c r="H1886" s="34" t="inlineStr">
        <is>
          <t>L1 · Redactada en el formato acordado — Cumple</t>
        </is>
      </c>
      <c r="I1886" s="8" t="n"/>
      <c r="J1886" s="23" t="n"/>
      <c r="L1886" s="35" t="inlineStr">
        <is>
          <t>(    )</t>
        </is>
      </c>
      <c r="M1886" s="34" t="inlineStr">
        <is>
          <t>El OpenAPI se ha publicado en el ambiente de pruebas (/docs)</t>
        </is>
      </c>
      <c r="N1886" s="8" t="n"/>
      <c r="O1886" s="23" t="n"/>
    </row>
    <row r="1887" ht="30" customHeight="1">
      <c r="B1887" s="32" t="inlineStr">
        <is>
          <t>Qué destraba: La prueba con Postman de cada HU (modelo del docente)</t>
        </is>
      </c>
      <c r="C1887" s="8" t="n"/>
      <c r="D1887" s="8" t="n"/>
      <c r="E1887" s="23" t="n"/>
      <c r="G1887" s="33" t="inlineStr">
        <is>
          <t>( x )</t>
        </is>
      </c>
      <c r="H1887" s="34" t="inlineStr">
        <is>
          <t>L2 · Nombre corto en forma de acción — Cumple</t>
        </is>
      </c>
      <c r="I1887" s="8" t="n"/>
      <c r="J1887" s="23" t="n"/>
      <c r="L1887" s="35" t="inlineStr">
        <is>
          <t>(    )</t>
        </is>
      </c>
      <c r="M1887" s="34" t="inlineStr">
        <is>
          <t>La colección de Postman se ha compartido con el equipo, con un entorno de pruebas y el login ya configurado</t>
        </is>
      </c>
      <c r="N1887" s="8" t="n"/>
      <c r="O1887" s="23" t="n"/>
    </row>
    <row r="1888" ht="30" customHeight="1">
      <c r="B1888" s="32" t="inlineStr">
        <is>
          <t>Responsable técnico: Adiel</t>
        </is>
      </c>
      <c r="C1888" s="8" t="n"/>
      <c r="D1888" s="8" t="n"/>
      <c r="E1888" s="23" t="n"/>
      <c r="G1888" s="33" t="inlineStr">
        <is>
          <t>( x )</t>
        </is>
      </c>
      <c r="H1888" s="34" t="inlineStr">
        <is>
          <t>L3 · Criterios de aceptación escritos — Cumple</t>
        </is>
      </c>
      <c r="I1888" s="8" t="n"/>
      <c r="J1888" s="23" t="n"/>
      <c r="L1888" s="35" t="inlineStr">
        <is>
          <t>(    )</t>
        </is>
      </c>
      <c r="M1888" s="34" t="inlineStr">
        <is>
          <t>Cada endpoint del Sprint 1 ha quedado con al menos un ejemplo de llamada correcta y uno de error</t>
        </is>
      </c>
      <c r="N1888" s="8" t="n"/>
      <c r="O1888" s="23" t="n"/>
    </row>
    <row r="1889" ht="36" customHeight="1">
      <c r="B1889" s="36" t="inlineStr">
        <is>
          <t>Depende de: HT-01</t>
        </is>
      </c>
      <c r="C1889" s="37" t="n"/>
      <c r="D1889" s="37" t="n"/>
      <c r="E1889" s="38" t="n"/>
      <c r="G1889" s="33" t="inlineStr">
        <is>
          <t>( x )</t>
        </is>
      </c>
      <c r="H1889" s="34" t="inlineStr">
        <is>
          <t>L4 · Dependencias resueltas — Cumple</t>
        </is>
      </c>
      <c r="I1889" s="8" t="n"/>
      <c r="J1889" s="23" t="n"/>
      <c r="L1889" s="36" t="inlineStr">
        <is>
          <t>Mitad técnica: Además, los criterios T1 a T10 de la hoja «3. Criterios DoR y DoD» que le apliquen</t>
        </is>
      </c>
      <c r="M1889" s="37" t="n"/>
      <c r="N1889" s="37" t="n"/>
      <c r="O1889" s="38" t="n"/>
    </row>
    <row r="1890" ht="30" customHeight="1">
      <c r="G1890" s="40" t="inlineStr">
        <is>
          <t>( x )</t>
        </is>
      </c>
      <c r="H1890" s="34" t="inlineStr">
        <is>
          <t>L5 · Estimada por los Developers — No cumple: se vota en el próximo Daily</t>
        </is>
      </c>
      <c r="I1890" s="8" t="n"/>
      <c r="J1890" s="23" t="n"/>
    </row>
    <row r="1891" ht="30" customHeight="1">
      <c r="G1891" s="33" t="inlineStr">
        <is>
          <t>( x )</t>
        </is>
      </c>
      <c r="H1891" s="34" t="inlineStr">
        <is>
          <t>L6 · Cabe en un sprint (8 puntos o menos) — Cumple</t>
        </is>
      </c>
      <c r="I1891" s="8" t="n"/>
      <c r="J1891" s="23" t="n"/>
    </row>
    <row r="1892" ht="30" customHeight="1">
      <c r="G1892" s="33" t="inlineStr">
        <is>
          <t>( x )</t>
        </is>
      </c>
      <c r="H1892" s="34" t="inlineStr">
        <is>
          <t>L7 · Reglas de dominio identificadas — Cumple</t>
        </is>
      </c>
      <c r="I1892" s="8" t="n"/>
      <c r="J1892" s="23" t="n"/>
    </row>
    <row r="1893" ht="30" customHeight="1">
      <c r="G1893" s="33" t="inlineStr">
        <is>
          <t>( x )</t>
        </is>
      </c>
      <c r="H1893" s="34" t="inlineStr">
        <is>
          <t>L8 · Datos de prueba disponibles — Cumple</t>
        </is>
      </c>
      <c r="I1893" s="8" t="n"/>
      <c r="J1893" s="23" t="n"/>
    </row>
    <row r="1894" ht="30" customHeight="1">
      <c r="G1894" s="33" t="inlineStr">
        <is>
          <t>( x )</t>
        </is>
      </c>
      <c r="H1894" s="34" t="inlineStr">
        <is>
          <t>L9 · Responsable técnico asignado — Cumple</t>
        </is>
      </c>
      <c r="I1894" s="8" t="n"/>
      <c r="J1894" s="23" t="n"/>
    </row>
    <row r="1895" ht="30" customHeight="1">
      <c r="G1895" s="33" t="inlineStr">
        <is>
          <t>( x )</t>
        </is>
      </c>
      <c r="H1895" s="34" t="inlineStr">
        <is>
          <t>L10 · Recursos identificados — Cumple: Adiel + equipo</t>
        </is>
      </c>
      <c r="I1895" s="8" t="n"/>
      <c r="J1895" s="23" t="n"/>
    </row>
    <row r="1896" ht="30" customHeight="1">
      <c r="G1896" s="33" t="inlineStr">
        <is>
          <t>( x )</t>
        </is>
      </c>
      <c r="H1896" s="34" t="inlineStr">
        <is>
          <t>L11 · Requisitos técnicos de programación definidos — Cumple: FastAPI, pytest y GitHub Actions</t>
        </is>
      </c>
      <c r="I1896" s="8" t="n"/>
      <c r="J1896" s="23" t="n"/>
    </row>
    <row r="1897" ht="30" customHeight="1">
      <c r="G1897" s="33" t="inlineStr">
        <is>
          <t>( x )</t>
        </is>
      </c>
      <c r="H1897" s="34" t="inlineStr">
        <is>
          <t>L12 · Accesos de red disponibles — Cumple: Postman (plan gratuito) · Swagger de FastAPI</t>
        </is>
      </c>
      <c r="I1897" s="8" t="n"/>
      <c r="J1897" s="23" t="n"/>
    </row>
    <row r="1898" ht="36" customHeight="1">
      <c r="G1898" s="39" t="inlineStr">
        <is>
          <t>Riesgos: Colección desactualizada · generarla desde el OpenAPI de FastAPI</t>
        </is>
      </c>
      <c r="H1898" s="8" t="n"/>
      <c r="I1898" s="8" t="n"/>
      <c r="J1898" s="23" t="n"/>
    </row>
    <row r="1899" ht="36" customHeight="1">
      <c r="G1899" s="32" t="inlineStr">
        <is>
          <t>Proveedores de servicio: Postman (plan gratuito) · Swagger de FastAPI</t>
        </is>
      </c>
      <c r="H1899" s="8" t="n"/>
      <c r="I1899" s="8" t="n"/>
      <c r="J1899" s="23" t="n"/>
    </row>
    <row r="1900" ht="36" customHeight="1">
      <c r="G1900" s="36" t="inlineStr">
        <is>
          <t>Costos: S/ 0 en servicios (planes gratuitos) · horas según la votación</t>
        </is>
      </c>
      <c r="H1900" s="37" t="n"/>
      <c r="I1900" s="37" t="n"/>
      <c r="J1900" s="38" t="n"/>
    </row>
    <row r="1903">
      <c r="B1903" s="18" t="inlineStr">
        <is>
          <t>HT-07 · Cargar los datos de prueba reales (historia técnica)</t>
        </is>
      </c>
    </row>
    <row r="1904" ht="18" customHeight="1">
      <c r="B1904" s="19" t="inlineStr">
        <is>
          <t>TARJETA 1 · Historia técnica</t>
        </is>
      </c>
      <c r="C1904" s="20" t="n"/>
      <c r="D1904" s="20" t="n"/>
      <c r="E1904" s="21" t="n"/>
      <c r="G1904" s="19" t="inlineStr">
        <is>
          <t>TARJETA 2 · Definición de Listo</t>
        </is>
      </c>
      <c r="H1904" s="20" t="n"/>
      <c r="I1904" s="20" t="n"/>
      <c r="J1904" s="21" t="n"/>
      <c r="L1904" s="19" t="inlineStr">
        <is>
          <t>TARJETA 3 · Definición de Terminado</t>
        </is>
      </c>
      <c r="M1904" s="20" t="n"/>
      <c r="N1904" s="20" t="n"/>
      <c r="O1904" s="21" t="n"/>
    </row>
    <row r="1905" ht="28" customHeight="1">
      <c r="B1905" s="22" t="inlineStr">
        <is>
          <t>Habilita a las HU de usuario: no entrega una función al usuario final</t>
        </is>
      </c>
      <c r="C1905" s="8" t="n"/>
      <c r="D1905" s="8" t="n"/>
      <c r="E1905" s="23" t="n"/>
      <c r="G1905" s="22" t="inlineStr">
        <is>
          <t>El enfoque está en la consideración del equipo de desarrollo sobre si la historia está lista para un Sprint</t>
        </is>
      </c>
      <c r="H1905" s="8" t="n"/>
      <c r="I1905" s="8" t="n"/>
      <c r="J1905" s="23" t="n"/>
      <c r="L1905" s="22" t="inlineStr">
        <is>
          <t>El enfoque está en la aceptación del cliente cuando se le entregue el producto</t>
        </is>
      </c>
      <c r="M1905" s="8" t="n"/>
      <c r="N1905" s="8" t="n"/>
      <c r="O1905" s="23" t="n"/>
    </row>
    <row r="1906">
      <c r="B1906" s="24" t="inlineStr">
        <is>
          <t>Historia de usuario</t>
        </is>
      </c>
      <c r="C1906" s="8" t="n"/>
      <c r="D1906" s="25" t="inlineStr">
        <is>
          <t>Prioridad</t>
        </is>
      </c>
      <c r="E1906" s="26" t="inlineStr">
        <is>
          <t>Estimación</t>
        </is>
      </c>
      <c r="G1906" s="24" t="inlineStr">
        <is>
          <t>Historia de usuario</t>
        </is>
      </c>
      <c r="H1906" s="8" t="n"/>
      <c r="I1906" s="25" t="inlineStr">
        <is>
          <t>Prioridad</t>
        </is>
      </c>
      <c r="J1906" s="26" t="inlineStr">
        <is>
          <t>Estimación</t>
        </is>
      </c>
      <c r="L1906" s="24" t="inlineStr">
        <is>
          <t>Historia de usuario</t>
        </is>
      </c>
      <c r="M1906" s="8" t="n"/>
      <c r="N1906" s="25" t="inlineStr">
        <is>
          <t>Prioridad</t>
        </is>
      </c>
      <c r="O1906" s="26" t="inlineStr">
        <is>
          <t>Estimación</t>
        </is>
      </c>
    </row>
    <row r="1907" ht="30" customHeight="1">
      <c r="B1907" s="27" t="inlineStr">
        <is>
          <t>HT-07 · Cargar los datos de prueba reales</t>
        </is>
      </c>
      <c r="C1907" s="8" t="n"/>
      <c r="D1907" s="9" t="inlineStr">
        <is>
          <t>Alta</t>
        </is>
      </c>
      <c r="E1907" s="28" t="inlineStr">
        <is>
          <t>Por votar</t>
        </is>
      </c>
      <c r="G1907" s="27" t="inlineStr">
        <is>
          <t>HT-07 · Cargar los datos de prueba reales</t>
        </is>
      </c>
      <c r="H1907" s="8" t="n"/>
      <c r="I1907" s="9" t="inlineStr">
        <is>
          <t>Alta</t>
        </is>
      </c>
      <c r="J1907" s="28" t="inlineStr">
        <is>
          <t>Por votar</t>
        </is>
      </c>
      <c r="L1907" s="27" t="inlineStr">
        <is>
          <t>HT-07 · Cargar los datos de prueba reales</t>
        </is>
      </c>
      <c r="M1907" s="8" t="n"/>
      <c r="N1907" s="9" t="inlineStr">
        <is>
          <t>Alta</t>
        </is>
      </c>
      <c r="O1907" s="28" t="inlineStr">
        <is>
          <t>Por votar</t>
        </is>
      </c>
    </row>
    <row r="1908">
      <c r="B1908" s="29" t="inlineStr">
        <is>
          <t>Descripción:</t>
        </is>
      </c>
      <c r="C1908" s="8" t="n"/>
      <c r="D1908" s="8" t="n"/>
      <c r="E1908" s="23" t="n"/>
      <c r="G1908" s="29" t="inlineStr">
        <is>
          <t>Descripción:</t>
        </is>
      </c>
      <c r="H1908" s="8" t="n"/>
      <c r="I1908" s="8" t="n"/>
      <c r="J1908" s="23" t="n"/>
      <c r="L1908" s="29" t="inlineStr">
        <is>
          <t>Descripción:</t>
        </is>
      </c>
      <c r="M1908" s="8" t="n"/>
      <c r="N1908" s="8" t="n"/>
      <c r="O1908" s="23" t="n"/>
    </row>
    <row r="1909" ht="28" customHeight="1">
      <c r="B1909" s="30" t="inlineStr">
        <is>
          <t>Como equipo de desarrollo, quiero la base de pruebas cargada con los datos reales del cliente, para que ninguna HU se pruebe con datos inventados.</t>
        </is>
      </c>
      <c r="C1909" s="8" t="n"/>
      <c r="D1909" s="8" t="n"/>
      <c r="E1909" s="23" t="n"/>
      <c r="G1909" s="30" t="inlineStr">
        <is>
          <t>Como equipo de desarrollo, quiero la base de pruebas cargada con los datos reales del cliente, para que ninguna HU se pruebe con datos inventados.</t>
        </is>
      </c>
      <c r="H1909" s="8" t="n"/>
      <c r="I1909" s="8" t="n"/>
      <c r="J1909" s="23" t="n"/>
      <c r="L1909" s="30" t="inlineStr">
        <is>
          <t>Como equipo de desarrollo, quiero la base de pruebas cargada con los datos reales del cliente, para que ninguna HU se pruebe con datos inventados.</t>
        </is>
      </c>
      <c r="M1909" s="8" t="n"/>
      <c r="N1909" s="8" t="n"/>
      <c r="O1909" s="23" t="n"/>
    </row>
    <row r="1910" ht="28" customHeight="1">
      <c r="B1910" s="31" t="n"/>
      <c r="C1910" s="8" t="n"/>
      <c r="D1910" s="8" t="n"/>
      <c r="E1910" s="23" t="n"/>
      <c r="G1910" s="31" t="n"/>
      <c r="H1910" s="8" t="n"/>
      <c r="I1910" s="8" t="n"/>
      <c r="J1910" s="23" t="n"/>
      <c r="L1910" s="31" t="n"/>
      <c r="M1910" s="8" t="n"/>
      <c r="N1910" s="8" t="n"/>
      <c r="O1910" s="23" t="n"/>
    </row>
    <row r="1911">
      <c r="B1911" s="29" t="inlineStr">
        <is>
          <t>Ficha de la historia</t>
        </is>
      </c>
      <c r="C1911" s="8" t="n"/>
      <c r="D1911" s="8" t="n"/>
      <c r="E1911" s="23" t="n"/>
      <c r="G1911" s="29" t="inlineStr">
        <is>
          <t>Criterios de listo:</t>
        </is>
      </c>
      <c r="H1911" s="8" t="n"/>
      <c r="I1911" s="8" t="n"/>
      <c r="J1911" s="23" t="n"/>
      <c r="L1911" s="29" t="inlineStr">
        <is>
          <t>Condiciones finales (se marcan cuando el PO acepta la historia en la Review):</t>
        </is>
      </c>
      <c r="M1911" s="8" t="n"/>
      <c r="N1911" s="8" t="n"/>
      <c r="O1911" s="23" t="n"/>
    </row>
    <row r="1912" ht="30" customHeight="1">
      <c r="B1912" s="32" t="inlineStr">
        <is>
          <t>Tipo: Historia técnica (habilitadora)</t>
        </is>
      </c>
      <c r="C1912" s="8" t="n"/>
      <c r="D1912" s="8" t="n"/>
      <c r="E1912" s="23" t="n"/>
      <c r="G1912" s="33" t="inlineStr">
        <is>
          <t>( x )</t>
        </is>
      </c>
      <c r="H1912" s="34" t="inlineStr">
        <is>
          <t>L1 · Redactada en el formato acordado — Cumple</t>
        </is>
      </c>
      <c r="I1912" s="8" t="n"/>
      <c r="J1912" s="23" t="n"/>
      <c r="L1912" s="35" t="inlineStr">
        <is>
          <t>(    )</t>
        </is>
      </c>
      <c r="M1912" s="34" t="inlineStr">
        <is>
          <t>Se han cargado los 626 proveedores y el catálogo de insumos del cliente</t>
        </is>
      </c>
      <c r="N1912" s="8" t="n"/>
      <c r="O1912" s="23" t="n"/>
    </row>
    <row r="1913" ht="30" customHeight="1">
      <c r="B1913" s="32" t="inlineStr">
        <is>
          <t>Qué destraba: L8 de la DoR y las pruebas de importación</t>
        </is>
      </c>
      <c r="C1913" s="8" t="n"/>
      <c r="D1913" s="8" t="n"/>
      <c r="E1913" s="23" t="n"/>
      <c r="G1913" s="33" t="inlineStr">
        <is>
          <t>( x )</t>
        </is>
      </c>
      <c r="H1913" s="34" t="inlineStr">
        <is>
          <t>L2 · Nombre corto en forma de acción — Cumple</t>
        </is>
      </c>
      <c r="I1913" s="8" t="n"/>
      <c r="J1913" s="23" t="n"/>
      <c r="L1913" s="35" t="inlineStr">
        <is>
          <t>(    )</t>
        </is>
      </c>
      <c r="M1913" s="34" t="inlineStr">
        <is>
          <t>Se ha creado la obra Multifamiliar Flores con su relación de insumos del S10</t>
        </is>
      </c>
      <c r="N1913" s="8" t="n"/>
      <c r="O1913" s="23" t="n"/>
    </row>
    <row r="1914" ht="30" customHeight="1">
      <c r="B1914" s="32" t="inlineStr">
        <is>
          <t>Responsable técnico: Adiel</t>
        </is>
      </c>
      <c r="C1914" s="8" t="n"/>
      <c r="D1914" s="8" t="n"/>
      <c r="E1914" s="23" t="n"/>
      <c r="G1914" s="33" t="inlineStr">
        <is>
          <t>( x )</t>
        </is>
      </c>
      <c r="H1914" s="34" t="inlineStr">
        <is>
          <t>L3 · Criterios de aceptación escritos — Cumple</t>
        </is>
      </c>
      <c r="I1914" s="8" t="n"/>
      <c r="J1914" s="23" t="n"/>
      <c r="L1914" s="35" t="inlineStr">
        <is>
          <t>(    )</t>
        </is>
      </c>
      <c r="M1914" s="34" t="inlineStr">
        <is>
          <t>Una segunda carga no ha duplicado ningún registro</t>
        </is>
      </c>
      <c r="N1914" s="8" t="n"/>
      <c r="O1914" s="23" t="n"/>
    </row>
    <row r="1915" ht="36" customHeight="1">
      <c r="B1915" s="36" t="inlineStr">
        <is>
          <t>Depende de: HT-01</t>
        </is>
      </c>
      <c r="C1915" s="37" t="n"/>
      <c r="D1915" s="37" t="n"/>
      <c r="E1915" s="38" t="n"/>
      <c r="G1915" s="33" t="inlineStr">
        <is>
          <t>( x )</t>
        </is>
      </c>
      <c r="H1915" s="34" t="inlineStr">
        <is>
          <t>L4 · Dependencias resueltas — Cumple</t>
        </is>
      </c>
      <c r="I1915" s="8" t="n"/>
      <c r="J1915" s="23" t="n"/>
      <c r="L1915" s="36" t="inlineStr">
        <is>
          <t>Mitad técnica: Además, los criterios T1 a T10 de la hoja «3. Criterios DoR y DoD» que le apliquen</t>
        </is>
      </c>
      <c r="M1915" s="37" t="n"/>
      <c r="N1915" s="37" t="n"/>
      <c r="O1915" s="38" t="n"/>
    </row>
    <row r="1916" ht="30" customHeight="1">
      <c r="G1916" s="40" t="inlineStr">
        <is>
          <t>( x )</t>
        </is>
      </c>
      <c r="H1916" s="34" t="inlineStr">
        <is>
          <t>L5 · Estimada por los Developers — No cumple: se vota en el próximo Daily</t>
        </is>
      </c>
      <c r="I1916" s="8" t="n"/>
      <c r="J1916" s="23" t="n"/>
    </row>
    <row r="1917" ht="30" customHeight="1">
      <c r="G1917" s="33" t="inlineStr">
        <is>
          <t>( x )</t>
        </is>
      </c>
      <c r="H1917" s="34" t="inlineStr">
        <is>
          <t>L6 · Cabe en un sprint (8 puntos o menos) — Cumple</t>
        </is>
      </c>
      <c r="I1917" s="8" t="n"/>
      <c r="J1917" s="23" t="n"/>
    </row>
    <row r="1918" ht="30" customHeight="1">
      <c r="G1918" s="33" t="inlineStr">
        <is>
          <t>( x )</t>
        </is>
      </c>
      <c r="H1918" s="34" t="inlineStr">
        <is>
          <t>L7 · Reglas de dominio identificadas — Cumple</t>
        </is>
      </c>
      <c r="I1918" s="8" t="n"/>
      <c r="J1918" s="23" t="n"/>
    </row>
    <row r="1919" ht="30" customHeight="1">
      <c r="G1919" s="33" t="inlineStr">
        <is>
          <t>( x )</t>
        </is>
      </c>
      <c r="H1919" s="34" t="inlineStr">
        <is>
          <t>L8 · Datos de prueba disponibles — Cumple</t>
        </is>
      </c>
      <c r="I1919" s="8" t="n"/>
      <c r="J1919" s="23" t="n"/>
    </row>
    <row r="1920" ht="30" customHeight="1">
      <c r="G1920" s="33" t="inlineStr">
        <is>
          <t>( x )</t>
        </is>
      </c>
      <c r="H1920" s="34" t="inlineStr">
        <is>
          <t>L9 · Responsable técnico asignado — Cumple</t>
        </is>
      </c>
      <c r="I1920" s="8" t="n"/>
      <c r="J1920" s="23" t="n"/>
    </row>
    <row r="1921" ht="30" customHeight="1">
      <c r="G1921" s="33" t="inlineStr">
        <is>
          <t>( x )</t>
        </is>
      </c>
      <c r="H1921" s="34" t="inlineStr">
        <is>
          <t>L10 · Recursos identificados — Cumple: Adiel + equipo</t>
        </is>
      </c>
      <c r="I1921" s="8" t="n"/>
      <c r="J1921" s="23" t="n"/>
    </row>
    <row r="1922" ht="30" customHeight="1">
      <c r="G1922" s="33" t="inlineStr">
        <is>
          <t>( x )</t>
        </is>
      </c>
      <c r="H1922" s="34" t="inlineStr">
        <is>
          <t>L11 · Requisitos técnicos de programación definidos — Cumple: FastAPI, pytest y GitHub Actions</t>
        </is>
      </c>
      <c r="I1922" s="8" t="n"/>
      <c r="J1922" s="23" t="n"/>
    </row>
    <row r="1923" ht="30" customHeight="1">
      <c r="G1923" s="33" t="inlineStr">
        <is>
          <t>( x )</t>
        </is>
      </c>
      <c r="H1923" s="34" t="inlineStr">
        <is>
          <t>L12 · Accesos de red disponibles — Cumple: PostgreSQL de pruebas · archivos del cliente (S10, proveedores, catálogo)</t>
        </is>
      </c>
      <c r="I1923" s="8" t="n"/>
      <c r="J1923" s="23" t="n"/>
    </row>
    <row r="1924" ht="36" customHeight="1">
      <c r="G1924" s="39" t="inlineStr">
        <is>
          <t>Riesgos: Cargar dos veces y duplicar · cargadores idempotentes con --dry-run</t>
        </is>
      </c>
      <c r="H1924" s="8" t="n"/>
      <c r="I1924" s="8" t="n"/>
      <c r="J1924" s="23" t="n"/>
    </row>
    <row r="1925" ht="36" customHeight="1">
      <c r="G1925" s="32" t="inlineStr">
        <is>
          <t>Proveedores de servicio: PostgreSQL de pruebas · archivos del cliente (S10, proveedores, catálogo)</t>
        </is>
      </c>
      <c r="H1925" s="8" t="n"/>
      <c r="I1925" s="8" t="n"/>
      <c r="J1925" s="23" t="n"/>
    </row>
    <row r="1926" ht="36" customHeight="1">
      <c r="G1926" s="36" t="inlineStr">
        <is>
          <t>Costos: S/ 0 en servicios (planes gratuitos) · horas según la votación</t>
        </is>
      </c>
      <c r="H1926" s="37" t="n"/>
      <c r="I1926" s="37" t="n"/>
      <c r="J1926" s="38" t="n"/>
    </row>
    <row r="1929">
      <c r="B1929" s="18" t="inlineStr">
        <is>
          <t>HT-08 · Autenticar a los servicios entre sí (historia técnica)</t>
        </is>
      </c>
    </row>
    <row r="1930" ht="18" customHeight="1">
      <c r="B1930" s="19" t="inlineStr">
        <is>
          <t>TARJETA 1 · Historia técnica</t>
        </is>
      </c>
      <c r="C1930" s="20" t="n"/>
      <c r="D1930" s="20" t="n"/>
      <c r="E1930" s="21" t="n"/>
      <c r="G1930" s="19" t="inlineStr">
        <is>
          <t>TARJETA 2 · Definición de Listo</t>
        </is>
      </c>
      <c r="H1930" s="20" t="n"/>
      <c r="I1930" s="20" t="n"/>
      <c r="J1930" s="21" t="n"/>
      <c r="L1930" s="19" t="inlineStr">
        <is>
          <t>TARJETA 3 · Definición de Terminado</t>
        </is>
      </c>
      <c r="M1930" s="20" t="n"/>
      <c r="N1930" s="20" t="n"/>
      <c r="O1930" s="21" t="n"/>
    </row>
    <row r="1931" ht="28" customHeight="1">
      <c r="B1931" s="22" t="inlineStr">
        <is>
          <t>Habilita a las HU de usuario: no entrega una función al usuario final</t>
        </is>
      </c>
      <c r="C1931" s="8" t="n"/>
      <c r="D1931" s="8" t="n"/>
      <c r="E1931" s="23" t="n"/>
      <c r="G1931" s="22" t="inlineStr">
        <is>
          <t>El enfoque está en la consideración del equipo de desarrollo sobre si la historia está lista para un Sprint</t>
        </is>
      </c>
      <c r="H1931" s="8" t="n"/>
      <c r="I1931" s="8" t="n"/>
      <c r="J1931" s="23" t="n"/>
      <c r="L1931" s="22" t="inlineStr">
        <is>
          <t>El enfoque está en la aceptación del cliente cuando se le entregue el producto</t>
        </is>
      </c>
      <c r="M1931" s="8" t="n"/>
      <c r="N1931" s="8" t="n"/>
      <c r="O1931" s="23" t="n"/>
    </row>
    <row r="1932">
      <c r="B1932" s="24" t="inlineStr">
        <is>
          <t>Historia de usuario</t>
        </is>
      </c>
      <c r="C1932" s="8" t="n"/>
      <c r="D1932" s="25" t="inlineStr">
        <is>
          <t>Prioridad</t>
        </is>
      </c>
      <c r="E1932" s="26" t="inlineStr">
        <is>
          <t>Estimación</t>
        </is>
      </c>
      <c r="G1932" s="24" t="inlineStr">
        <is>
          <t>Historia de usuario</t>
        </is>
      </c>
      <c r="H1932" s="8" t="n"/>
      <c r="I1932" s="25" t="inlineStr">
        <is>
          <t>Prioridad</t>
        </is>
      </c>
      <c r="J1932" s="26" t="inlineStr">
        <is>
          <t>Estimación</t>
        </is>
      </c>
      <c r="L1932" s="24" t="inlineStr">
        <is>
          <t>Historia de usuario</t>
        </is>
      </c>
      <c r="M1932" s="8" t="n"/>
      <c r="N1932" s="25" t="inlineStr">
        <is>
          <t>Prioridad</t>
        </is>
      </c>
      <c r="O1932" s="26" t="inlineStr">
        <is>
          <t>Estimación</t>
        </is>
      </c>
    </row>
    <row r="1933" ht="30" customHeight="1">
      <c r="B1933" s="27" t="inlineStr">
        <is>
          <t>HT-08 · Autenticar a los servicios entre sí</t>
        </is>
      </c>
      <c r="C1933" s="8" t="n"/>
      <c r="D1933" s="9" t="inlineStr">
        <is>
          <t>Alta</t>
        </is>
      </c>
      <c r="E1933" s="28" t="inlineStr">
        <is>
          <t>Por votar</t>
        </is>
      </c>
      <c r="G1933" s="27" t="inlineStr">
        <is>
          <t>HT-08 · Autenticar a los servicios entre sí</t>
        </is>
      </c>
      <c r="H1933" s="8" t="n"/>
      <c r="I1933" s="9" t="inlineStr">
        <is>
          <t>Alta</t>
        </is>
      </c>
      <c r="J1933" s="28" t="inlineStr">
        <is>
          <t>Por votar</t>
        </is>
      </c>
      <c r="L1933" s="27" t="inlineStr">
        <is>
          <t>HT-08 · Autenticar a los servicios entre sí</t>
        </is>
      </c>
      <c r="M1933" s="8" t="n"/>
      <c r="N1933" s="9" t="inlineStr">
        <is>
          <t>Alta</t>
        </is>
      </c>
      <c r="O1933" s="28" t="inlineStr">
        <is>
          <t>Por votar</t>
        </is>
      </c>
    </row>
    <row r="1934">
      <c r="B1934" s="29" t="inlineStr">
        <is>
          <t>Descripción:</t>
        </is>
      </c>
      <c r="C1934" s="8" t="n"/>
      <c r="D1934" s="8" t="n"/>
      <c r="E1934" s="23" t="n"/>
      <c r="G1934" s="29" t="inlineStr">
        <is>
          <t>Descripción:</t>
        </is>
      </c>
      <c r="H1934" s="8" t="n"/>
      <c r="I1934" s="8" t="n"/>
      <c r="J1934" s="23" t="n"/>
      <c r="L1934" s="29" t="inlineStr">
        <is>
          <t>Descripción:</t>
        </is>
      </c>
      <c r="M1934" s="8" t="n"/>
      <c r="N1934" s="8" t="n"/>
      <c r="O1934" s="23" t="n"/>
    </row>
    <row r="1935" ht="28" customHeight="1">
      <c r="B1935" s="30" t="inlineStr">
        <is>
          <t>Como equipo de desarrollo, quiero que Integraciones y Notificaciones solo atiendan a la API con un token de servicio, para que nadie gaste las consultas de Factiliza ni envíe avisos falsos.</t>
        </is>
      </c>
      <c r="C1935" s="8" t="n"/>
      <c r="D1935" s="8" t="n"/>
      <c r="E1935" s="23" t="n"/>
      <c r="G1935" s="30" t="inlineStr">
        <is>
          <t>Como equipo de desarrollo, quiero que Integraciones y Notificaciones solo atiendan a la API con un token de servicio, para que nadie gaste las consultas de Factiliza ni envíe avisos falsos.</t>
        </is>
      </c>
      <c r="H1935" s="8" t="n"/>
      <c r="I1935" s="8" t="n"/>
      <c r="J1935" s="23" t="n"/>
      <c r="L1935" s="30" t="inlineStr">
        <is>
          <t>Como equipo de desarrollo, quiero que Integraciones y Notificaciones solo atiendan a la API con un token de servicio, para que nadie gaste las consultas de Factiliza ni envíe avisos falsos.</t>
        </is>
      </c>
      <c r="M1935" s="8" t="n"/>
      <c r="N1935" s="8" t="n"/>
      <c r="O1935" s="23" t="n"/>
    </row>
    <row r="1936" ht="28" customHeight="1">
      <c r="B1936" s="31" t="n"/>
      <c r="C1936" s="8" t="n"/>
      <c r="D1936" s="8" t="n"/>
      <c r="E1936" s="23" t="n"/>
      <c r="G1936" s="31" t="n"/>
      <c r="H1936" s="8" t="n"/>
      <c r="I1936" s="8" t="n"/>
      <c r="J1936" s="23" t="n"/>
      <c r="L1936" s="31" t="n"/>
      <c r="M1936" s="8" t="n"/>
      <c r="N1936" s="8" t="n"/>
      <c r="O1936" s="23" t="n"/>
    </row>
    <row r="1937">
      <c r="B1937" s="29" t="inlineStr">
        <is>
          <t>Ficha de la historia</t>
        </is>
      </c>
      <c r="C1937" s="8" t="n"/>
      <c r="D1937" s="8" t="n"/>
      <c r="E1937" s="23" t="n"/>
      <c r="G1937" s="29" t="inlineStr">
        <is>
          <t>Criterios de listo:</t>
        </is>
      </c>
      <c r="H1937" s="8" t="n"/>
      <c r="I1937" s="8" t="n"/>
      <c r="J1937" s="23" t="n"/>
      <c r="L1937" s="29" t="inlineStr">
        <is>
          <t>Condiciones finales (se marcan cuando el PO acepta la historia en la Review):</t>
        </is>
      </c>
      <c r="M1937" s="8" t="n"/>
      <c r="N1937" s="8" t="n"/>
      <c r="O1937" s="23" t="n"/>
    </row>
    <row r="1938" ht="30" customHeight="1">
      <c r="B1938" s="32" t="inlineStr">
        <is>
          <t>Tipo: Historia técnica (habilitadora)</t>
        </is>
      </c>
      <c r="C1938" s="8" t="n"/>
      <c r="D1938" s="8" t="n"/>
      <c r="E1938" s="23" t="n"/>
      <c r="G1938" s="33" t="inlineStr">
        <is>
          <t>( x )</t>
        </is>
      </c>
      <c r="H1938" s="34" t="inlineStr">
        <is>
          <t>L1 · Redactada en el formato acordado — Cumple</t>
        </is>
      </c>
      <c r="I1938" s="8" t="n"/>
      <c r="J1938" s="23" t="n"/>
      <c r="L1938" s="35" t="inlineStr">
        <is>
          <t>(    )</t>
        </is>
      </c>
      <c r="M1938" s="34" t="inlineStr">
        <is>
          <t>Una llamada a Integraciones sin el token de servicio se ha rechazado con 401</t>
        </is>
      </c>
      <c r="N1938" s="8" t="n"/>
      <c r="O1938" s="23" t="n"/>
    </row>
    <row r="1939" ht="30" customHeight="1">
      <c r="B1939" s="32" t="inlineStr">
        <is>
          <t>Qué destraba: La seguridad de las integraciones (incidencia del 22/10)</t>
        </is>
      </c>
      <c r="C1939" s="8" t="n"/>
      <c r="D1939" s="8" t="n"/>
      <c r="E1939" s="23" t="n"/>
      <c r="G1939" s="33" t="inlineStr">
        <is>
          <t>( x )</t>
        </is>
      </c>
      <c r="H1939" s="34" t="inlineStr">
        <is>
          <t>L2 · Nombre corto en forma de acción — Cumple</t>
        </is>
      </c>
      <c r="I1939" s="8" t="n"/>
      <c r="J1939" s="23" t="n"/>
      <c r="L1939" s="35" t="inlineStr">
        <is>
          <t>(    )</t>
        </is>
      </c>
      <c r="M1939" s="34" t="inlineStr">
        <is>
          <t>La API ha llamado a Integraciones y a Notificaciones con su token desde docker compose</t>
        </is>
      </c>
      <c r="N1939" s="8" t="n"/>
      <c r="O1939" s="23" t="n"/>
    </row>
    <row r="1940" ht="30" customHeight="1">
      <c r="B1940" s="32" t="inlineStr">
        <is>
          <t>Responsable técnico: Fernando</t>
        </is>
      </c>
      <c r="C1940" s="8" t="n"/>
      <c r="D1940" s="8" t="n"/>
      <c r="E1940" s="23" t="n"/>
      <c r="G1940" s="33" t="inlineStr">
        <is>
          <t>( x )</t>
        </is>
      </c>
      <c r="H1940" s="34" t="inlineStr">
        <is>
          <t>L3 · Criterios de aceptación escritos — Cumple</t>
        </is>
      </c>
      <c r="I1940" s="8" t="n"/>
      <c r="J1940" s="23" t="n"/>
      <c r="L1940" s="35" t="inlineStr">
        <is>
          <t>(    )</t>
        </is>
      </c>
      <c r="M1940" s="34" t="inlineStr">
        <is>
          <t>El token se ha guardado como variable de entorno, nunca en el código</t>
        </is>
      </c>
      <c r="N1940" s="8" t="n"/>
      <c r="O1940" s="23" t="n"/>
    </row>
    <row r="1941" ht="36" customHeight="1">
      <c r="B1941" s="36" t="inlineStr">
        <is>
          <t>Depende de: HT-01</t>
        </is>
      </c>
      <c r="C1941" s="37" t="n"/>
      <c r="D1941" s="37" t="n"/>
      <c r="E1941" s="38" t="n"/>
      <c r="G1941" s="33" t="inlineStr">
        <is>
          <t>( x )</t>
        </is>
      </c>
      <c r="H1941" s="34" t="inlineStr">
        <is>
          <t>L4 · Dependencias resueltas — Cumple</t>
        </is>
      </c>
      <c r="I1941" s="8" t="n"/>
      <c r="J1941" s="23" t="n"/>
      <c r="L1941" s="36" t="inlineStr">
        <is>
          <t>Mitad técnica: Además, los criterios T1 a T10 de la hoja «3. Criterios DoR y DoD» que le apliquen</t>
        </is>
      </c>
      <c r="M1941" s="37" t="n"/>
      <c r="N1941" s="37" t="n"/>
      <c r="O1941" s="38" t="n"/>
    </row>
    <row r="1942" ht="30" customHeight="1">
      <c r="G1942" s="40" t="inlineStr">
        <is>
          <t>( x )</t>
        </is>
      </c>
      <c r="H1942" s="34" t="inlineStr">
        <is>
          <t>L5 · Estimada por los Developers — No cumple: se vota en el próximo Daily</t>
        </is>
      </c>
      <c r="I1942" s="8" t="n"/>
      <c r="J1942" s="23" t="n"/>
    </row>
    <row r="1943" ht="30" customHeight="1">
      <c r="G1943" s="33" t="inlineStr">
        <is>
          <t>( x )</t>
        </is>
      </c>
      <c r="H1943" s="34" t="inlineStr">
        <is>
          <t>L6 · Cabe en un sprint (8 puntos o menos) — Cumple</t>
        </is>
      </c>
      <c r="I1943" s="8" t="n"/>
      <c r="J1943" s="23" t="n"/>
    </row>
    <row r="1944" ht="30" customHeight="1">
      <c r="G1944" s="33" t="inlineStr">
        <is>
          <t>( x )</t>
        </is>
      </c>
      <c r="H1944" s="34" t="inlineStr">
        <is>
          <t>L7 · Reglas de dominio identificadas — Cumple</t>
        </is>
      </c>
      <c r="I1944" s="8" t="n"/>
      <c r="J1944" s="23" t="n"/>
    </row>
    <row r="1945" ht="30" customHeight="1">
      <c r="G1945" s="33" t="inlineStr">
        <is>
          <t>( x )</t>
        </is>
      </c>
      <c r="H1945" s="34" t="inlineStr">
        <is>
          <t>L8 · Datos de prueba disponibles — Cumple</t>
        </is>
      </c>
      <c r="I1945" s="8" t="n"/>
      <c r="J1945" s="23" t="n"/>
    </row>
    <row r="1946" ht="30" customHeight="1">
      <c r="G1946" s="33" t="inlineStr">
        <is>
          <t>( x )</t>
        </is>
      </c>
      <c r="H1946" s="34" t="inlineStr">
        <is>
          <t>L9 · Responsable técnico asignado — Cumple</t>
        </is>
      </c>
      <c r="I1946" s="8" t="n"/>
      <c r="J1946" s="23" t="n"/>
    </row>
    <row r="1947" ht="30" customHeight="1">
      <c r="G1947" s="33" t="inlineStr">
        <is>
          <t>( x )</t>
        </is>
      </c>
      <c r="H1947" s="34" t="inlineStr">
        <is>
          <t>L10 · Recursos identificados — Cumple: Fernando + equipo</t>
        </is>
      </c>
      <c r="I1947" s="8" t="n"/>
      <c r="J1947" s="23" t="n"/>
    </row>
    <row r="1948" ht="30" customHeight="1">
      <c r="G1948" s="33" t="inlineStr">
        <is>
          <t>( x )</t>
        </is>
      </c>
      <c r="H1948" s="34" t="inlineStr">
        <is>
          <t>L11 · Requisitos técnicos de programación definidos — Cumple: FastAPI, Docker y la consola del hosting</t>
        </is>
      </c>
      <c r="I1948" s="8" t="n"/>
      <c r="J1948" s="23" t="n"/>
    </row>
    <row r="1949" ht="30" customHeight="1">
      <c r="G1949" s="33" t="inlineStr">
        <is>
          <t>( x )</t>
        </is>
      </c>
      <c r="H1949" s="34" t="inlineStr">
        <is>
          <t>L12 · Accesos de red disponibles — Cumple: Microservicios Integraciones y Notificaciones · Factiliza</t>
        </is>
      </c>
      <c r="I1949" s="8" t="n"/>
      <c r="J1949" s="23" t="n"/>
    </row>
    <row r="1950" ht="36" customHeight="1">
      <c r="G1950" s="39" t="inlineStr">
        <is>
          <t>Riesgos: Token expuesto en el frontend · solo la API lo conoce</t>
        </is>
      </c>
      <c r="H1950" s="8" t="n"/>
      <c r="I1950" s="8" t="n"/>
      <c r="J1950" s="23" t="n"/>
    </row>
    <row r="1951" ht="36" customHeight="1">
      <c r="G1951" s="32" t="inlineStr">
        <is>
          <t>Proveedores de servicio: Microservicios Integraciones y Notificaciones · Factiliza</t>
        </is>
      </c>
      <c r="H1951" s="8" t="n"/>
      <c r="I1951" s="8" t="n"/>
      <c r="J1951" s="23" t="n"/>
    </row>
    <row r="1952" ht="36" customHeight="1">
      <c r="G1952" s="36" t="inlineStr">
        <is>
          <t>Costos: S/ 0 en servicios (planes gratuitos) · horas según la votación</t>
        </is>
      </c>
      <c r="H1952" s="37" t="n"/>
      <c r="I1952" s="37" t="n"/>
      <c r="J1952" s="38" t="n"/>
    </row>
  </sheetData>
  <mergeCells count="3324">
    <mergeCell ref="L1725:M1725"/>
    <mergeCell ref="B1886:E1886"/>
    <mergeCell ref="B1861:E1861"/>
    <mergeCell ref="G1232:J1232"/>
    <mergeCell ref="H1784:J1784"/>
    <mergeCell ref="B68:E68"/>
    <mergeCell ref="G1778:J1778"/>
    <mergeCell ref="L1124:O1124"/>
    <mergeCell ref="L947:O948"/>
    <mergeCell ref="H1479:J1479"/>
    <mergeCell ref="L1308:M1308"/>
    <mergeCell ref="L1883:O1884"/>
    <mergeCell ref="B1915:E1915"/>
    <mergeCell ref="H747:J747"/>
    <mergeCell ref="B789:C789"/>
    <mergeCell ref="B374:E374"/>
    <mergeCell ref="L1151:O1151"/>
    <mergeCell ref="G1690:J1690"/>
    <mergeCell ref="H538:J538"/>
    <mergeCell ref="H22:J22"/>
    <mergeCell ref="H1474:J1474"/>
    <mergeCell ref="H75:J75"/>
    <mergeCell ref="L1878:O1878"/>
    <mergeCell ref="L997:M997"/>
    <mergeCell ref="L91:O91"/>
    <mergeCell ref="H1808:J1808"/>
    <mergeCell ref="H749:J749"/>
    <mergeCell ref="G892:H892"/>
    <mergeCell ref="H409:J409"/>
    <mergeCell ref="G1692:J1692"/>
    <mergeCell ref="H540:J540"/>
    <mergeCell ref="M666:O666"/>
    <mergeCell ref="B1387:C1387"/>
    <mergeCell ref="H1136:J1136"/>
    <mergeCell ref="B215:E215"/>
    <mergeCell ref="M1393:O1393"/>
    <mergeCell ref="H1810:J1810"/>
    <mergeCell ref="B243:C243"/>
    <mergeCell ref="G139:H139"/>
    <mergeCell ref="H1347:J1347"/>
    <mergeCell ref="B847:E847"/>
    <mergeCell ref="L973:O974"/>
    <mergeCell ref="G1415:J1416"/>
    <mergeCell ref="M1264:O1264"/>
    <mergeCell ref="M509:O509"/>
    <mergeCell ref="B1308:C1308"/>
    <mergeCell ref="H1505:J1505"/>
    <mergeCell ref="B1783:E1783"/>
    <mergeCell ref="B244:E244"/>
    <mergeCell ref="B819:E819"/>
    <mergeCell ref="B1574:E1574"/>
    <mergeCell ref="G184:J184"/>
    <mergeCell ref="L1177:O1177"/>
    <mergeCell ref="B1785:E1785"/>
    <mergeCell ref="G1404:J1404"/>
    <mergeCell ref="L117:O117"/>
    <mergeCell ref="B557:E558"/>
    <mergeCell ref="G1105:J1105"/>
    <mergeCell ref="H591:J591"/>
    <mergeCell ref="G344:J344"/>
    <mergeCell ref="B1600:E1600"/>
    <mergeCell ref="B761:E761"/>
    <mergeCell ref="G11:J12"/>
    <mergeCell ref="G520:J520"/>
    <mergeCell ref="H1065:J1065"/>
    <mergeCell ref="L710:M710"/>
    <mergeCell ref="G949:J949"/>
    <mergeCell ref="B1488:E1488"/>
    <mergeCell ref="H462:J462"/>
    <mergeCell ref="G1614:J1614"/>
    <mergeCell ref="B456:E456"/>
    <mergeCell ref="G215:J215"/>
    <mergeCell ref="B1155:E1156"/>
    <mergeCell ref="H1652:J1652"/>
    <mergeCell ref="G1405:J1405"/>
    <mergeCell ref="H1792:J1792"/>
    <mergeCell ref="G1703:J1703"/>
    <mergeCell ref="H1189:J1189"/>
    <mergeCell ref="M1290:O1290"/>
    <mergeCell ref="G61:H61"/>
    <mergeCell ref="H1523:J1523"/>
    <mergeCell ref="H305:J305"/>
    <mergeCell ref="L1076:O1076"/>
    <mergeCell ref="M562:O562"/>
    <mergeCell ref="H1218:J1218"/>
    <mergeCell ref="H463:J463"/>
    <mergeCell ref="B1776:C1776"/>
    <mergeCell ref="H1525:J1525"/>
    <mergeCell ref="B16:E16"/>
    <mergeCell ref="L890:O890"/>
    <mergeCell ref="G37:J38"/>
    <mergeCell ref="B743:E743"/>
    <mergeCell ref="G975:J975"/>
    <mergeCell ref="B901:E901"/>
    <mergeCell ref="G660:J660"/>
    <mergeCell ref="B140:E140"/>
    <mergeCell ref="G241:J241"/>
    <mergeCell ref="G1857:J1858"/>
    <mergeCell ref="L137:O137"/>
    <mergeCell ref="H1735:J1735"/>
    <mergeCell ref="B1777:C1777"/>
    <mergeCell ref="B1804:E1804"/>
    <mergeCell ref="L1864:O1864"/>
    <mergeCell ref="G1306:J1306"/>
    <mergeCell ref="H490:J490"/>
    <mergeCell ref="G1327:J1327"/>
    <mergeCell ref="H175:J175"/>
    <mergeCell ref="G572:J572"/>
    <mergeCell ref="B1499:E1499"/>
    <mergeCell ref="L166:O166"/>
    <mergeCell ref="L1830:O1830"/>
    <mergeCell ref="H902:J902"/>
    <mergeCell ref="B1802:C1802"/>
    <mergeCell ref="H1576:J1576"/>
    <mergeCell ref="G574:J574"/>
    <mergeCell ref="L1859:O1859"/>
    <mergeCell ref="B918:C918"/>
    <mergeCell ref="H904:J904"/>
    <mergeCell ref="M275:O275"/>
    <mergeCell ref="M250:O250"/>
    <mergeCell ref="H176:J176"/>
    <mergeCell ref="G659:H659"/>
    <mergeCell ref="B1049:C1049"/>
    <mergeCell ref="H1419:J1419"/>
    <mergeCell ref="H178:J178"/>
    <mergeCell ref="H694:J694"/>
    <mergeCell ref="B323:E324"/>
    <mergeCell ref="B1342:E1342"/>
    <mergeCell ref="L59:O59"/>
    <mergeCell ref="B614:E614"/>
    <mergeCell ref="L1541:O1541"/>
    <mergeCell ref="B527:E527"/>
    <mergeCell ref="G1774:J1774"/>
    <mergeCell ref="G715:J715"/>
    <mergeCell ref="B1254:E1254"/>
    <mergeCell ref="H203:J203"/>
    <mergeCell ref="B921:E922"/>
    <mergeCell ref="L1285:O1286"/>
    <mergeCell ref="G1171:J1171"/>
    <mergeCell ref="G1469:J1469"/>
    <mergeCell ref="B1859:E1859"/>
    <mergeCell ref="H1892:J1892"/>
    <mergeCell ref="M301:O301"/>
    <mergeCell ref="B1131:E1131"/>
    <mergeCell ref="L946:O946"/>
    <mergeCell ref="B370:E370"/>
    <mergeCell ref="B1125:E1125"/>
    <mergeCell ref="B37:E38"/>
    <mergeCell ref="H534:J534"/>
    <mergeCell ref="G1042:J1042"/>
    <mergeCell ref="G287:J287"/>
    <mergeCell ref="L1280:O1280"/>
    <mergeCell ref="H71:J71"/>
    <mergeCell ref="G1775:J1775"/>
    <mergeCell ref="M303:O303"/>
    <mergeCell ref="G1014:J1014"/>
    <mergeCell ref="G1769:J1769"/>
    <mergeCell ref="B762:C762"/>
    <mergeCell ref="H405:J405"/>
    <mergeCell ref="B34:C34"/>
    <mergeCell ref="H536:J536"/>
    <mergeCell ref="L214:O214"/>
    <mergeCell ref="H1887:J1887"/>
    <mergeCell ref="H1132:J1132"/>
    <mergeCell ref="H231:J231"/>
    <mergeCell ref="L60:M60"/>
    <mergeCell ref="H407:J407"/>
    <mergeCell ref="G1800:J1800"/>
    <mergeCell ref="G13:J13"/>
    <mergeCell ref="M304:O304"/>
    <mergeCell ref="H1134:J1134"/>
    <mergeCell ref="H102:J102"/>
    <mergeCell ref="G314:J314"/>
    <mergeCell ref="B1570:E1570"/>
    <mergeCell ref="H1292:J1292"/>
    <mergeCell ref="L1905:O1905"/>
    <mergeCell ref="L875:O875"/>
    <mergeCell ref="L1934:O1934"/>
    <mergeCell ref="G164:H164"/>
    <mergeCell ref="G217:H217"/>
    <mergeCell ref="G313:J313"/>
    <mergeCell ref="B659:C659"/>
    <mergeCell ref="B510:E510"/>
    <mergeCell ref="B1265:E1265"/>
    <mergeCell ref="G1795:J1795"/>
    <mergeCell ref="G1040:J1040"/>
    <mergeCell ref="L1930:O1930"/>
    <mergeCell ref="B838:E838"/>
    <mergeCell ref="B1730:E1730"/>
    <mergeCell ref="G1076:J1076"/>
    <mergeCell ref="L143:O143"/>
    <mergeCell ref="H562:J562"/>
    <mergeCell ref="B684:C684"/>
    <mergeCell ref="L530:O530"/>
    <mergeCell ref="M16:O16"/>
    <mergeCell ref="H433:J433"/>
    <mergeCell ref="L1727:O1728"/>
    <mergeCell ref="B85:E85"/>
    <mergeCell ref="M690:O690"/>
    <mergeCell ref="H1921:J1921"/>
    <mergeCell ref="H1185:J1185"/>
    <mergeCell ref="H1160:J1160"/>
    <mergeCell ref="B1567:E1567"/>
    <mergeCell ref="B1569:C1569"/>
    <mergeCell ref="H128:J128"/>
    <mergeCell ref="L1931:O1931"/>
    <mergeCell ref="H435:J435"/>
    <mergeCell ref="B1784:E1784"/>
    <mergeCell ref="G190:H190"/>
    <mergeCell ref="H1948:J1948"/>
    <mergeCell ref="M352:O352"/>
    <mergeCell ref="B685:C685"/>
    <mergeCell ref="H1162:J1162"/>
    <mergeCell ref="M1288:O1288"/>
    <mergeCell ref="H847:J847"/>
    <mergeCell ref="M1446:O1446"/>
    <mergeCell ref="G1515:J1515"/>
    <mergeCell ref="G760:J760"/>
    <mergeCell ref="H1216:J1216"/>
    <mergeCell ref="G157:J157"/>
    <mergeCell ref="G455:J455"/>
    <mergeCell ref="B530:E530"/>
    <mergeCell ref="B872:E872"/>
    <mergeCell ref="G1846:J1846"/>
    <mergeCell ref="B111:E111"/>
    <mergeCell ref="H275:J275"/>
    <mergeCell ref="G815:H815"/>
    <mergeCell ref="G28:J28"/>
    <mergeCell ref="B225:E225"/>
    <mergeCell ref="L1344:O1344"/>
    <mergeCell ref="G193:J194"/>
    <mergeCell ref="L1649:O1650"/>
    <mergeCell ref="G755:J755"/>
    <mergeCell ref="B559:E559"/>
    <mergeCell ref="H146:J146"/>
    <mergeCell ref="B1495:E1495"/>
    <mergeCell ref="L162:O162"/>
    <mergeCell ref="L1188:O1188"/>
    <mergeCell ref="H873:J873"/>
    <mergeCell ref="L1644:O1644"/>
    <mergeCell ref="H934:J934"/>
    <mergeCell ref="L763:M763"/>
    <mergeCell ref="B1497:E1497"/>
    <mergeCell ref="H1661:J1661"/>
    <mergeCell ref="H906:J906"/>
    <mergeCell ref="B1153:C1153"/>
    <mergeCell ref="L1490:M1490"/>
    <mergeCell ref="H900:J900"/>
    <mergeCell ref="H1242:J1242"/>
    <mergeCell ref="B556:E556"/>
    <mergeCell ref="M1159:O1159"/>
    <mergeCell ref="H1532:J1532"/>
    <mergeCell ref="L1361:M1361"/>
    <mergeCell ref="M248:O248"/>
    <mergeCell ref="H174:J174"/>
    <mergeCell ref="B1074:C1074"/>
    <mergeCell ref="M406:O406"/>
    <mergeCell ref="B585:E585"/>
    <mergeCell ref="L1491:M1491"/>
    <mergeCell ref="G842:J842"/>
    <mergeCell ref="H901:J901"/>
    <mergeCell ref="G528:H528"/>
    <mergeCell ref="H802:J802"/>
    <mergeCell ref="L611:O611"/>
    <mergeCell ref="G686:J686"/>
    <mergeCell ref="B612:E612"/>
    <mergeCell ref="B587:E587"/>
    <mergeCell ref="H1529:J1529"/>
    <mergeCell ref="B1671:E1671"/>
    <mergeCell ref="B1672:C1672"/>
    <mergeCell ref="M1759:O1759"/>
    <mergeCell ref="H1687:J1687"/>
    <mergeCell ref="L146:O146"/>
    <mergeCell ref="G1440:J1440"/>
    <mergeCell ref="B920:E920"/>
    <mergeCell ref="L609:O610"/>
    <mergeCell ref="L476:M476"/>
    <mergeCell ref="H1558:J1558"/>
    <mergeCell ref="B1210:E1210"/>
    <mergeCell ref="H1689:J1689"/>
    <mergeCell ref="H200:J200"/>
    <mergeCell ref="H1262:J1262"/>
    <mergeCell ref="B1212:E1212"/>
    <mergeCell ref="L1576:O1576"/>
    <mergeCell ref="H44:J44"/>
    <mergeCell ref="G554:H554"/>
    <mergeCell ref="L1205:M1205"/>
    <mergeCell ref="H957:J957"/>
    <mergeCell ref="H202:J202"/>
    <mergeCell ref="M328:O328"/>
    <mergeCell ref="B638:E638"/>
    <mergeCell ref="G397:J397"/>
    <mergeCell ref="M119:O119"/>
    <mergeCell ref="B840:C840"/>
    <mergeCell ref="H73:J73"/>
    <mergeCell ref="B1541:E1541"/>
    <mergeCell ref="B640:E640"/>
    <mergeCell ref="G1283:H1283"/>
    <mergeCell ref="G1458:J1458"/>
    <mergeCell ref="B1236:E1236"/>
    <mergeCell ref="G1623:J1624"/>
    <mergeCell ref="M717:O717"/>
    <mergeCell ref="B511:E511"/>
    <mergeCell ref="G1284:J1284"/>
    <mergeCell ref="G1066:J1066"/>
    <mergeCell ref="B1238:E1238"/>
    <mergeCell ref="H1402:J1402"/>
    <mergeCell ref="L1596:O1596"/>
    <mergeCell ref="L526:O526"/>
    <mergeCell ref="H641:J641"/>
    <mergeCell ref="B1701:E1702"/>
    <mergeCell ref="L657:O657"/>
    <mergeCell ref="G1882:J1882"/>
    <mergeCell ref="G1670:J1670"/>
    <mergeCell ref="H518:J518"/>
    <mergeCell ref="G611:J611"/>
    <mergeCell ref="H124:J124"/>
    <mergeCell ref="M14:O14"/>
    <mergeCell ref="G398:H398"/>
    <mergeCell ref="H670:J670"/>
    <mergeCell ref="B815:C815"/>
    <mergeCell ref="G1067:J1067"/>
    <mergeCell ref="H1245:J1245"/>
    <mergeCell ref="H1919:J1919"/>
    <mergeCell ref="L1255:O1255"/>
    <mergeCell ref="H1158:J1158"/>
    <mergeCell ref="H126:J126"/>
    <mergeCell ref="M1836:O1836"/>
    <mergeCell ref="G269:H269"/>
    <mergeCell ref="G756:J756"/>
    <mergeCell ref="B353:E353"/>
    <mergeCell ref="H513:J513"/>
    <mergeCell ref="B1413:C1413"/>
    <mergeCell ref="B1438:C1438"/>
    <mergeCell ref="L919:M919"/>
    <mergeCell ref="M770:O770"/>
    <mergeCell ref="H1187:J1187"/>
    <mergeCell ref="B1596:E1596"/>
    <mergeCell ref="L683:O683"/>
    <mergeCell ref="H1914:J1914"/>
    <mergeCell ref="B196:E196"/>
    <mergeCell ref="G322:J322"/>
    <mergeCell ref="G1519:J1520"/>
    <mergeCell ref="G787:J787"/>
    <mergeCell ref="L1281:O1281"/>
    <mergeCell ref="G26:J26"/>
    <mergeCell ref="H571:J571"/>
    <mergeCell ref="G1079:J1079"/>
    <mergeCell ref="L1317:O1317"/>
    <mergeCell ref="M1862:O1862"/>
    <mergeCell ref="G1514:J1514"/>
    <mergeCell ref="B661:E662"/>
    <mergeCell ref="H144:J144"/>
    <mergeCell ref="B528:C528"/>
    <mergeCell ref="G780:J780"/>
    <mergeCell ref="B1103:E1104"/>
    <mergeCell ref="H302:J302"/>
    <mergeCell ref="G1209:J1209"/>
    <mergeCell ref="M796:O796"/>
    <mergeCell ref="L1310:O1310"/>
    <mergeCell ref="H1632:J1632"/>
    <mergeCell ref="H1169:J1169"/>
    <mergeCell ref="B1307:E1307"/>
    <mergeCell ref="H1029:J1029"/>
    <mergeCell ref="G782:J782"/>
    <mergeCell ref="G1231:H1231"/>
    <mergeCell ref="H566:J566"/>
    <mergeCell ref="L1157:O1157"/>
    <mergeCell ref="L396:O396"/>
    <mergeCell ref="H1627:J1627"/>
    <mergeCell ref="G813:J813"/>
    <mergeCell ref="L63:O64"/>
    <mergeCell ref="B398:C398"/>
    <mergeCell ref="B276:E276"/>
    <mergeCell ref="G166:J166"/>
    <mergeCell ref="L267:O267"/>
    <mergeCell ref="G1207:J1208"/>
    <mergeCell ref="G1534:J1534"/>
    <mergeCell ref="B1880:C1880"/>
    <mergeCell ref="B120:E120"/>
    <mergeCell ref="H328:J328"/>
    <mergeCell ref="G500:J500"/>
    <mergeCell ref="L994:O994"/>
    <mergeCell ref="H284:J284"/>
    <mergeCell ref="L113:M113"/>
    <mergeCell ref="B1310:E1310"/>
    <mergeCell ref="M1575:O1575"/>
    <mergeCell ref="B1129:E1130"/>
    <mergeCell ref="B1005:E1005"/>
    <mergeCell ref="G764:J764"/>
    <mergeCell ref="H1685:J1685"/>
    <mergeCell ref="G1828:H1828"/>
    <mergeCell ref="H1345:J1345"/>
    <mergeCell ref="B1339:E1339"/>
    <mergeCell ref="G1098:J1098"/>
    <mergeCell ref="M1602:O1602"/>
    <mergeCell ref="B578:E578"/>
    <mergeCell ref="H742:J742"/>
    <mergeCell ref="G944:H944"/>
    <mergeCell ref="H279:J279"/>
    <mergeCell ref="B1179:C1179"/>
    <mergeCell ref="B424:C424"/>
    <mergeCell ref="H953:J953"/>
    <mergeCell ref="H928:J928"/>
    <mergeCell ref="G192:J192"/>
    <mergeCell ref="B1906:C1906"/>
    <mergeCell ref="M1445:O1445"/>
    <mergeCell ref="G1829:H1829"/>
    <mergeCell ref="H1680:J1680"/>
    <mergeCell ref="B295:C295"/>
    <mergeCell ref="H1340:J1340"/>
    <mergeCell ref="H281:J281"/>
    <mergeCell ref="G526:J526"/>
    <mergeCell ref="L1363:O1364"/>
    <mergeCell ref="H1557:J1557"/>
    <mergeCell ref="B296:E296"/>
    <mergeCell ref="L111:O111"/>
    <mergeCell ref="G553:J553"/>
    <mergeCell ref="B1232:E1232"/>
    <mergeCell ref="M1470:O1470"/>
    <mergeCell ref="B1778:E1778"/>
    <mergeCell ref="B719:E719"/>
    <mergeCell ref="L477:M477"/>
    <mergeCell ref="G1124:J1124"/>
    <mergeCell ref="G1280:J1280"/>
    <mergeCell ref="B1697:E1697"/>
    <mergeCell ref="G947:J948"/>
    <mergeCell ref="B427:E428"/>
    <mergeCell ref="B718:E718"/>
    <mergeCell ref="H1398:J1398"/>
    <mergeCell ref="L199:O199"/>
    <mergeCell ref="G1151:J1151"/>
    <mergeCell ref="M560:O560"/>
    <mergeCell ref="G548:J548"/>
    <mergeCell ref="G1878:J1878"/>
    <mergeCell ref="L453:O454"/>
    <mergeCell ref="B508:E508"/>
    <mergeCell ref="L1389:O1390"/>
    <mergeCell ref="B293:E293"/>
    <mergeCell ref="M1473:O1473"/>
    <mergeCell ref="B322:E322"/>
    <mergeCell ref="H1393:J1393"/>
    <mergeCell ref="B139:C139"/>
    <mergeCell ref="L503:M503"/>
    <mergeCell ref="H1270:J1270"/>
    <mergeCell ref="G973:J974"/>
    <mergeCell ref="B1679:E1679"/>
    <mergeCell ref="H1401:J1401"/>
    <mergeCell ref="L1230:M1230"/>
    <mergeCell ref="M1496:O1496"/>
    <mergeCell ref="G1177:J1177"/>
    <mergeCell ref="H25:J25"/>
    <mergeCell ref="H511:J511"/>
    <mergeCell ref="G1904:J1904"/>
    <mergeCell ref="B192:E192"/>
    <mergeCell ref="H669:J669"/>
    <mergeCell ref="B1105:E1105"/>
    <mergeCell ref="B344:E344"/>
    <mergeCell ref="B1674:E1674"/>
    <mergeCell ref="B11:E12"/>
    <mergeCell ref="G268:H268"/>
    <mergeCell ref="H1297:J1297"/>
    <mergeCell ref="L1525:O1525"/>
    <mergeCell ref="G710:H710"/>
    <mergeCell ref="B949:E949"/>
    <mergeCell ref="L797:O797"/>
    <mergeCell ref="B221:E221"/>
    <mergeCell ref="L1313:O1313"/>
    <mergeCell ref="H700:J700"/>
    <mergeCell ref="L36:O36"/>
    <mergeCell ref="M459:O459"/>
    <mergeCell ref="G111:J111"/>
    <mergeCell ref="B1854:C1854"/>
    <mergeCell ref="L641:O641"/>
    <mergeCell ref="M1186:O1186"/>
    <mergeCell ref="G1180:J1180"/>
    <mergeCell ref="B61:C61"/>
    <mergeCell ref="G1595:H1595"/>
    <mergeCell ref="B1834:E1834"/>
    <mergeCell ref="L216:M216"/>
    <mergeCell ref="L1395:O1395"/>
    <mergeCell ref="L1911:O1911"/>
    <mergeCell ref="H956:J956"/>
    <mergeCell ref="H1298:J1298"/>
    <mergeCell ref="B1705:E1705"/>
    <mergeCell ref="H537:J537"/>
    <mergeCell ref="L1698:M1698"/>
    <mergeCell ref="B248:E248"/>
    <mergeCell ref="G1021:J1021"/>
    <mergeCell ref="H1325:J1325"/>
    <mergeCell ref="L814:M814"/>
    <mergeCell ref="B1394:E1394"/>
    <mergeCell ref="H224:J224"/>
    <mergeCell ref="L945:M945"/>
    <mergeCell ref="B975:E975"/>
    <mergeCell ref="B660:E660"/>
    <mergeCell ref="B1857:E1858"/>
    <mergeCell ref="G137:J137"/>
    <mergeCell ref="L692:O692"/>
    <mergeCell ref="G1619:J1619"/>
    <mergeCell ref="L219:O220"/>
    <mergeCell ref="H255:J255"/>
    <mergeCell ref="B249:E249"/>
    <mergeCell ref="L1568:M1568"/>
    <mergeCell ref="H413:J413"/>
    <mergeCell ref="G1830:J1830"/>
    <mergeCell ref="H982:J982"/>
    <mergeCell ref="G1363:J1364"/>
    <mergeCell ref="B1725:C1725"/>
    <mergeCell ref="L1150:O1150"/>
    <mergeCell ref="L817:O818"/>
    <mergeCell ref="B1003:E1003"/>
    <mergeCell ref="H1011:J1011"/>
    <mergeCell ref="H1036:J1036"/>
    <mergeCell ref="L1755:O1755"/>
    <mergeCell ref="H250:J250"/>
    <mergeCell ref="L1021:O1021"/>
    <mergeCell ref="L266:O266"/>
    <mergeCell ref="H1038:J1038"/>
    <mergeCell ref="H283:J283"/>
    <mergeCell ref="L867:M867"/>
    <mergeCell ref="H1013:J1013"/>
    <mergeCell ref="H277:J277"/>
    <mergeCell ref="G522:J522"/>
    <mergeCell ref="H619:J619"/>
    <mergeCell ref="L658:M658"/>
    <mergeCell ref="G1100:H1100"/>
    <mergeCell ref="H1765:J1765"/>
    <mergeCell ref="G1855:H1855"/>
    <mergeCell ref="G1249:J1249"/>
    <mergeCell ref="L89:O90"/>
    <mergeCell ref="H308:J308"/>
    <mergeCell ref="B1774:E1774"/>
    <mergeCell ref="G1698:H1698"/>
    <mergeCell ref="G911:J911"/>
    <mergeCell ref="L1466:O1466"/>
    <mergeCell ref="L407:O407"/>
    <mergeCell ref="G946:J946"/>
    <mergeCell ref="L1047:O1047"/>
    <mergeCell ref="B1021:E1021"/>
    <mergeCell ref="H337:J337"/>
    <mergeCell ref="L741:O741"/>
    <mergeCell ref="H1064:J1064"/>
    <mergeCell ref="H309:J309"/>
    <mergeCell ref="B716:E716"/>
    <mergeCell ref="B1775:E1775"/>
    <mergeCell ref="G62:J62"/>
    <mergeCell ref="H643:J643"/>
    <mergeCell ref="B1050:E1050"/>
    <mergeCell ref="H180:J180"/>
    <mergeCell ref="H311:J311"/>
    <mergeCell ref="M70:O70"/>
    <mergeCell ref="L580:M580"/>
    <mergeCell ref="G60:H60"/>
    <mergeCell ref="H332:J332"/>
    <mergeCell ref="M222:O222"/>
    <mergeCell ref="M1498:O1498"/>
    <mergeCell ref="L433:O433"/>
    <mergeCell ref="H638:J638"/>
    <mergeCell ref="G1934:J1934"/>
    <mergeCell ref="B1047:E1047"/>
    <mergeCell ref="B15:E15"/>
    <mergeCell ref="L581:M581"/>
    <mergeCell ref="G964:J964"/>
    <mergeCell ref="B742:E742"/>
    <mergeCell ref="M223:O223"/>
    <mergeCell ref="L760:O760"/>
    <mergeCell ref="B1076:E1076"/>
    <mergeCell ref="L1853:O1853"/>
    <mergeCell ref="G245:J246"/>
    <mergeCell ref="B744:E744"/>
    <mergeCell ref="H777:J777"/>
    <mergeCell ref="L1521:O1521"/>
    <mergeCell ref="G530:J530"/>
    <mergeCell ref="G1727:J1728"/>
    <mergeCell ref="L32:O32"/>
    <mergeCell ref="L7:O7"/>
    <mergeCell ref="H1504:J1504"/>
    <mergeCell ref="L305:O305"/>
    <mergeCell ref="B615:E615"/>
    <mergeCell ref="H1838:J1838"/>
    <mergeCell ref="H779:J779"/>
    <mergeCell ref="H24:J24"/>
    <mergeCell ref="G1176:J1176"/>
    <mergeCell ref="G843:J844"/>
    <mergeCell ref="H18:J18"/>
    <mergeCell ref="G1931:J1931"/>
    <mergeCell ref="G990:J990"/>
    <mergeCell ref="H1288:J1288"/>
    <mergeCell ref="M1939:O1939"/>
    <mergeCell ref="G1568:H1568"/>
    <mergeCell ref="M1211:O1211"/>
    <mergeCell ref="H1840:J1840"/>
    <mergeCell ref="H622:J622"/>
    <mergeCell ref="B760:E760"/>
    <mergeCell ref="M1938:O1938"/>
    <mergeCell ref="H1296:J1296"/>
    <mergeCell ref="G1439:H1439"/>
    <mergeCell ref="M1213:O1213"/>
    <mergeCell ref="B455:E455"/>
    <mergeCell ref="H1708:J1708"/>
    <mergeCell ref="H353:J353"/>
    <mergeCell ref="G894:J894"/>
    <mergeCell ref="L58:O58"/>
    <mergeCell ref="M1940:O1940"/>
    <mergeCell ref="B457:E457"/>
    <mergeCell ref="L970:M970"/>
    <mergeCell ref="G1465:H1465"/>
    <mergeCell ref="H1733:J1733"/>
    <mergeCell ref="H378:J378"/>
    <mergeCell ref="G1644:J1644"/>
    <mergeCell ref="L1540:O1540"/>
    <mergeCell ref="G8:H8"/>
    <mergeCell ref="L1838:O1838"/>
    <mergeCell ref="G1951:J1951"/>
    <mergeCell ref="G687:J688"/>
    <mergeCell ref="G1490:H1490"/>
    <mergeCell ref="H1007:J1007"/>
    <mergeCell ref="H1893:J1893"/>
    <mergeCell ref="H1138:J1138"/>
    <mergeCell ref="H798:J798"/>
    <mergeCell ref="G891:J891"/>
    <mergeCell ref="L1421:O1421"/>
    <mergeCell ref="L347:M347"/>
    <mergeCell ref="H1009:J1009"/>
    <mergeCell ref="H248:J248"/>
    <mergeCell ref="B1445:E1445"/>
    <mergeCell ref="H406:J406"/>
    <mergeCell ref="H1736:J1736"/>
    <mergeCell ref="G1362:J1362"/>
    <mergeCell ref="G1491:H1491"/>
    <mergeCell ref="G916:J916"/>
    <mergeCell ref="B475:E475"/>
    <mergeCell ref="M1653:O1653"/>
    <mergeCell ref="H1133:J1133"/>
    <mergeCell ref="B1447:E1447"/>
    <mergeCell ref="G1328:J1328"/>
    <mergeCell ref="L1566:O1566"/>
    <mergeCell ref="B686:E686"/>
    <mergeCell ref="L71:O71"/>
    <mergeCell ref="B1440:E1440"/>
    <mergeCell ref="G6:J6"/>
    <mergeCell ref="L745:O745"/>
    <mergeCell ref="G1336:J1336"/>
    <mergeCell ref="L1437:O1437"/>
    <mergeCell ref="G609:J610"/>
    <mergeCell ref="L1621:M1621"/>
    <mergeCell ref="B1905:E1905"/>
    <mergeCell ref="G1365:J1365"/>
    <mergeCell ref="H851:J851"/>
    <mergeCell ref="M952:O952"/>
    <mergeCell ref="G604:J604"/>
    <mergeCell ref="M1704:O1704"/>
    <mergeCell ref="H1062:J1062"/>
    <mergeCell ref="G1205:H1205"/>
    <mergeCell ref="G450:H450"/>
    <mergeCell ref="H722:J722"/>
    <mergeCell ref="H1912:J1912"/>
    <mergeCell ref="H853:J853"/>
    <mergeCell ref="M979:O979"/>
    <mergeCell ref="H119:J119"/>
    <mergeCell ref="H1449:J1449"/>
    <mergeCell ref="M1706:O1706"/>
    <mergeCell ref="H724:J724"/>
    <mergeCell ref="G32:J32"/>
    <mergeCell ref="H846:J846"/>
    <mergeCell ref="H1660:J1660"/>
    <mergeCell ref="H1451:J1451"/>
    <mergeCell ref="L247:O247"/>
    <mergeCell ref="B1887:E1887"/>
    <mergeCell ref="B1284:E1284"/>
    <mergeCell ref="G630:J630"/>
    <mergeCell ref="L1027:O1027"/>
    <mergeCell ref="L1334:M1334"/>
    <mergeCell ref="B1161:E1161"/>
    <mergeCell ref="H748:J748"/>
    <mergeCell ref="L1492:O1492"/>
    <mergeCell ref="B400:E400"/>
    <mergeCell ref="B1597:E1598"/>
    <mergeCell ref="G657:J657"/>
    <mergeCell ref="G1716:J1716"/>
    <mergeCell ref="B1882:E1882"/>
    <mergeCell ref="B1670:E1670"/>
    <mergeCell ref="M1732:O1732"/>
    <mergeCell ref="B1801:E1801"/>
    <mergeCell ref="H775:J775"/>
    <mergeCell ref="H750:J750"/>
    <mergeCell ref="G1051:J1052"/>
    <mergeCell ref="G1718:J1718"/>
    <mergeCell ref="M667:O667"/>
    <mergeCell ref="M1603:O1603"/>
    <mergeCell ref="H1836:J1836"/>
    <mergeCell ref="H1081:J1081"/>
    <mergeCell ref="G165:H165"/>
    <mergeCell ref="H1373:J1373"/>
    <mergeCell ref="H1531:J1531"/>
    <mergeCell ref="L1360:M1360"/>
    <mergeCell ref="G988:J988"/>
    <mergeCell ref="G919:H919"/>
    <mergeCell ref="H51:J51"/>
    <mergeCell ref="B426:E426"/>
    <mergeCell ref="L1203:O1203"/>
    <mergeCell ref="G1742:J1742"/>
    <mergeCell ref="G683:J683"/>
    <mergeCell ref="G859:J859"/>
    <mergeCell ref="B1811:E1811"/>
    <mergeCell ref="H778:J778"/>
    <mergeCell ref="B583:E584"/>
    <mergeCell ref="G1077:J1078"/>
    <mergeCell ref="B1519:E1520"/>
    <mergeCell ref="G1744:J1744"/>
    <mergeCell ref="B787:E787"/>
    <mergeCell ref="B32:E32"/>
    <mergeCell ref="L294:M294"/>
    <mergeCell ref="H1862:J1862"/>
    <mergeCell ref="H803:J803"/>
    <mergeCell ref="B1514:E1514"/>
    <mergeCell ref="G247:J247"/>
    <mergeCell ref="G191:H191"/>
    <mergeCell ref="B482:E482"/>
    <mergeCell ref="B1181:E1182"/>
    <mergeCell ref="G676:J676"/>
    <mergeCell ref="H1215:J1215"/>
    <mergeCell ref="M1316:O1316"/>
    <mergeCell ref="H674:J674"/>
    <mergeCell ref="B1385:E1385"/>
    <mergeCell ref="H1864:J1864"/>
    <mergeCell ref="L174:O174"/>
    <mergeCell ref="H794:J794"/>
    <mergeCell ref="H77:J77"/>
    <mergeCell ref="B1231:C1231"/>
    <mergeCell ref="L1417:O1417"/>
    <mergeCell ref="H804:J804"/>
    <mergeCell ref="H489:J489"/>
    <mergeCell ref="B609:E610"/>
    <mergeCell ref="M1237:O1237"/>
    <mergeCell ref="G1621:H1621"/>
    <mergeCell ref="L474:O474"/>
    <mergeCell ref="G1157:J1157"/>
    <mergeCell ref="H333:J333"/>
    <mergeCell ref="H675:J675"/>
    <mergeCell ref="B813:E813"/>
    <mergeCell ref="B769:E769"/>
    <mergeCell ref="L1075:M1075"/>
    <mergeCell ref="L320:M320"/>
    <mergeCell ref="G1001:J1001"/>
    <mergeCell ref="B927:E927"/>
    <mergeCell ref="B166:E166"/>
    <mergeCell ref="B1207:E1208"/>
    <mergeCell ref="G1883:J1884"/>
    <mergeCell ref="L163:O163"/>
    <mergeCell ref="G1457:J1457"/>
    <mergeCell ref="G702:J702"/>
    <mergeCell ref="H1761:J1761"/>
    <mergeCell ref="L191:M191"/>
    <mergeCell ref="B352:E352"/>
    <mergeCell ref="H1575:J1575"/>
    <mergeCell ref="B479:E480"/>
    <mergeCell ref="H1763:J1763"/>
    <mergeCell ref="G704:J704"/>
    <mergeCell ref="L1856:O1856"/>
    <mergeCell ref="G1906:H1906"/>
    <mergeCell ref="L1128:O1128"/>
    <mergeCell ref="H1577:J1577"/>
    <mergeCell ref="H822:J822"/>
    <mergeCell ref="B501:E501"/>
    <mergeCell ref="L323:O324"/>
    <mergeCell ref="H359:J359"/>
    <mergeCell ref="L1885:O1885"/>
    <mergeCell ref="B944:C944"/>
    <mergeCell ref="H1788:J1788"/>
    <mergeCell ref="B169:E169"/>
    <mergeCell ref="G270:J270"/>
    <mergeCell ref="B347:C347"/>
    <mergeCell ref="H693:J693"/>
    <mergeCell ref="G1467:J1468"/>
    <mergeCell ref="L527:O527"/>
    <mergeCell ref="M950:O950"/>
    <mergeCell ref="G1909:J1910"/>
    <mergeCell ref="B1829:C1829"/>
    <mergeCell ref="H388:J388"/>
    <mergeCell ref="B526:E526"/>
    <mergeCell ref="L373:M373"/>
    <mergeCell ref="L788:M788"/>
    <mergeCell ref="G117:J117"/>
    <mergeCell ref="M1548:O1548"/>
    <mergeCell ref="H415:J415"/>
    <mergeCell ref="L35:M35"/>
    <mergeCell ref="B500:E500"/>
    <mergeCell ref="G626:J626"/>
    <mergeCell ref="B947:E948"/>
    <mergeCell ref="L1311:O1312"/>
    <mergeCell ref="G1204:H1204"/>
    <mergeCell ref="H1476:J1476"/>
    <mergeCell ref="G417:J417"/>
    <mergeCell ref="B1157:E1157"/>
    <mergeCell ref="L972:O972"/>
    <mergeCell ref="H875:J875"/>
    <mergeCell ref="H560:J560"/>
    <mergeCell ref="H1290:J1290"/>
    <mergeCell ref="G288:J288"/>
    <mergeCell ref="L1306:O1306"/>
    <mergeCell ref="L1604:O1604"/>
    <mergeCell ref="G453:J454"/>
    <mergeCell ref="B1914:E1914"/>
    <mergeCell ref="L88:O88"/>
    <mergeCell ref="M329:O329"/>
    <mergeCell ref="H746:J746"/>
    <mergeCell ref="B788:C788"/>
    <mergeCell ref="B1159:E1159"/>
    <mergeCell ref="L1909:O1910"/>
    <mergeCell ref="L1570:O1570"/>
    <mergeCell ref="H1473:J1473"/>
    <mergeCell ref="H441:J441"/>
    <mergeCell ref="L1904:O1904"/>
    <mergeCell ref="L845:O845"/>
    <mergeCell ref="G1384:J1384"/>
    <mergeCell ref="L86:M86"/>
    <mergeCell ref="G503:H503"/>
    <mergeCell ref="M665:O665"/>
    <mergeCell ref="L1750:M1750"/>
    <mergeCell ref="H1475:J1475"/>
    <mergeCell ref="G1230:H1230"/>
    <mergeCell ref="H1502:J1502"/>
    <mergeCell ref="B1154:E1154"/>
    <mergeCell ref="B1911:E1911"/>
    <mergeCell ref="M1392:O1392"/>
    <mergeCell ref="B241:E241"/>
    <mergeCell ref="M664:O664"/>
    <mergeCell ref="L1332:O1332"/>
    <mergeCell ref="B1940:E1940"/>
    <mergeCell ref="B1185:E1185"/>
    <mergeCell ref="G1102:J1102"/>
    <mergeCell ref="B1912:E1912"/>
    <mergeCell ref="G788:H788"/>
    <mergeCell ref="L271:O272"/>
    <mergeCell ref="L871:O871"/>
    <mergeCell ref="B1187:E1187"/>
    <mergeCell ref="G36:J36"/>
    <mergeCell ref="H459:J459"/>
    <mergeCell ref="L1753:O1754"/>
    <mergeCell ref="H617:J617"/>
    <mergeCell ref="B1599:E1599"/>
    <mergeCell ref="G1700:J1700"/>
    <mergeCell ref="H1186:J1186"/>
    <mergeCell ref="B1180:E1180"/>
    <mergeCell ref="H154:J154"/>
    <mergeCell ref="L1202:O1202"/>
    <mergeCell ref="M1418:O1418"/>
    <mergeCell ref="H1344:J1344"/>
    <mergeCell ref="H285:J285"/>
    <mergeCell ref="H1860:J1860"/>
    <mergeCell ref="G349:J350"/>
    <mergeCell ref="H461:J461"/>
    <mergeCell ref="G216:H216"/>
    <mergeCell ref="L1803:M1803"/>
    <mergeCell ref="B1337:E1338"/>
    <mergeCell ref="H1949:J1949"/>
    <mergeCell ref="H1555:J1555"/>
    <mergeCell ref="H1188:J1188"/>
    <mergeCell ref="H460:J460"/>
    <mergeCell ref="G1099:J1099"/>
    <mergeCell ref="H1942:J1942"/>
    <mergeCell ref="H883:J883"/>
    <mergeCell ref="G814:H814"/>
    <mergeCell ref="L297:O298"/>
    <mergeCell ref="G945:H945"/>
    <mergeCell ref="G970:H970"/>
    <mergeCell ref="H1217:J1217"/>
    <mergeCell ref="B1935:E1936"/>
    <mergeCell ref="B898:E898"/>
    <mergeCell ref="L1779:O1780"/>
    <mergeCell ref="B137:E137"/>
    <mergeCell ref="H673:J673"/>
    <mergeCell ref="B1625:E1625"/>
    <mergeCell ref="B1619:E1619"/>
    <mergeCell ref="G728:J728"/>
    <mergeCell ref="B1655:E1655"/>
    <mergeCell ref="B900:E900"/>
    <mergeCell ref="G781:J781"/>
    <mergeCell ref="B1363:E1364"/>
    <mergeCell ref="B1627:E1627"/>
    <mergeCell ref="G998:J998"/>
    <mergeCell ref="G1150:J1150"/>
    <mergeCell ref="G817:J818"/>
    <mergeCell ref="H1871:J1871"/>
    <mergeCell ref="L1074:M1074"/>
    <mergeCell ref="L1516:M1516"/>
    <mergeCell ref="H1662:J1662"/>
    <mergeCell ref="M1342:O1342"/>
    <mergeCell ref="G1755:J1755"/>
    <mergeCell ref="L917:O917"/>
    <mergeCell ref="H304:J304"/>
    <mergeCell ref="G867:H867"/>
    <mergeCell ref="H384:J384"/>
    <mergeCell ref="H515:J515"/>
    <mergeCell ref="G658:H658"/>
    <mergeCell ref="B1075:C1075"/>
    <mergeCell ref="B951:E951"/>
    <mergeCell ref="H386:J386"/>
    <mergeCell ref="G89:J90"/>
    <mergeCell ref="B822:E822"/>
    <mergeCell ref="L1696:O1696"/>
    <mergeCell ref="B953:E953"/>
    <mergeCell ref="H1113:J1113"/>
    <mergeCell ref="H1868:J1868"/>
    <mergeCell ref="B613:E613"/>
    <mergeCell ref="L739:O740"/>
    <mergeCell ref="B1549:E1549"/>
    <mergeCell ref="M1030:O1030"/>
    <mergeCell ref="B1340:E1340"/>
    <mergeCell ref="G1466:J1466"/>
    <mergeCell ref="B1856:E1856"/>
    <mergeCell ref="B946:E946"/>
    <mergeCell ref="B69:E69"/>
    <mergeCell ref="L943:O943"/>
    <mergeCell ref="G1354:J1354"/>
    <mergeCell ref="B1551:E1551"/>
    <mergeCell ref="B823:E823"/>
    <mergeCell ref="H1715:J1715"/>
    <mergeCell ref="G1779:J1780"/>
    <mergeCell ref="M300:O300"/>
    <mergeCell ref="H226:J226"/>
    <mergeCell ref="B1126:C1126"/>
    <mergeCell ref="M458:O458"/>
    <mergeCell ref="G110:J110"/>
    <mergeCell ref="H831:J831"/>
    <mergeCell ref="G711:H711"/>
    <mergeCell ref="H228:J228"/>
    <mergeCell ref="G738:J738"/>
    <mergeCell ref="H1710:J1710"/>
    <mergeCell ref="L511:O511"/>
    <mergeCell ref="M1056:O1056"/>
    <mergeCell ref="H1498:J1498"/>
    <mergeCell ref="B1855:C1855"/>
    <mergeCell ref="H99:J99"/>
    <mergeCell ref="H1289:J1289"/>
    <mergeCell ref="B666:E666"/>
    <mergeCell ref="H826:J826"/>
    <mergeCell ref="G1309:H1309"/>
    <mergeCell ref="M1083:O1083"/>
    <mergeCell ref="H984:J984"/>
    <mergeCell ref="G1196:J1196"/>
    <mergeCell ref="H1500:J1500"/>
    <mergeCell ref="H101:J101"/>
    <mergeCell ref="L865:O865"/>
    <mergeCell ref="B1420:E1420"/>
    <mergeCell ref="B537:E537"/>
    <mergeCell ref="L1411:O1411"/>
    <mergeCell ref="L656:O656"/>
    <mergeCell ref="H828:J828"/>
    <mergeCell ref="G312:J312"/>
    <mergeCell ref="B245:E246"/>
    <mergeCell ref="B509:E509"/>
    <mergeCell ref="B1264:E1264"/>
    <mergeCell ref="G470:J470"/>
    <mergeCell ref="G741:J741"/>
    <mergeCell ref="H254:J254"/>
    <mergeCell ref="B1727:E1728"/>
    <mergeCell ref="G7:J7"/>
    <mergeCell ref="H430:J430"/>
    <mergeCell ref="M171:O171"/>
    <mergeCell ref="B240:E240"/>
    <mergeCell ref="B1176:E1176"/>
    <mergeCell ref="G1827:J1827"/>
    <mergeCell ref="H125:J125"/>
    <mergeCell ref="H256:J256"/>
    <mergeCell ref="G1093:J1093"/>
    <mergeCell ref="G1068:J1068"/>
    <mergeCell ref="B841:C841"/>
    <mergeCell ref="B1722:E1722"/>
    <mergeCell ref="H852:J852"/>
    <mergeCell ref="M173:O173"/>
    <mergeCell ref="H1945:J1945"/>
    <mergeCell ref="L868:O868"/>
    <mergeCell ref="M769:O769"/>
    <mergeCell ref="B1568:C1568"/>
    <mergeCell ref="H127:J127"/>
    <mergeCell ref="B563:E563"/>
    <mergeCell ref="H1938:J1938"/>
    <mergeCell ref="H879:J879"/>
    <mergeCell ref="G65:J65"/>
    <mergeCell ref="H854:J854"/>
    <mergeCell ref="B1439:C1439"/>
    <mergeCell ref="B1290:E1290"/>
    <mergeCell ref="G1822:J1822"/>
    <mergeCell ref="H1213:J1213"/>
    <mergeCell ref="L709:O709"/>
    <mergeCell ref="H1940:J1940"/>
    <mergeCell ref="G365:J365"/>
    <mergeCell ref="G1853:J1853"/>
    <mergeCell ref="B1651:E1651"/>
    <mergeCell ref="G1119:J1119"/>
    <mergeCell ref="B1571:E1572"/>
    <mergeCell ref="L1307:O1307"/>
    <mergeCell ref="B224:E224"/>
    <mergeCell ref="G1540:J1540"/>
    <mergeCell ref="L582:O582"/>
    <mergeCell ref="B687:E688"/>
    <mergeCell ref="H1658:J1658"/>
    <mergeCell ref="L1336:O1336"/>
    <mergeCell ref="L277:O277"/>
    <mergeCell ref="B1652:E1652"/>
    <mergeCell ref="H1239:J1239"/>
    <mergeCell ref="G1726:J1726"/>
    <mergeCell ref="B891:E891"/>
    <mergeCell ref="G1848:J1848"/>
    <mergeCell ref="H592:J592"/>
    <mergeCell ref="B737:C737"/>
    <mergeCell ref="H1241:J1241"/>
    <mergeCell ref="B1283:C1283"/>
    <mergeCell ref="H171:J171"/>
    <mergeCell ref="B555:C555"/>
    <mergeCell ref="M1158:O1158"/>
    <mergeCell ref="H1653:J1653"/>
    <mergeCell ref="H898:J898"/>
    <mergeCell ref="H181:J181"/>
    <mergeCell ref="H1240:J1240"/>
    <mergeCell ref="G78:J78"/>
    <mergeCell ref="B250:E250"/>
    <mergeCell ref="B1335:C1335"/>
    <mergeCell ref="L1369:O1369"/>
    <mergeCell ref="G1566:J1566"/>
    <mergeCell ref="L608:O608"/>
    <mergeCell ref="B713:E714"/>
    <mergeCell ref="H927:J927"/>
    <mergeCell ref="G80:J80"/>
    <mergeCell ref="B1336:E1336"/>
    <mergeCell ref="G1437:J1437"/>
    <mergeCell ref="B1678:E1678"/>
    <mergeCell ref="G834:J834"/>
    <mergeCell ref="G79:J79"/>
    <mergeCell ref="B1031:E1031"/>
    <mergeCell ref="B1680:E1680"/>
    <mergeCell ref="B1365:E1365"/>
    <mergeCell ref="H952:J952"/>
    <mergeCell ref="B604:E604"/>
    <mergeCell ref="H1083:J1083"/>
    <mergeCell ref="L1239:O1239"/>
    <mergeCell ref="H1679:J1679"/>
    <mergeCell ref="H620:J620"/>
    <mergeCell ref="B450:C450"/>
    <mergeCell ref="L296:O296"/>
    <mergeCell ref="H954:J954"/>
    <mergeCell ref="H199:J199"/>
    <mergeCell ref="L1493:O1494"/>
    <mergeCell ref="M456:O456"/>
    <mergeCell ref="H1681:J1681"/>
    <mergeCell ref="H926:J926"/>
    <mergeCell ref="B1333:E1333"/>
    <mergeCell ref="H649:J649"/>
    <mergeCell ref="L1697:O1697"/>
    <mergeCell ref="B1362:E1362"/>
    <mergeCell ref="M327:O327"/>
    <mergeCell ref="B451:C451"/>
    <mergeCell ref="M1809:O1809"/>
    <mergeCell ref="M1054:O1054"/>
    <mergeCell ref="B1391:E1391"/>
    <mergeCell ref="B630:E630"/>
    <mergeCell ref="G1281:J1281"/>
    <mergeCell ref="G547:J547"/>
    <mergeCell ref="G1492:J1492"/>
    <mergeCell ref="G1796:J1796"/>
    <mergeCell ref="H41:J41"/>
    <mergeCell ref="L139:M139"/>
    <mergeCell ref="H1610:J1610"/>
    <mergeCell ref="H121:J121"/>
    <mergeCell ref="L1415:O1416"/>
    <mergeCell ref="H252:J252"/>
    <mergeCell ref="B1261:E1261"/>
    <mergeCell ref="H1394:J1394"/>
    <mergeCell ref="H639:J639"/>
    <mergeCell ref="H123:J123"/>
    <mergeCell ref="B165:C165"/>
    <mergeCell ref="L1410:O1410"/>
    <mergeCell ref="L529:M529"/>
    <mergeCell ref="L1708:O1708"/>
    <mergeCell ref="H1611:J1611"/>
    <mergeCell ref="M40:O40"/>
    <mergeCell ref="H1605:J1605"/>
    <mergeCell ref="H850:J850"/>
    <mergeCell ref="B919:C919"/>
    <mergeCell ref="L1256:M1256"/>
    <mergeCell ref="M1522:O1522"/>
    <mergeCell ref="L251:O251"/>
    <mergeCell ref="M925:O925"/>
    <mergeCell ref="B561:E561"/>
    <mergeCell ref="L1127:M1127"/>
    <mergeCell ref="G478:J478"/>
    <mergeCell ref="B1288:E1288"/>
    <mergeCell ref="L1854:M1854"/>
    <mergeCell ref="M41:O41"/>
    <mergeCell ref="B1446:E1446"/>
    <mergeCell ref="B345:E345"/>
    <mergeCell ref="L980:O980"/>
    <mergeCell ref="G294:H294"/>
    <mergeCell ref="H568:J568"/>
    <mergeCell ref="B562:E562"/>
    <mergeCell ref="B191:C191"/>
    <mergeCell ref="L377:O377"/>
    <mergeCell ref="G452:J452"/>
    <mergeCell ref="M66:O66"/>
    <mergeCell ref="B1289:E1289"/>
    <mergeCell ref="M197:O197"/>
    <mergeCell ref="H1453:J1453"/>
    <mergeCell ref="G1206:J1206"/>
    <mergeCell ref="L375:O376"/>
    <mergeCell ref="L242:M242"/>
    <mergeCell ref="G481:J481"/>
    <mergeCell ref="M68:O68"/>
    <mergeCell ref="H1324:J1324"/>
    <mergeCell ref="G1417:J1417"/>
    <mergeCell ref="B976:E976"/>
    <mergeCell ref="H563:J563"/>
    <mergeCell ref="H1455:J1455"/>
    <mergeCell ref="L1724:M1724"/>
    <mergeCell ref="L1857:O1858"/>
    <mergeCell ref="M795:O795"/>
    <mergeCell ref="H721:J721"/>
    <mergeCell ref="B1621:C1621"/>
    <mergeCell ref="M67:O67"/>
    <mergeCell ref="L840:M840"/>
    <mergeCell ref="H565:J565"/>
    <mergeCell ref="H932:J932"/>
    <mergeCell ref="G320:H320"/>
    <mergeCell ref="L971:M971"/>
    <mergeCell ref="B1001:E1001"/>
    <mergeCell ref="M69:O69"/>
    <mergeCell ref="G1562:J1562"/>
    <mergeCell ref="G163:J163"/>
    <mergeCell ref="B275:E275"/>
    <mergeCell ref="L401:O402"/>
    <mergeCell ref="B406:E406"/>
    <mergeCell ref="G507:J507"/>
    <mergeCell ref="G1224:J1224"/>
    <mergeCell ref="B1757:E1757"/>
    <mergeCell ref="B1002:E1002"/>
    <mergeCell ref="G1389:J1390"/>
    <mergeCell ref="B277:E277"/>
    <mergeCell ref="G158:J158"/>
    <mergeCell ref="G1233:J1234"/>
    <mergeCell ref="L1474:O1474"/>
    <mergeCell ref="B873:E873"/>
    <mergeCell ref="G323:J324"/>
    <mergeCell ref="G807:J807"/>
    <mergeCell ref="G832:J832"/>
    <mergeCell ref="B1004:E1004"/>
    <mergeCell ref="H1377:J1377"/>
    <mergeCell ref="B1759:E1759"/>
    <mergeCell ref="L1781:O1781"/>
    <mergeCell ref="H1168:J1168"/>
    <mergeCell ref="L292:O292"/>
    <mergeCell ref="B1467:E1468"/>
    <mergeCell ref="H950:J950"/>
    <mergeCell ref="B1334:C1334"/>
    <mergeCell ref="L893:M893"/>
    <mergeCell ref="H1039:J1039"/>
    <mergeCell ref="H1220:J1220"/>
    <mergeCell ref="M1600:O1600"/>
    <mergeCell ref="G1588:J1588"/>
    <mergeCell ref="H1766:J1766"/>
    <mergeCell ref="B117:E117"/>
    <mergeCell ref="H1548:J1548"/>
    <mergeCell ref="L115:O116"/>
    <mergeCell ref="H951:J951"/>
    <mergeCell ref="G35:H35"/>
    <mergeCell ref="B328:E328"/>
    <mergeCell ref="H1678:J1678"/>
    <mergeCell ref="L869:O870"/>
    <mergeCell ref="L319:O319"/>
    <mergeCell ref="B119:E119"/>
    <mergeCell ref="G762:H762"/>
    <mergeCell ref="B1204:C1204"/>
    <mergeCell ref="G1259:J1260"/>
    <mergeCell ref="M536:O536"/>
    <mergeCell ref="B1470:E1470"/>
    <mergeCell ref="L1807:O1807"/>
    <mergeCell ref="G972:J972"/>
    <mergeCell ref="L1073:O1073"/>
    <mergeCell ref="L318:O318"/>
    <mergeCell ref="B926:E926"/>
    <mergeCell ref="B717:E717"/>
    <mergeCell ref="G88:J88"/>
    <mergeCell ref="G1285:J1286"/>
    <mergeCell ref="G845:J845"/>
    <mergeCell ref="M1628:O1628"/>
    <mergeCell ref="B503:C503"/>
    <mergeCell ref="G546:J546"/>
    <mergeCell ref="H665:J665"/>
    <mergeCell ref="B294:C294"/>
    <mergeCell ref="G1750:H1750"/>
    <mergeCell ref="B1230:C1230"/>
    <mergeCell ref="H1392:J1392"/>
    <mergeCell ref="H360:J360"/>
    <mergeCell ref="H664:J664"/>
    <mergeCell ref="H935:J935"/>
    <mergeCell ref="B1073:E1073"/>
    <mergeCell ref="G1332:J1332"/>
    <mergeCell ref="B892:C892"/>
    <mergeCell ref="B768:E768"/>
    <mergeCell ref="H666:J666"/>
    <mergeCell ref="B1830:E1830"/>
    <mergeCell ref="B1102:E1102"/>
    <mergeCell ref="B43:E43"/>
    <mergeCell ref="G579:J579"/>
    <mergeCell ref="L460:O460"/>
    <mergeCell ref="B639:E639"/>
    <mergeCell ref="G573:J573"/>
    <mergeCell ref="G871:J871"/>
    <mergeCell ref="B797:E797"/>
    <mergeCell ref="G1753:J1754"/>
    <mergeCell ref="G1300:J1300"/>
    <mergeCell ref="L33:O33"/>
    <mergeCell ref="H691:J691"/>
    <mergeCell ref="B1700:E1700"/>
    <mergeCell ref="B641:E641"/>
    <mergeCell ref="L1005:O1005"/>
    <mergeCell ref="H1424:J1424"/>
    <mergeCell ref="G1202:J1202"/>
    <mergeCell ref="H50:J50"/>
    <mergeCell ref="L244:O244"/>
    <mergeCell ref="H1418:J1418"/>
    <mergeCell ref="L1515:O1515"/>
    <mergeCell ref="G416:J416"/>
    <mergeCell ref="B216:C216"/>
    <mergeCell ref="B1287:E1287"/>
    <mergeCell ref="G1594:H1594"/>
    <mergeCell ref="H1111:J1111"/>
    <mergeCell ref="H692:J692"/>
    <mergeCell ref="B1099:E1099"/>
    <mergeCell ref="B1128:E1128"/>
    <mergeCell ref="G297:J298"/>
    <mergeCell ref="B945:C945"/>
    <mergeCell ref="B190:C190"/>
    <mergeCell ref="B667:E667"/>
    <mergeCell ref="G1047:J1047"/>
    <mergeCell ref="L689:O689"/>
    <mergeCell ref="G286:J286"/>
    <mergeCell ref="L996:M996"/>
    <mergeCell ref="B62:E62"/>
    <mergeCell ref="B998:E998"/>
    <mergeCell ref="G890:J890"/>
    <mergeCell ref="L849:O849"/>
    <mergeCell ref="L1594:M1594"/>
    <mergeCell ref="B1755:E1755"/>
    <mergeCell ref="H1164:J1164"/>
    <mergeCell ref="L842:O842"/>
    <mergeCell ref="M510:O510"/>
    <mergeCell ref="G917:J917"/>
    <mergeCell ref="H745:J745"/>
    <mergeCell ref="L1447:O1447"/>
    <mergeCell ref="L686:O686"/>
    <mergeCell ref="B1029:E1029"/>
    <mergeCell ref="B658:C658"/>
    <mergeCell ref="L1022:M1022"/>
    <mergeCell ref="L1020:O1020"/>
    <mergeCell ref="H1762:J1762"/>
    <mergeCell ref="M1863:O1863"/>
    <mergeCell ref="B88:E88"/>
    <mergeCell ref="H1037:J1037"/>
    <mergeCell ref="L866:M866"/>
    <mergeCell ref="H1159:J1159"/>
    <mergeCell ref="G819:J819"/>
    <mergeCell ref="H1764:J1764"/>
    <mergeCell ref="H1791:J1791"/>
    <mergeCell ref="L114:O114"/>
    <mergeCell ref="G739:J740"/>
    <mergeCell ref="L1620:M1620"/>
    <mergeCell ref="L1751:M1751"/>
    <mergeCell ref="M1262:O1262"/>
    <mergeCell ref="H1190:J1190"/>
    <mergeCell ref="G943:J943"/>
    <mergeCell ref="G188:J188"/>
    <mergeCell ref="G182:J182"/>
    <mergeCell ref="G218:J218"/>
    <mergeCell ref="B843:E844"/>
    <mergeCell ref="H1061:J1061"/>
    <mergeCell ref="H300:J300"/>
    <mergeCell ref="L1046:O1046"/>
    <mergeCell ref="H458:J458"/>
    <mergeCell ref="B110:E110"/>
    <mergeCell ref="L141:O142"/>
    <mergeCell ref="H1818:J1818"/>
    <mergeCell ref="H1063:J1063"/>
    <mergeCell ref="G476:H476"/>
    <mergeCell ref="B715:E715"/>
    <mergeCell ref="H1221:J1221"/>
    <mergeCell ref="L1623:O1624"/>
    <mergeCell ref="H1790:J1790"/>
    <mergeCell ref="H1817:J1817"/>
    <mergeCell ref="B1620:C1620"/>
    <mergeCell ref="H301:J301"/>
    <mergeCell ref="M1707:O1707"/>
    <mergeCell ref="L737:M737"/>
    <mergeCell ref="H1844:J1844"/>
    <mergeCell ref="L1673:M1673"/>
    <mergeCell ref="H1819:J1819"/>
    <mergeCell ref="H1058:J1058"/>
    <mergeCell ref="H303:J303"/>
    <mergeCell ref="B869:E870"/>
    <mergeCell ref="L1464:M1464"/>
    <mergeCell ref="G1881:H1881"/>
    <mergeCell ref="G656:J656"/>
    <mergeCell ref="B14:E14"/>
    <mergeCell ref="B136:E136"/>
    <mergeCell ref="L895:O896"/>
    <mergeCell ref="L1335:M1335"/>
    <mergeCell ref="L167:O168"/>
    <mergeCell ref="G53:J53"/>
    <mergeCell ref="G1899:J1899"/>
    <mergeCell ref="B1496:E1496"/>
    <mergeCell ref="B741:E741"/>
    <mergeCell ref="L1518:O1518"/>
    <mergeCell ref="B1800:E1800"/>
    <mergeCell ref="B13:E13"/>
    <mergeCell ref="M276:O276"/>
    <mergeCell ref="B1623:E1624"/>
    <mergeCell ref="G1717:J1717"/>
    <mergeCell ref="H1116:J1116"/>
    <mergeCell ref="B1827:E1827"/>
    <mergeCell ref="H776:J776"/>
    <mergeCell ref="H21:J21"/>
    <mergeCell ref="G114:J114"/>
    <mergeCell ref="B770:E770"/>
    <mergeCell ref="L786:O786"/>
    <mergeCell ref="H173:J173"/>
    <mergeCell ref="L1084:O1084"/>
    <mergeCell ref="H1503:J1503"/>
    <mergeCell ref="H1837:J1837"/>
    <mergeCell ref="B1491:C1491"/>
    <mergeCell ref="G1930:J1930"/>
    <mergeCell ref="G143:J143"/>
    <mergeCell ref="H1714:J1714"/>
    <mergeCell ref="B167:E168"/>
    <mergeCell ref="H16:J16"/>
    <mergeCell ref="L1517:M1517"/>
    <mergeCell ref="L787:O787"/>
    <mergeCell ref="M1210:O1210"/>
    <mergeCell ref="L1544:O1544"/>
    <mergeCell ref="H690:J690"/>
    <mergeCell ref="L633:M633"/>
    <mergeCell ref="B1853:E1853"/>
    <mergeCell ref="G1612:J1612"/>
    <mergeCell ref="M302:O302"/>
    <mergeCell ref="G1770:J1770"/>
    <mergeCell ref="G1015:J1015"/>
    <mergeCell ref="G1307:J1307"/>
    <mergeCell ref="B665:E665"/>
    <mergeCell ref="H1446:J1446"/>
    <mergeCell ref="H1888:J1888"/>
    <mergeCell ref="B1540:E1540"/>
    <mergeCell ref="B1515:E1515"/>
    <mergeCell ref="G582:J582"/>
    <mergeCell ref="B1550:E1550"/>
    <mergeCell ref="L1547:O1547"/>
    <mergeCell ref="B1726:E1726"/>
    <mergeCell ref="H67:J67"/>
    <mergeCell ref="H1890:J1890"/>
    <mergeCell ref="L813:O813"/>
    <mergeCell ref="H103:J103"/>
    <mergeCell ref="H672:J672"/>
    <mergeCell ref="B1079:E1079"/>
    <mergeCell ref="H1585:J1585"/>
    <mergeCell ref="H830:J830"/>
    <mergeCell ref="B193:E194"/>
    <mergeCell ref="H1006:J1006"/>
    <mergeCell ref="M170:O170"/>
    <mergeCell ref="B635:E636"/>
    <mergeCell ref="G1647:H1647"/>
    <mergeCell ref="H701:J701"/>
    <mergeCell ref="B839:E839"/>
    <mergeCell ref="B84:E84"/>
    <mergeCell ref="H1891:J1891"/>
    <mergeCell ref="L1101:M1101"/>
    <mergeCell ref="L346:M346"/>
    <mergeCell ref="M172:O172"/>
    <mergeCell ref="H98:J98"/>
    <mergeCell ref="G763:H763"/>
    <mergeCell ref="G1027:J1027"/>
    <mergeCell ref="B1566:E1566"/>
    <mergeCell ref="L1828:M1828"/>
    <mergeCell ref="G1483:J1483"/>
    <mergeCell ref="L217:M217"/>
    <mergeCell ref="B1437:E1437"/>
    <mergeCell ref="B378:E378"/>
    <mergeCell ref="G730:J730"/>
    <mergeCell ref="B1263:E1263"/>
    <mergeCell ref="B842:E842"/>
    <mergeCell ref="H543:J543"/>
    <mergeCell ref="L372:M372"/>
    <mergeCell ref="G296:J296"/>
    <mergeCell ref="G1493:J1494"/>
    <mergeCell ref="H456:J456"/>
    <mergeCell ref="H431:J431"/>
    <mergeCell ref="H1813:J1813"/>
    <mergeCell ref="B381:E381"/>
    <mergeCell ref="H414:J414"/>
    <mergeCell ref="H1604:J1604"/>
    <mergeCell ref="L399:M399"/>
    <mergeCell ref="H545:J545"/>
    <mergeCell ref="G1697:J1697"/>
    <mergeCell ref="G1543:H1543"/>
    <mergeCell ref="H1815:J1815"/>
    <mergeCell ref="H1054:J1054"/>
    <mergeCell ref="M1705:O1705"/>
    <mergeCell ref="M977:O977"/>
    <mergeCell ref="H1143:J1143"/>
    <mergeCell ref="B1281:E1281"/>
    <mergeCell ref="B554:C554"/>
    <mergeCell ref="B1498:E1498"/>
    <mergeCell ref="B1492:E1492"/>
    <mergeCell ref="B397:E397"/>
    <mergeCell ref="M1002:O1002"/>
    <mergeCell ref="B1124:E1124"/>
    <mergeCell ref="B92:E92"/>
    <mergeCell ref="L429:O429"/>
    <mergeCell ref="L423:O423"/>
    <mergeCell ref="H1499:J1499"/>
    <mergeCell ref="M1731:O1731"/>
    <mergeCell ref="B94:E94"/>
    <mergeCell ref="M1758:O1758"/>
    <mergeCell ref="G1410:J1410"/>
    <mergeCell ref="L87:M87"/>
    <mergeCell ref="M120:O120"/>
    <mergeCell ref="L452:O452"/>
    <mergeCell ref="G529:H529"/>
    <mergeCell ref="H1194:J1194"/>
    <mergeCell ref="G1256:H1256"/>
    <mergeCell ref="H773:J773"/>
    <mergeCell ref="H1528:J1528"/>
    <mergeCell ref="G1596:J1596"/>
    <mergeCell ref="H1659:J1659"/>
    <mergeCell ref="B1937:E1937"/>
    <mergeCell ref="L765:O766"/>
    <mergeCell ref="H925:J925"/>
    <mergeCell ref="H48:J48"/>
    <mergeCell ref="G1127:H1127"/>
    <mergeCell ref="H1530:J1530"/>
    <mergeCell ref="G505:J506"/>
    <mergeCell ref="H14:J14"/>
    <mergeCell ref="B1211:E1211"/>
    <mergeCell ref="G1854:H1854"/>
    <mergeCell ref="G682:J682"/>
    <mergeCell ref="B1938:E1938"/>
    <mergeCell ref="B269:C269"/>
    <mergeCell ref="B145:E145"/>
    <mergeCell ref="L897:O897"/>
    <mergeCell ref="H43:J43"/>
    <mergeCell ref="G377:J377"/>
    <mergeCell ref="H800:J800"/>
    <mergeCell ref="B452:E452"/>
    <mergeCell ref="G1103:J1104"/>
    <mergeCell ref="L816:O816"/>
    <mergeCell ref="G1436:J1436"/>
    <mergeCell ref="G1743:J1743"/>
    <mergeCell ref="H1554:J1554"/>
    <mergeCell ref="B1206:E1206"/>
    <mergeCell ref="B147:E147"/>
    <mergeCell ref="M1444:O1444"/>
    <mergeCell ref="G375:J376"/>
    <mergeCell ref="H74:J74"/>
    <mergeCell ref="G242:H242"/>
    <mergeCell ref="B481:E481"/>
    <mergeCell ref="H68:J68"/>
    <mergeCell ref="H487:J487"/>
    <mergeCell ref="L1414:O1414"/>
    <mergeCell ref="H1214:J1214"/>
    <mergeCell ref="H801:J801"/>
    <mergeCell ref="H1556:J1556"/>
    <mergeCell ref="H795:J795"/>
    <mergeCell ref="B1386:C1386"/>
    <mergeCell ref="M718:O718"/>
    <mergeCell ref="G840:H840"/>
    <mergeCell ref="B320:C320"/>
    <mergeCell ref="G971:H971"/>
    <mergeCell ref="H488:J488"/>
    <mergeCell ref="L923:O923"/>
    <mergeCell ref="H69:J69"/>
    <mergeCell ref="B163:E163"/>
    <mergeCell ref="M1341:O1341"/>
    <mergeCell ref="G1725:H1725"/>
    <mergeCell ref="G1794:J1794"/>
    <mergeCell ref="H1889:J1889"/>
    <mergeCell ref="B173:E173"/>
    <mergeCell ref="H1426:J1426"/>
    <mergeCell ref="G401:J402"/>
    <mergeCell ref="B507:E507"/>
    <mergeCell ref="L1284:O1284"/>
    <mergeCell ref="M1343:O1343"/>
    <mergeCell ref="G1456:J1456"/>
    <mergeCell ref="B1389:E1390"/>
    <mergeCell ref="B1653:E1653"/>
    <mergeCell ref="G396:J396"/>
    <mergeCell ref="G63:J64"/>
    <mergeCell ref="G390:J390"/>
    <mergeCell ref="L1100:M1100"/>
    <mergeCell ref="G1781:J1781"/>
    <mergeCell ref="M613:O613"/>
    <mergeCell ref="G997:H997"/>
    <mergeCell ref="H514:J514"/>
    <mergeCell ref="H1269:J1269"/>
    <mergeCell ref="L1258:O1258"/>
    <mergeCell ref="G267:J267"/>
    <mergeCell ref="L953:O953"/>
    <mergeCell ref="G113:H113"/>
    <mergeCell ref="H1600:J1600"/>
    <mergeCell ref="H541:J541"/>
    <mergeCell ref="H516:J516"/>
    <mergeCell ref="H1271:J1271"/>
    <mergeCell ref="G1353:J1353"/>
    <mergeCell ref="H122:J122"/>
    <mergeCell ref="B164:C164"/>
    <mergeCell ref="L1287:O1287"/>
    <mergeCell ref="L824:O824"/>
    <mergeCell ref="M614:O614"/>
    <mergeCell ref="B1828:C1828"/>
    <mergeCell ref="B1415:E1416"/>
    <mergeCell ref="H1602:J1602"/>
    <mergeCell ref="B35:C35"/>
    <mergeCell ref="H1894:J1894"/>
    <mergeCell ref="H1139:J1139"/>
    <mergeCell ref="G325:J325"/>
    <mergeCell ref="B1259:E1260"/>
    <mergeCell ref="G1378:J1378"/>
    <mergeCell ref="B1575:E1575"/>
    <mergeCell ref="L1881:M1881"/>
    <mergeCell ref="L1126:M1126"/>
    <mergeCell ref="G1509:J1509"/>
    <mergeCell ref="G1807:J1807"/>
    <mergeCell ref="L243:M243"/>
    <mergeCell ref="G318:J318"/>
    <mergeCell ref="L969:O969"/>
    <mergeCell ref="H1141:J1141"/>
    <mergeCell ref="G1380:J1380"/>
    <mergeCell ref="G625:J625"/>
    <mergeCell ref="B1577:E1577"/>
    <mergeCell ref="B222:E222"/>
    <mergeCell ref="G923:J923"/>
    <mergeCell ref="H567:J567"/>
    <mergeCell ref="M326:O326"/>
    <mergeCell ref="B1285:E1286"/>
    <mergeCell ref="H743:J743"/>
    <mergeCell ref="G1510:J1510"/>
    <mergeCell ref="M484:O484"/>
    <mergeCell ref="L552:O552"/>
    <mergeCell ref="B553:E553"/>
    <mergeCell ref="H1470:J1470"/>
    <mergeCell ref="H438:J438"/>
    <mergeCell ref="B845:E845"/>
    <mergeCell ref="H1628:J1628"/>
    <mergeCell ref="H569:J569"/>
    <mergeCell ref="B1280:E1280"/>
    <mergeCell ref="H229:J229"/>
    <mergeCell ref="H1165:J1165"/>
    <mergeCell ref="B1750:C1750"/>
    <mergeCell ref="L537:O537"/>
    <mergeCell ref="M1082:O1082"/>
    <mergeCell ref="B1881:C1881"/>
    <mergeCell ref="H440:J440"/>
    <mergeCell ref="H1630:J1630"/>
    <mergeCell ref="M1756:O1756"/>
    <mergeCell ref="H1167:J1167"/>
    <mergeCell ref="H439:J439"/>
    <mergeCell ref="B997:C997"/>
    <mergeCell ref="B1603:E1603"/>
    <mergeCell ref="H1501:J1501"/>
    <mergeCell ref="B375:E376"/>
    <mergeCell ref="M1003:O1003"/>
    <mergeCell ref="L1752:O1752"/>
    <mergeCell ref="G162:J162"/>
    <mergeCell ref="B579:E579"/>
    <mergeCell ref="G338:J338"/>
    <mergeCell ref="B535:E535"/>
    <mergeCell ref="L841:M841"/>
    <mergeCell ref="L1654:O1654"/>
    <mergeCell ref="G496:J496"/>
    <mergeCell ref="G767:J767"/>
    <mergeCell ref="B1306:E1306"/>
    <mergeCell ref="H280:J280"/>
    <mergeCell ref="B973:E974"/>
    <mergeCell ref="G33:J33"/>
    <mergeCell ref="B423:E423"/>
    <mergeCell ref="G1223:J1223"/>
    <mergeCell ref="G340:J340"/>
    <mergeCell ref="L563:O563"/>
    <mergeCell ref="B1177:E1177"/>
    <mergeCell ref="B118:E118"/>
    <mergeCell ref="H1341:J1341"/>
    <mergeCell ref="H282:J282"/>
    <mergeCell ref="G1094:J1094"/>
    <mergeCell ref="B1904:E1904"/>
    <mergeCell ref="L894:O894"/>
    <mergeCell ref="H1552:J1552"/>
    <mergeCell ref="B1594:C1594"/>
    <mergeCell ref="G1821:J1821"/>
    <mergeCell ref="H153:J153"/>
    <mergeCell ref="H1343:J1343"/>
    <mergeCell ref="L169:O169"/>
    <mergeCell ref="L1651:O1651"/>
    <mergeCell ref="B710:C710"/>
    <mergeCell ref="M42:O42"/>
    <mergeCell ref="H1091:J1091"/>
    <mergeCell ref="M716:O716"/>
    <mergeCell ref="M1471:O1471"/>
    <mergeCell ref="G59:J59"/>
    <mergeCell ref="B1595:C1595"/>
    <mergeCell ref="L8:M8"/>
    <mergeCell ref="B292:E292"/>
    <mergeCell ref="G1879:J1879"/>
    <mergeCell ref="H1236:J1236"/>
    <mergeCell ref="M1472:O1472"/>
    <mergeCell ref="H179:J179"/>
    <mergeCell ref="B890:E890"/>
    <mergeCell ref="B9:C9"/>
    <mergeCell ref="L195:O195"/>
    <mergeCell ref="G392:J392"/>
    <mergeCell ref="L1805:O1806"/>
    <mergeCell ref="L1677:O1677"/>
    <mergeCell ref="G1752:J1752"/>
    <mergeCell ref="G1874:J1874"/>
    <mergeCell ref="H1265:J1265"/>
    <mergeCell ref="H510:J510"/>
    <mergeCell ref="B917:E917"/>
    <mergeCell ref="H1396:J1396"/>
    <mergeCell ref="M1497:O1497"/>
    <mergeCell ref="L793:O793"/>
    <mergeCell ref="G219:J220"/>
    <mergeCell ref="L1675:O1676"/>
    <mergeCell ref="H1267:J1267"/>
    <mergeCell ref="H512:J512"/>
    <mergeCell ref="G1022:H1022"/>
    <mergeCell ref="H1863:J1863"/>
    <mergeCell ref="H49:J49"/>
    <mergeCell ref="H207:J207"/>
    <mergeCell ref="G866:H866"/>
    <mergeCell ref="G1905:J1905"/>
    <mergeCell ref="L1831:O1832"/>
    <mergeCell ref="B739:E740"/>
    <mergeCell ref="B189:E189"/>
    <mergeCell ref="G1751:H1751"/>
    <mergeCell ref="G996:H996"/>
    <mergeCell ref="H1268:J1268"/>
    <mergeCell ref="G106:J106"/>
    <mergeCell ref="G448:J448"/>
    <mergeCell ref="B1704:E1704"/>
    <mergeCell ref="B943:E943"/>
    <mergeCell ref="B188:E188"/>
    <mergeCell ref="G860:J860"/>
    <mergeCell ref="G105:J105"/>
    <mergeCell ref="B218:E218"/>
    <mergeCell ref="B1548:E1548"/>
    <mergeCell ref="B1706:E1706"/>
    <mergeCell ref="B59:E59"/>
    <mergeCell ref="G1587:J1587"/>
    <mergeCell ref="G868:J868"/>
    <mergeCell ref="L637:O637"/>
    <mergeCell ref="H980:J980"/>
    <mergeCell ref="H225:J225"/>
    <mergeCell ref="M1212:O1212"/>
    <mergeCell ref="H1707:J1707"/>
    <mergeCell ref="L1723:O1723"/>
    <mergeCell ref="H1626:J1626"/>
    <mergeCell ref="G1379:J1379"/>
    <mergeCell ref="H227:J227"/>
    <mergeCell ref="G737:H737"/>
    <mergeCell ref="G1677:J1677"/>
    <mergeCell ref="H1918:J1918"/>
    <mergeCell ref="H1709:J1709"/>
    <mergeCell ref="G1464:H1464"/>
    <mergeCell ref="H981:J981"/>
    <mergeCell ref="B656:E656"/>
    <mergeCell ref="L1291:O1291"/>
    <mergeCell ref="H1192:J1192"/>
    <mergeCell ref="G580:H580"/>
    <mergeCell ref="H983:J983"/>
    <mergeCell ref="M354:O354"/>
    <mergeCell ref="L1625:O1625"/>
    <mergeCell ref="H222:J222"/>
    <mergeCell ref="B1419:E1419"/>
    <mergeCell ref="B664:E664"/>
    <mergeCell ref="L1619:O1619"/>
    <mergeCell ref="H251:J251"/>
    <mergeCell ref="L1545:O1546"/>
    <mergeCell ref="B3:O3"/>
    <mergeCell ref="L559:O559"/>
    <mergeCell ref="B875:E875"/>
    <mergeCell ref="L1749:O1749"/>
    <mergeCell ref="B1934:E1934"/>
    <mergeCell ref="B1421:E1421"/>
    <mergeCell ref="H278:J278"/>
    <mergeCell ref="H253:J253"/>
    <mergeCell ref="M379:O379"/>
    <mergeCell ref="H1008:J1008"/>
    <mergeCell ref="L1024:O1024"/>
    <mergeCell ref="B1602:E1602"/>
    <mergeCell ref="G1649:J1650"/>
    <mergeCell ref="L1593:O1593"/>
    <mergeCell ref="M1106:O1106"/>
    <mergeCell ref="B1930:E1930"/>
    <mergeCell ref="B1473:E1473"/>
    <mergeCell ref="G1092:J1092"/>
    <mergeCell ref="H1637:J1637"/>
    <mergeCell ref="H876:J876"/>
    <mergeCell ref="L1282:M1282"/>
    <mergeCell ref="G1521:J1521"/>
    <mergeCell ref="M1108:O1108"/>
    <mergeCell ref="L1622:O1622"/>
    <mergeCell ref="M380:O380"/>
    <mergeCell ref="M1107:O1107"/>
    <mergeCell ref="H878:J878"/>
    <mergeCell ref="G633:H633"/>
    <mergeCell ref="H150:J150"/>
    <mergeCell ref="L531:O532"/>
    <mergeCell ref="G1675:J1676"/>
    <mergeCell ref="L735:O735"/>
    <mergeCell ref="H907:J907"/>
    <mergeCell ref="L736:M736"/>
    <mergeCell ref="B588:E588"/>
    <mergeCell ref="L1462:O1462"/>
    <mergeCell ref="L403:O403"/>
    <mergeCell ref="H1634:J1634"/>
    <mergeCell ref="H306:J306"/>
    <mergeCell ref="G1118:J1118"/>
    <mergeCell ref="B1315:E1315"/>
    <mergeCell ref="G1547:J1547"/>
    <mergeCell ref="H1060:J1060"/>
    <mergeCell ref="G58:J58"/>
    <mergeCell ref="H177:J177"/>
    <mergeCell ref="B1186:E1186"/>
    <mergeCell ref="H335:J335"/>
    <mergeCell ref="M94:O94"/>
    <mergeCell ref="L1001:O1001"/>
    <mergeCell ref="G1120:J1120"/>
    <mergeCell ref="B1317:E1317"/>
    <mergeCell ref="H589:J589"/>
    <mergeCell ref="L920:O920"/>
    <mergeCell ref="G1847:J1847"/>
    <mergeCell ref="M821:O821"/>
    <mergeCell ref="H1238:J1238"/>
    <mergeCell ref="B1647:C1647"/>
    <mergeCell ref="H933:J933"/>
    <mergeCell ref="G346:H346"/>
    <mergeCell ref="B736:C736"/>
    <mergeCell ref="B1490:C1490"/>
    <mergeCell ref="M822:O822"/>
    <mergeCell ref="B301:E301"/>
    <mergeCell ref="B432:E432"/>
    <mergeCell ref="G533:J533"/>
    <mergeCell ref="H1266:J1266"/>
    <mergeCell ref="G962:J962"/>
    <mergeCell ref="L631:O631"/>
    <mergeCell ref="B1677:E1677"/>
    <mergeCell ref="B303:E303"/>
    <mergeCell ref="B916:E916"/>
    <mergeCell ref="L422:O422"/>
    <mergeCell ref="G833:J833"/>
    <mergeCell ref="B1030:E1030"/>
    <mergeCell ref="G372:H372"/>
    <mergeCell ref="B611:E611"/>
    <mergeCell ref="L1388:O1388"/>
    <mergeCell ref="G1560:J1560"/>
    <mergeCell ref="H20:J20"/>
    <mergeCell ref="B1493:E1494"/>
    <mergeCell ref="H196:J196"/>
    <mergeCell ref="M1783:O1783"/>
    <mergeCell ref="L1701:O1702"/>
    <mergeCell ref="G1885:J1885"/>
    <mergeCell ref="B607:C607"/>
    <mergeCell ref="H618:J618"/>
    <mergeCell ref="B1543:C1543"/>
    <mergeCell ref="H1711:J1711"/>
    <mergeCell ref="G1441:J1442"/>
    <mergeCell ref="H1705:J1705"/>
    <mergeCell ref="M535:O535"/>
    <mergeCell ref="H977:J977"/>
    <mergeCell ref="H648:J648"/>
    <mergeCell ref="B329:E329"/>
    <mergeCell ref="H1400:J1400"/>
    <mergeCell ref="G1645:J1645"/>
    <mergeCell ref="H1704:J1704"/>
    <mergeCell ref="B1205:C1205"/>
    <mergeCell ref="B1056:E1056"/>
    <mergeCell ref="L1569:M1569"/>
    <mergeCell ref="L1833:O1833"/>
    <mergeCell ref="H979:J979"/>
    <mergeCell ref="G1489:J1489"/>
    <mergeCell ref="B1932:C1932"/>
    <mergeCell ref="H1706:J1706"/>
    <mergeCell ref="G886:J886"/>
    <mergeCell ref="G131:J131"/>
    <mergeCell ref="G429:J429"/>
    <mergeCell ref="G1482:J1482"/>
    <mergeCell ref="B1417:E1417"/>
    <mergeCell ref="G1640:J1640"/>
    <mergeCell ref="H249:J249"/>
    <mergeCell ref="H1737:J1737"/>
    <mergeCell ref="H1731:J1731"/>
    <mergeCell ref="G1484:J1484"/>
    <mergeCell ref="G729:J729"/>
    <mergeCell ref="L1109:O1109"/>
    <mergeCell ref="G87:H87"/>
    <mergeCell ref="B1410:E1410"/>
    <mergeCell ref="L348:O348"/>
    <mergeCell ref="B453:E454"/>
    <mergeCell ref="H1608:J1608"/>
    <mergeCell ref="B1256:C1256"/>
    <mergeCell ref="L1102:O1102"/>
    <mergeCell ref="L43:O43"/>
    <mergeCell ref="M588:O588"/>
    <mergeCell ref="H1005:J1005"/>
    <mergeCell ref="H1760:J1760"/>
    <mergeCell ref="B657:E657"/>
    <mergeCell ref="B42:E42"/>
    <mergeCell ref="B1127:C1127"/>
    <mergeCell ref="H1732:J1732"/>
    <mergeCell ref="M1133:O1133"/>
    <mergeCell ref="B1443:E1443"/>
    <mergeCell ref="H1603:J1603"/>
    <mergeCell ref="H544:J544"/>
    <mergeCell ref="M924:O924"/>
    <mergeCell ref="B682:E682"/>
    <mergeCell ref="H1734:J1734"/>
    <mergeCell ref="M1860:O1860"/>
    <mergeCell ref="L1135:O1135"/>
    <mergeCell ref="B1436:E1436"/>
    <mergeCell ref="L374:O374"/>
    <mergeCell ref="G1326:J1326"/>
    <mergeCell ref="G1360:H1360"/>
    <mergeCell ref="G1203:J1203"/>
    <mergeCell ref="B683:E683"/>
    <mergeCell ref="G442:J442"/>
    <mergeCell ref="L1733:O1733"/>
    <mergeCell ref="G600:J600"/>
    <mergeCell ref="M485:O485"/>
    <mergeCell ref="H718:J718"/>
    <mergeCell ref="H849:J849"/>
    <mergeCell ref="L1129:O1130"/>
    <mergeCell ref="L1760:O1760"/>
    <mergeCell ref="H1663:J1663"/>
    <mergeCell ref="H1323:J1323"/>
    <mergeCell ref="H1445:J1445"/>
    <mergeCell ref="H929:J929"/>
    <mergeCell ref="B971:C971"/>
    <mergeCell ref="H1481:J1481"/>
    <mergeCell ref="G1872:J1872"/>
    <mergeCell ref="H720:J720"/>
    <mergeCell ref="H1656:J1656"/>
    <mergeCell ref="H1316:J1316"/>
    <mergeCell ref="H1447:J1447"/>
    <mergeCell ref="B87:C87"/>
    <mergeCell ref="L1057:O1057"/>
    <mergeCell ref="M93:O93"/>
    <mergeCell ref="G477:H477"/>
    <mergeCell ref="B814:C814"/>
    <mergeCell ref="L1933:M1933"/>
    <mergeCell ref="G504:J504"/>
    <mergeCell ref="M820:O820"/>
    <mergeCell ref="B1885:E1885"/>
    <mergeCell ref="B1151:E1151"/>
    <mergeCell ref="B274:E274"/>
    <mergeCell ref="B396:E396"/>
    <mergeCell ref="L1155:O1156"/>
    <mergeCell ref="B63:E64"/>
    <mergeCell ref="L1488:O1488"/>
    <mergeCell ref="G1075:H1075"/>
    <mergeCell ref="H1374:J1374"/>
    <mergeCell ref="L1183:O1183"/>
    <mergeCell ref="G1258:J1258"/>
    <mergeCell ref="L1359:O1359"/>
    <mergeCell ref="B267:E267"/>
    <mergeCell ref="B1883:E1884"/>
    <mergeCell ref="H1376:J1376"/>
    <mergeCell ref="H621:J621"/>
    <mergeCell ref="B113:C113"/>
    <mergeCell ref="L299:O299"/>
    <mergeCell ref="L712:O712"/>
    <mergeCell ref="B1055:E1055"/>
    <mergeCell ref="H642:J642"/>
    <mergeCell ref="L1048:M1048"/>
    <mergeCell ref="G1287:J1287"/>
    <mergeCell ref="M874:O874"/>
    <mergeCell ref="G1856:J1856"/>
    <mergeCell ref="B1782:E1782"/>
    <mergeCell ref="H1369:J1369"/>
    <mergeCell ref="H310:J310"/>
    <mergeCell ref="H614:J614"/>
    <mergeCell ref="M1601:O1601"/>
    <mergeCell ref="H644:J644"/>
    <mergeCell ref="H1834:J1834"/>
    <mergeCell ref="B325:E325"/>
    <mergeCell ref="L1646:M1646"/>
    <mergeCell ref="H1371:J1371"/>
    <mergeCell ref="H616:J616"/>
    <mergeCell ref="G1126:H1126"/>
    <mergeCell ref="L1777:M1777"/>
    <mergeCell ref="B1909:E1910"/>
    <mergeCell ref="G969:J969"/>
    <mergeCell ref="B327:E327"/>
    <mergeCell ref="G208:J208"/>
    <mergeCell ref="L1499:O1499"/>
    <mergeCell ref="B923:E923"/>
    <mergeCell ref="G244:J244"/>
    <mergeCell ref="G373:H373"/>
    <mergeCell ref="M404:O404"/>
    <mergeCell ref="H645:J645"/>
    <mergeCell ref="L738:O738"/>
    <mergeCell ref="B1054:E1054"/>
    <mergeCell ref="B1081:E1081"/>
    <mergeCell ref="B1809:E1809"/>
    <mergeCell ref="G1313:J1313"/>
    <mergeCell ref="L1072:O1072"/>
    <mergeCell ref="G552:J552"/>
    <mergeCell ref="B1808:E1808"/>
    <mergeCell ref="H1089:J1089"/>
    <mergeCell ref="H334:J334"/>
    <mergeCell ref="L767:O767"/>
    <mergeCell ref="L918:M918"/>
    <mergeCell ref="B1083:E1083"/>
    <mergeCell ref="H486:J486"/>
    <mergeCell ref="G1613:J1613"/>
    <mergeCell ref="B1810:E1810"/>
    <mergeCell ref="G1911:J1911"/>
    <mergeCell ref="H1082:J1082"/>
    <mergeCell ref="L1826:O1826"/>
    <mergeCell ref="M1314:O1314"/>
    <mergeCell ref="H363:J363"/>
    <mergeCell ref="B502:C502"/>
    <mergeCell ref="H1845:J1845"/>
    <mergeCell ref="H1090:J1090"/>
    <mergeCell ref="G1183:J1183"/>
    <mergeCell ref="H1084:J1084"/>
    <mergeCell ref="H329:J329"/>
    <mergeCell ref="M430:O430"/>
    <mergeCell ref="M561:O561"/>
    <mergeCell ref="H1003:J1003"/>
    <mergeCell ref="B40:E40"/>
    <mergeCell ref="L606:M606"/>
    <mergeCell ref="H331:J331"/>
    <mergeCell ref="G841:H841"/>
    <mergeCell ref="G86:H86"/>
    <mergeCell ref="H358:J358"/>
    <mergeCell ref="H1115:J1115"/>
    <mergeCell ref="B767:E767"/>
    <mergeCell ref="L1131:O1131"/>
    <mergeCell ref="B33:E33"/>
    <mergeCell ref="L370:O370"/>
    <mergeCell ref="B925:E925"/>
    <mergeCell ref="L37:O38"/>
    <mergeCell ref="L668:O668"/>
    <mergeCell ref="H1601:J1601"/>
    <mergeCell ref="L916:O916"/>
    <mergeCell ref="L188:O188"/>
    <mergeCell ref="L1214:O1214"/>
    <mergeCell ref="L1852:O1852"/>
    <mergeCell ref="L65:O65"/>
    <mergeCell ref="H389:J389"/>
    <mergeCell ref="B796:E796"/>
    <mergeCell ref="B41:E41"/>
    <mergeCell ref="G273:J273"/>
    <mergeCell ref="L1729:O1729"/>
    <mergeCell ref="L968:O968"/>
    <mergeCell ref="B1523:E1523"/>
    <mergeCell ref="H1110:J1110"/>
    <mergeCell ref="H355:J355"/>
    <mergeCell ref="M1549:O1549"/>
    <mergeCell ref="H385:J385"/>
    <mergeCell ref="B979:E979"/>
    <mergeCell ref="B66:E66"/>
    <mergeCell ref="G598:J598"/>
    <mergeCell ref="B1525:E1525"/>
    <mergeCell ref="L1387:M1387"/>
    <mergeCell ref="G1651:J1651"/>
    <mergeCell ref="H357:J357"/>
    <mergeCell ref="M483:O483"/>
    <mergeCell ref="H42:J42"/>
    <mergeCell ref="L1889:O1889"/>
    <mergeCell ref="B793:E793"/>
    <mergeCell ref="M274:O274"/>
    <mergeCell ref="H716:J716"/>
    <mergeCell ref="B1100:C1100"/>
    <mergeCell ref="H1471:J1471"/>
    <mergeCell ref="L659:M659"/>
    <mergeCell ref="H411:J411"/>
    <mergeCell ref="H1741:J1741"/>
    <mergeCell ref="B1879:E1879"/>
    <mergeCell ref="B67:E67"/>
    <mergeCell ref="G1803:H1803"/>
    <mergeCell ref="G712:J712"/>
    <mergeCell ref="H1314:J1314"/>
    <mergeCell ref="B1698:C1698"/>
    <mergeCell ref="H1472:J1472"/>
    <mergeCell ref="L1257:M1257"/>
    <mergeCell ref="G195:J195"/>
    <mergeCell ref="L635:O636"/>
    <mergeCell ref="L85:O85"/>
    <mergeCell ref="G1025:J1026"/>
    <mergeCell ref="G624:J624"/>
    <mergeCell ref="B970:C970"/>
    <mergeCell ref="B1576:E1576"/>
    <mergeCell ref="L1573:O1573"/>
    <mergeCell ref="B1752:E1752"/>
    <mergeCell ref="L1567:O1567"/>
    <mergeCell ref="L839:O839"/>
    <mergeCell ref="L84:O84"/>
    <mergeCell ref="H129:J129"/>
    <mergeCell ref="G1229:J1229"/>
    <mergeCell ref="G495:J495"/>
    <mergeCell ref="B692:E692"/>
    <mergeCell ref="H856:J856"/>
    <mergeCell ref="L685:M685"/>
    <mergeCell ref="B219:E220"/>
    <mergeCell ref="H437:J437"/>
    <mergeCell ref="H70:J70"/>
    <mergeCell ref="M196:O196"/>
    <mergeCell ref="H744:J744"/>
    <mergeCell ref="H404:J404"/>
    <mergeCell ref="H727:J727"/>
    <mergeCell ref="H1917:J1917"/>
    <mergeCell ref="M198:O198"/>
    <mergeCell ref="G789:H789"/>
    <mergeCell ref="B60:C60"/>
    <mergeCell ref="G1516:H1516"/>
    <mergeCell ref="H1342:J1342"/>
    <mergeCell ref="B996:C996"/>
    <mergeCell ref="B1751:C1751"/>
    <mergeCell ref="B867:C867"/>
    <mergeCell ref="G39:J39"/>
    <mergeCell ref="L140:O140"/>
    <mergeCell ref="L1495:O1495"/>
    <mergeCell ref="B1183:E1183"/>
    <mergeCell ref="G942:J942"/>
    <mergeCell ref="B868:E868"/>
    <mergeCell ref="B89:E90"/>
    <mergeCell ref="B1160:E1160"/>
    <mergeCell ref="B405:E405"/>
    <mergeCell ref="G339:J339"/>
    <mergeCell ref="G1696:J1696"/>
    <mergeCell ref="G637:J637"/>
    <mergeCell ref="H457:J457"/>
    <mergeCell ref="G210:J210"/>
    <mergeCell ref="B1466:E1466"/>
    <mergeCell ref="B407:E407"/>
    <mergeCell ref="L771:O771"/>
    <mergeCell ref="G1723:J1723"/>
    <mergeCell ref="H1939:J1939"/>
    <mergeCell ref="H1184:J1184"/>
    <mergeCell ref="L10:O10"/>
    <mergeCell ref="H152:J152"/>
    <mergeCell ref="G937:J937"/>
    <mergeCell ref="G1569:H1569"/>
    <mergeCell ref="H1816:J1816"/>
    <mergeCell ref="H1841:J1841"/>
    <mergeCell ref="B1464:C1464"/>
    <mergeCell ref="B894:E894"/>
    <mergeCell ref="H1843:J1843"/>
    <mergeCell ref="L1672:M1672"/>
    <mergeCell ref="B580:C580"/>
    <mergeCell ref="B711:C711"/>
    <mergeCell ref="H354:J354"/>
    <mergeCell ref="B738:E738"/>
    <mergeCell ref="M586:O586"/>
    <mergeCell ref="G1545:J1546"/>
    <mergeCell ref="G995:J995"/>
    <mergeCell ref="G236:J236"/>
    <mergeCell ref="L1254:O1254"/>
    <mergeCell ref="B433:E433"/>
    <mergeCell ref="L455:O455"/>
    <mergeCell ref="H356:J356"/>
    <mergeCell ref="G52:J52"/>
    <mergeCell ref="L449:O449"/>
    <mergeCell ref="H597:J597"/>
    <mergeCell ref="G1749:J1749"/>
    <mergeCell ref="B8:C8"/>
    <mergeCell ref="G1024:J1024"/>
    <mergeCell ref="B1649:E1650"/>
    <mergeCell ref="H1867:J1867"/>
    <mergeCell ref="H170:J170"/>
    <mergeCell ref="G1593:J1593"/>
    <mergeCell ref="G865:J865"/>
    <mergeCell ref="M1757:O1757"/>
    <mergeCell ref="G1411:J1411"/>
    <mergeCell ref="H387:J387"/>
    <mergeCell ref="L478:O478"/>
    <mergeCell ref="L1053:O1053"/>
    <mergeCell ref="H1869:J1869"/>
    <mergeCell ref="H172:J172"/>
    <mergeCell ref="H1114:J1114"/>
    <mergeCell ref="G1257:H1257"/>
    <mergeCell ref="H1108:J1108"/>
    <mergeCell ref="G1282:H1282"/>
    <mergeCell ref="B1521:E1521"/>
    <mergeCell ref="H380:J380"/>
    <mergeCell ref="L486:O486"/>
    <mergeCell ref="G1622:J1622"/>
    <mergeCell ref="B1699:C1699"/>
    <mergeCell ref="H899:J899"/>
    <mergeCell ref="H985:J985"/>
    <mergeCell ref="B1392:E1392"/>
    <mergeCell ref="B633:C633"/>
    <mergeCell ref="H382:J382"/>
    <mergeCell ref="L1543:M1543"/>
    <mergeCell ref="H1870:J1870"/>
    <mergeCell ref="M1629:O1629"/>
    <mergeCell ref="G708:J708"/>
    <mergeCell ref="B1675:E1676"/>
    <mergeCell ref="B146:E146"/>
    <mergeCell ref="G1462:J1462"/>
    <mergeCell ref="G585:J585"/>
    <mergeCell ref="B1852:E1852"/>
    <mergeCell ref="B820:E820"/>
    <mergeCell ref="B65:E65"/>
    <mergeCell ref="L1386:M1386"/>
    <mergeCell ref="B1547:E1547"/>
    <mergeCell ref="M1028:O1028"/>
    <mergeCell ref="G709:J709"/>
    <mergeCell ref="H100:J100"/>
    <mergeCell ref="G703:J703"/>
    <mergeCell ref="B1418:E1418"/>
    <mergeCell ref="H1582:J1582"/>
    <mergeCell ref="H827:J827"/>
    <mergeCell ref="G920:J920"/>
    <mergeCell ref="B1412:C1412"/>
    <mergeCell ref="H66:J66"/>
    <mergeCell ref="B2:O2"/>
    <mergeCell ref="L812:O812"/>
    <mergeCell ref="H698:J698"/>
    <mergeCell ref="H1584:J1584"/>
    <mergeCell ref="H829:J829"/>
    <mergeCell ref="L1413:M1413"/>
    <mergeCell ref="H95:J95"/>
    <mergeCell ref="B504:E504"/>
    <mergeCell ref="H1583:J1583"/>
    <mergeCell ref="L1233:O1234"/>
    <mergeCell ref="H97:J97"/>
    <mergeCell ref="B533:E533"/>
    <mergeCell ref="B1863:E1863"/>
    <mergeCell ref="H824:J824"/>
    <mergeCell ref="G10:J10"/>
    <mergeCell ref="L136:O136"/>
    <mergeCell ref="G631:J631"/>
    <mergeCell ref="L225:O225"/>
    <mergeCell ref="G422:J422"/>
    <mergeCell ref="L661:O662"/>
    <mergeCell ref="B1471:E1471"/>
    <mergeCell ref="H880:J880"/>
    <mergeCell ref="B1262:E1262"/>
    <mergeCell ref="G608:J608"/>
    <mergeCell ref="B534:E534"/>
    <mergeCell ref="B745:E745"/>
    <mergeCell ref="G765:J766"/>
    <mergeCell ref="H1941:J1941"/>
    <mergeCell ref="L1259:O1260"/>
    <mergeCell ref="H542:J542"/>
    <mergeCell ref="B536:E536"/>
    <mergeCell ref="H1478:J1478"/>
    <mergeCell ref="L1882:O1882"/>
    <mergeCell ref="L1463:O1463"/>
    <mergeCell ref="H1812:J1812"/>
    <mergeCell ref="H753:J753"/>
    <mergeCell ref="H535:J535"/>
    <mergeCell ref="H1943:J1943"/>
    <mergeCell ref="L398:M398"/>
    <mergeCell ref="L425:M425"/>
    <mergeCell ref="H1480:J1480"/>
    <mergeCell ref="H1507:J1507"/>
    <mergeCell ref="H752:J752"/>
    <mergeCell ref="B1618:E1618"/>
    <mergeCell ref="L1152:M1152"/>
    <mergeCell ref="G1542:H1542"/>
    <mergeCell ref="M978:O978"/>
    <mergeCell ref="H1814:J1814"/>
    <mergeCell ref="G1053:J1053"/>
    <mergeCell ref="B429:E429"/>
    <mergeCell ref="G791:J792"/>
    <mergeCell ref="L1339:O1339"/>
    <mergeCell ref="B247:E247"/>
    <mergeCell ref="G1536:J1536"/>
    <mergeCell ref="L578:O578"/>
    <mergeCell ref="H1809:J1809"/>
    <mergeCell ref="L1908:O1908"/>
    <mergeCell ref="L121:O121"/>
    <mergeCell ref="B431:E431"/>
    <mergeCell ref="H464:J464"/>
    <mergeCell ref="H1654:J1654"/>
    <mergeCell ref="H595:J595"/>
    <mergeCell ref="L273:O273"/>
    <mergeCell ref="L424:M424"/>
    <mergeCell ref="G348:J348"/>
    <mergeCell ref="L1937:O1937"/>
    <mergeCell ref="L1178:M1178"/>
    <mergeCell ref="B1907:C1907"/>
    <mergeCell ref="H466:J466"/>
    <mergeCell ref="L295:M295"/>
    <mergeCell ref="L579:O579"/>
    <mergeCell ref="H1237:J1237"/>
    <mergeCell ref="H1193:J1193"/>
    <mergeCell ref="G677:J677"/>
    <mergeCell ref="H1351:J1351"/>
    <mergeCell ref="H1527:J1527"/>
    <mergeCell ref="H590:J590"/>
    <mergeCell ref="M691:O691"/>
    <mergeCell ref="B401:E402"/>
    <mergeCell ref="H924:J924"/>
    <mergeCell ref="H467:J467"/>
    <mergeCell ref="B605:E605"/>
    <mergeCell ref="L112:M112"/>
    <mergeCell ref="B1332:E1332"/>
    <mergeCell ref="G374:J374"/>
    <mergeCell ref="H1522:J1522"/>
    <mergeCell ref="L589:O589"/>
    <mergeCell ref="H492:J492"/>
    <mergeCell ref="B1203:E1203"/>
    <mergeCell ref="B144:E144"/>
    <mergeCell ref="B302:E302"/>
    <mergeCell ref="H1219:J1219"/>
    <mergeCell ref="L293:O293"/>
    <mergeCell ref="L1235:O1235"/>
    <mergeCell ref="L1229:O1229"/>
    <mergeCell ref="H1553:J1553"/>
    <mergeCell ref="M1810:O1810"/>
    <mergeCell ref="M1055:O1055"/>
    <mergeCell ref="G1129:J1130"/>
    <mergeCell ref="H493:J493"/>
    <mergeCell ref="B631:E631"/>
    <mergeCell ref="L138:M138"/>
    <mergeCell ref="M926:O926"/>
    <mergeCell ref="H197:J197"/>
    <mergeCell ref="L9:M9"/>
    <mergeCell ref="B318:E318"/>
    <mergeCell ref="B170:E170"/>
    <mergeCell ref="G557:J558"/>
    <mergeCell ref="B477:C477"/>
    <mergeCell ref="G1178:H1178"/>
    <mergeCell ref="G1933:H1933"/>
    <mergeCell ref="H1581:J1581"/>
    <mergeCell ref="G1724:H1724"/>
    <mergeCell ref="G761:J761"/>
    <mergeCell ref="H820:J820"/>
    <mergeCell ref="B172:E172"/>
    <mergeCell ref="L949:O949"/>
    <mergeCell ref="G1488:J1488"/>
    <mergeCell ref="L221:O221"/>
    <mergeCell ref="G418:J418"/>
    <mergeCell ref="G1155:J1156"/>
    <mergeCell ref="G1664:J1664"/>
    <mergeCell ref="L1703:O1703"/>
    <mergeCell ref="G1900:J1900"/>
    <mergeCell ref="B1258:E1258"/>
    <mergeCell ref="G1359:J1359"/>
    <mergeCell ref="M768:O768"/>
    <mergeCell ref="L819:O819"/>
    <mergeCell ref="H1293:J1293"/>
    <mergeCell ref="M1366:O1366"/>
    <mergeCell ref="H233:J233"/>
    <mergeCell ref="M1524:O1524"/>
    <mergeCell ref="H882:J882"/>
    <mergeCell ref="L218:O218"/>
    <mergeCell ref="H1609:J1609"/>
    <mergeCell ref="M1368:O1368"/>
    <mergeCell ref="H1294:J1294"/>
    <mergeCell ref="G1777:H1777"/>
    <mergeCell ref="G1804:J1804"/>
    <mergeCell ref="G893:H893"/>
    <mergeCell ref="H719:J719"/>
    <mergeCell ref="B373:C373"/>
    <mergeCell ref="L1880:M1880"/>
    <mergeCell ref="G999:J1000"/>
    <mergeCell ref="G271:J272"/>
    <mergeCell ref="B1732:E1732"/>
    <mergeCell ref="B977:E977"/>
    <mergeCell ref="G1620:H1620"/>
    <mergeCell ref="H564:J564"/>
    <mergeCell ref="G115:J116"/>
    <mergeCell ref="H259:J259"/>
    <mergeCell ref="B848:E848"/>
    <mergeCell ref="L663:O663"/>
    <mergeCell ref="H1321:J1321"/>
    <mergeCell ref="G321:H321"/>
    <mergeCell ref="G319:J319"/>
    <mergeCell ref="G869:J870"/>
    <mergeCell ref="M1419:O1419"/>
    <mergeCell ref="H1320:J1320"/>
    <mergeCell ref="G1046:J1046"/>
    <mergeCell ref="B972:E972"/>
    <mergeCell ref="G1073:J1073"/>
    <mergeCell ref="G141:J142"/>
    <mergeCell ref="H1322:J1322"/>
    <mergeCell ref="H561:J561"/>
    <mergeCell ref="B1152:C1152"/>
    <mergeCell ref="B1758:E1758"/>
    <mergeCell ref="L999:O1000"/>
    <mergeCell ref="M1420:O1420"/>
    <mergeCell ref="G606:H606"/>
    <mergeCell ref="B86:C86"/>
    <mergeCell ref="G1131:J1131"/>
    <mergeCell ref="H1920:J1920"/>
    <mergeCell ref="G370:J370"/>
    <mergeCell ref="M1837:O1837"/>
    <mergeCell ref="L1049:M1049"/>
    <mergeCell ref="L1775:O1775"/>
    <mergeCell ref="L427:O428"/>
    <mergeCell ref="H1947:J1947"/>
    <mergeCell ref="L1776:M1776"/>
    <mergeCell ref="G793:J793"/>
    <mergeCell ref="G167:J168"/>
    <mergeCell ref="G1431:J1431"/>
    <mergeCell ref="G34:H34"/>
    <mergeCell ref="B273:E273"/>
    <mergeCell ref="L1050:O1050"/>
    <mergeCell ref="B1628:E1628"/>
    <mergeCell ref="G1222:J1222"/>
    <mergeCell ref="G1729:J1729"/>
    <mergeCell ref="H1549:J1549"/>
    <mergeCell ref="L1358:O1358"/>
    <mergeCell ref="L1025:O1026"/>
    <mergeCell ref="B999:E1000"/>
    <mergeCell ref="G156:J156"/>
    <mergeCell ref="H1244:J1244"/>
    <mergeCell ref="B871:E871"/>
    <mergeCell ref="H1375:J1375"/>
    <mergeCell ref="M1134:O1134"/>
    <mergeCell ref="L1648:O1648"/>
    <mergeCell ref="H1035:J1035"/>
    <mergeCell ref="H1551:J1551"/>
    <mergeCell ref="B1753:E1754"/>
    <mergeCell ref="H274:J274"/>
    <mergeCell ref="L164:M164"/>
    <mergeCell ref="M1888:O1888"/>
    <mergeCell ref="H1246:J1246"/>
    <mergeCell ref="H491:J491"/>
    <mergeCell ref="G1308:H1308"/>
    <mergeCell ref="G1361:H1361"/>
    <mergeCell ref="B1803:C1803"/>
    <mergeCell ref="B712:E712"/>
    <mergeCell ref="L762:M762"/>
    <mergeCell ref="B589:E589"/>
    <mergeCell ref="H905:J905"/>
    <mergeCell ref="G91:J91"/>
    <mergeCell ref="L192:O192"/>
    <mergeCell ref="G635:J636"/>
    <mergeCell ref="G85:J85"/>
    <mergeCell ref="B1025:E1026"/>
    <mergeCell ref="B297:E298"/>
    <mergeCell ref="G1144:J1144"/>
    <mergeCell ref="H1247:J1247"/>
    <mergeCell ref="G1275:J1275"/>
    <mergeCell ref="B1316:E1316"/>
    <mergeCell ref="B1341:E1341"/>
    <mergeCell ref="L615:O615"/>
    <mergeCell ref="G1573:J1573"/>
    <mergeCell ref="L1647:M1647"/>
    <mergeCell ref="L1674:O1674"/>
    <mergeCell ref="G839:J839"/>
    <mergeCell ref="G84:J84"/>
    <mergeCell ref="B1229:E1229"/>
    <mergeCell ref="B197:E197"/>
    <mergeCell ref="B1779:E1780"/>
    <mergeCell ref="G1146:J1146"/>
    <mergeCell ref="B1343:E1343"/>
    <mergeCell ref="H930:J930"/>
    <mergeCell ref="B924:E924"/>
    <mergeCell ref="H1088:J1088"/>
    <mergeCell ref="M847:O847"/>
    <mergeCell ref="G1873:J1873"/>
    <mergeCell ref="H1264:J1264"/>
    <mergeCell ref="H509:J509"/>
    <mergeCell ref="G427:J428"/>
    <mergeCell ref="H959:J959"/>
    <mergeCell ref="H204:J204"/>
    <mergeCell ref="L189:O189"/>
    <mergeCell ref="H1686:J1686"/>
    <mergeCell ref="H931:J931"/>
    <mergeCell ref="B1516:C1516"/>
    <mergeCell ref="M848:O848"/>
    <mergeCell ref="G1358:J1358"/>
    <mergeCell ref="H206:J206"/>
    <mergeCell ref="H1688:J1688"/>
    <mergeCell ref="G559:J559"/>
    <mergeCell ref="H960:J960"/>
    <mergeCell ref="G1172:J1172"/>
    <mergeCell ref="B1369:E1369"/>
    <mergeCell ref="B141:E142"/>
    <mergeCell ref="B1703:E1703"/>
    <mergeCell ref="B942:E942"/>
    <mergeCell ref="G104:J104"/>
    <mergeCell ref="L607:M607"/>
    <mergeCell ref="B1696:E1696"/>
    <mergeCell ref="B637:E637"/>
    <mergeCell ref="L634:O634"/>
    <mergeCell ref="G1586:J1586"/>
    <mergeCell ref="H46:J46"/>
    <mergeCell ref="L240:O240"/>
    <mergeCell ref="H257:J257"/>
    <mergeCell ref="H987:J987"/>
    <mergeCell ref="B1723:E1723"/>
    <mergeCell ref="H1107:J1107"/>
    <mergeCell ref="L632:M632"/>
    <mergeCell ref="H1399:J1399"/>
    <mergeCell ref="H1318:J1318"/>
    <mergeCell ref="M1550:O1550"/>
    <mergeCell ref="H1109:J1109"/>
    <mergeCell ref="B355:E355"/>
    <mergeCell ref="H646:J646"/>
    <mergeCell ref="M17:O17"/>
    <mergeCell ref="G1672:H1672"/>
    <mergeCell ref="G885:J885"/>
    <mergeCell ref="G130:J130"/>
    <mergeCell ref="B1082:E1082"/>
    <mergeCell ref="L1595:M1595"/>
    <mergeCell ref="B1756:E1756"/>
    <mergeCell ref="H1916:J1916"/>
    <mergeCell ref="H857:J857"/>
    <mergeCell ref="B995:E995"/>
    <mergeCell ref="H1191:J1191"/>
    <mergeCell ref="G132:J132"/>
    <mergeCell ref="B58:E58"/>
    <mergeCell ref="L556:O556"/>
    <mergeCell ref="G1673:H1673"/>
    <mergeCell ref="B1024:E1024"/>
    <mergeCell ref="M1835:O1835"/>
    <mergeCell ref="B1593:E1593"/>
    <mergeCell ref="B1411:E1411"/>
    <mergeCell ref="L1748:O1748"/>
    <mergeCell ref="G895:J896"/>
    <mergeCell ref="M378:O378"/>
    <mergeCell ref="B1257:C1257"/>
    <mergeCell ref="L1443:O1443"/>
    <mergeCell ref="H1759:J1759"/>
    <mergeCell ref="L682:O682"/>
    <mergeCell ref="H1031:J1031"/>
    <mergeCell ref="H276:J276"/>
    <mergeCell ref="M1263:O1263"/>
    <mergeCell ref="M508:O508"/>
    <mergeCell ref="H1636:J1636"/>
    <mergeCell ref="H1758:J1758"/>
    <mergeCell ref="H726:J726"/>
    <mergeCell ref="L555:M555"/>
    <mergeCell ref="H1033:J1033"/>
    <mergeCell ref="G786:J786"/>
    <mergeCell ref="B1469:E1469"/>
    <mergeCell ref="H1629:J1629"/>
    <mergeCell ref="H570:J570"/>
    <mergeCell ref="M1886:O1886"/>
    <mergeCell ref="G54:J54"/>
    <mergeCell ref="H1787:J1787"/>
    <mergeCell ref="B251:E251"/>
    <mergeCell ref="M1861:O1861"/>
    <mergeCell ref="G632:H632"/>
    <mergeCell ref="L400:O400"/>
    <mergeCell ref="H1631:J1631"/>
    <mergeCell ref="G1386:H1386"/>
    <mergeCell ref="B505:E506"/>
    <mergeCell ref="G1517:H1517"/>
    <mergeCell ref="H1789:J1789"/>
    <mergeCell ref="H1028:J1028"/>
    <mergeCell ref="G214:J214"/>
    <mergeCell ref="L95:O95"/>
    <mergeCell ref="G1544:J1544"/>
    <mergeCell ref="H1057:J1057"/>
    <mergeCell ref="L1670:O1670"/>
    <mergeCell ref="B709:E709"/>
    <mergeCell ref="G468:J468"/>
    <mergeCell ref="L1801:O1801"/>
    <mergeCell ref="L713:O714"/>
    <mergeCell ref="B1472:E1472"/>
    <mergeCell ref="H1059:J1059"/>
    <mergeCell ref="G812:J812"/>
    <mergeCell ref="H596:J596"/>
    <mergeCell ref="M976:O976"/>
    <mergeCell ref="L1671:O1671"/>
    <mergeCell ref="H1349:J1349"/>
    <mergeCell ref="G1413:H1413"/>
    <mergeCell ref="B217:C217"/>
    <mergeCell ref="B582:E582"/>
    <mergeCell ref="M1187:O1187"/>
    <mergeCell ref="M432:O432"/>
    <mergeCell ref="G1898:J1898"/>
    <mergeCell ref="M92:O92"/>
    <mergeCell ref="L426:O426"/>
    <mergeCell ref="H327:J327"/>
    <mergeCell ref="H1657:J1657"/>
    <mergeCell ref="H1682:J1682"/>
    <mergeCell ref="M1914:O1914"/>
    <mergeCell ref="M1574:O1574"/>
    <mergeCell ref="H1684:J1684"/>
    <mergeCell ref="G652:J652"/>
    <mergeCell ref="B10:E10"/>
    <mergeCell ref="M846:O846"/>
    <mergeCell ref="L330:O330"/>
    <mergeCell ref="L1514:O1514"/>
    <mergeCell ref="B300:E300"/>
    <mergeCell ref="B422:E422"/>
    <mergeCell ref="L1181:O1182"/>
    <mergeCell ref="H958:J958"/>
    <mergeCell ref="G661:J662"/>
    <mergeCell ref="G1101:H1101"/>
    <mergeCell ref="G1170:J1170"/>
    <mergeCell ref="B1027:E1027"/>
    <mergeCell ref="L1391:O1391"/>
    <mergeCell ref="B608:E608"/>
    <mergeCell ref="L1385:O1385"/>
    <mergeCell ref="L630:O630"/>
    <mergeCell ref="G1924:J1924"/>
    <mergeCell ref="H772:J772"/>
    <mergeCell ref="H17:J17"/>
    <mergeCell ref="G444:J444"/>
    <mergeCell ref="L325:O325"/>
    <mergeCell ref="B765:E766"/>
    <mergeCell ref="L1231:M1231"/>
    <mergeCell ref="G1926:J1926"/>
    <mergeCell ref="H774:J774"/>
    <mergeCell ref="H19:J19"/>
    <mergeCell ref="M145:O145"/>
    <mergeCell ref="L790:O790"/>
    <mergeCell ref="M1627:O1627"/>
    <mergeCell ref="M872:O872"/>
    <mergeCell ref="B326:E326"/>
    <mergeCell ref="H1403:J1403"/>
    <mergeCell ref="L1207:O1208"/>
    <mergeCell ref="H1397:J1397"/>
    <mergeCell ref="M743:O743"/>
    <mergeCell ref="B1542:C1542"/>
    <mergeCell ref="B1053:E1053"/>
    <mergeCell ref="H976:J976"/>
    <mergeCell ref="G1310:J1310"/>
    <mergeCell ref="B1360:C1360"/>
    <mergeCell ref="G399:H399"/>
    <mergeCell ref="H671:J671"/>
    <mergeCell ref="B791:E792"/>
    <mergeCell ref="G426:J426"/>
    <mergeCell ref="B1107:E1107"/>
    <mergeCell ref="G1041:J1041"/>
    <mergeCell ref="H1713:J1713"/>
    <mergeCell ref="G1339:J1339"/>
    <mergeCell ref="L1098:O1098"/>
    <mergeCell ref="H485:J485"/>
    <mergeCell ref="M1630:O1630"/>
    <mergeCell ref="G1908:J1908"/>
    <mergeCell ref="G1768:J1768"/>
    <mergeCell ref="L501:O501"/>
    <mergeCell ref="L502:M502"/>
    <mergeCell ref="L944:M944"/>
    <mergeCell ref="B1109:E1109"/>
    <mergeCell ref="B354:E354"/>
    <mergeCell ref="L1228:O1228"/>
    <mergeCell ref="B348:E348"/>
    <mergeCell ref="H1886:J1886"/>
    <mergeCell ref="L345:O345"/>
    <mergeCell ref="G1639:J1639"/>
    <mergeCell ref="G884:J884"/>
    <mergeCell ref="B1836:E1836"/>
    <mergeCell ref="G1937:J1937"/>
    <mergeCell ref="L1829:M1829"/>
    <mergeCell ref="H1002:J1002"/>
    <mergeCell ref="B1707:E1707"/>
    <mergeCell ref="H539:J539"/>
    <mergeCell ref="H1425:J1425"/>
    <mergeCell ref="L1571:O1572"/>
    <mergeCell ref="G425:H425"/>
    <mergeCell ref="G423:J423"/>
    <mergeCell ref="H697:J697"/>
    <mergeCell ref="M587:O587"/>
    <mergeCell ref="H1004:J1004"/>
    <mergeCell ref="H699:J699"/>
    <mergeCell ref="G112:H112"/>
    <mergeCell ref="B529:C529"/>
    <mergeCell ref="B1135:E1135"/>
    <mergeCell ref="B380:E380"/>
    <mergeCell ref="L371:O371"/>
    <mergeCell ref="B1862:E1862"/>
    <mergeCell ref="G806:J806"/>
    <mergeCell ref="B1733:E1733"/>
    <mergeCell ref="G299:J299"/>
    <mergeCell ref="B1233:E1234"/>
    <mergeCell ref="G293:J293"/>
    <mergeCell ref="G1235:J1235"/>
    <mergeCell ref="B794:E794"/>
    <mergeCell ref="G1352:J1352"/>
    <mergeCell ref="L1597:O1598"/>
    <mergeCell ref="G1020:J1020"/>
    <mergeCell ref="H1055:J1055"/>
    <mergeCell ref="G292:J292"/>
    <mergeCell ref="G808:J808"/>
    <mergeCell ref="G599:J599"/>
    <mergeCell ref="G897:J897"/>
    <mergeCell ref="G1535:J1535"/>
    <mergeCell ref="L1915:O1915"/>
    <mergeCell ref="G138:H138"/>
    <mergeCell ref="B377:E377"/>
    <mergeCell ref="L1154:O1154"/>
    <mergeCell ref="H717:J717"/>
    <mergeCell ref="H594:J594"/>
    <mergeCell ref="G9:H9"/>
    <mergeCell ref="H1444:J1444"/>
    <mergeCell ref="H1767:J1767"/>
    <mergeCell ref="H412:J412"/>
    <mergeCell ref="B242:C242"/>
    <mergeCell ref="H1655:J1655"/>
    <mergeCell ref="H623:J623"/>
    <mergeCell ref="B1724:C1724"/>
    <mergeCell ref="B6:E6"/>
    <mergeCell ref="L268:M268"/>
    <mergeCell ref="M1730:O1730"/>
    <mergeCell ref="B95:E95"/>
    <mergeCell ref="G221:J221"/>
    <mergeCell ref="L1932:M1932"/>
    <mergeCell ref="G650:J650"/>
    <mergeCell ref="L1941:O1941"/>
    <mergeCell ref="L1180:O1180"/>
    <mergeCell ref="G1255:J1255"/>
    <mergeCell ref="H768:J768"/>
    <mergeCell ref="G521:J521"/>
    <mergeCell ref="L1785:O1785"/>
    <mergeCell ref="B693:E693"/>
    <mergeCell ref="L1337:O1338"/>
    <mergeCell ref="B1367:E1367"/>
    <mergeCell ref="G1248:J1248"/>
    <mergeCell ref="H770:J770"/>
    <mergeCell ref="H15:J15"/>
    <mergeCell ref="L448:O448"/>
    <mergeCell ref="H1366:J1366"/>
    <mergeCell ref="H307:J307"/>
    <mergeCell ref="H1524:J1524"/>
    <mergeCell ref="H465:J465"/>
    <mergeCell ref="M224:O224"/>
    <mergeCell ref="G1250:J1250"/>
    <mergeCell ref="L1935:O1936"/>
    <mergeCell ref="M118:O118"/>
    <mergeCell ref="H1368:J1368"/>
    <mergeCell ref="B1022:C1022"/>
    <mergeCell ref="B1020:E1020"/>
    <mergeCell ref="H1526:J1526"/>
    <mergeCell ref="H771:J771"/>
    <mergeCell ref="B17:E17"/>
    <mergeCell ref="B893:C893"/>
    <mergeCell ref="G678:J678"/>
    <mergeCell ref="B271:E272"/>
    <mergeCell ref="B1209:E1209"/>
    <mergeCell ref="G968:J968"/>
    <mergeCell ref="B448:E448"/>
    <mergeCell ref="M1626:O1626"/>
    <mergeCell ref="B115:E116"/>
    <mergeCell ref="G234:J234"/>
    <mergeCell ref="L479:O480"/>
    <mergeCell ref="G663:J663"/>
    <mergeCell ref="B1080:E1080"/>
    <mergeCell ref="B143:E143"/>
    <mergeCell ref="B1202:E1202"/>
    <mergeCell ref="B321:C321"/>
    <mergeCell ref="B319:E319"/>
    <mergeCell ref="H483:J483"/>
    <mergeCell ref="B1807:E1807"/>
    <mergeCell ref="B1048:C1048"/>
    <mergeCell ref="B1046:E1046"/>
    <mergeCell ref="H1210:J1210"/>
    <mergeCell ref="L1077:O1078"/>
    <mergeCell ref="G963:J963"/>
    <mergeCell ref="G366:J366"/>
    <mergeCell ref="H72:J72"/>
    <mergeCell ref="H1427:J1427"/>
    <mergeCell ref="H1421:J1421"/>
    <mergeCell ref="H1842:J1842"/>
    <mergeCell ref="H326:J326"/>
    <mergeCell ref="H484:J484"/>
    <mergeCell ref="G994:J994"/>
    <mergeCell ref="H1429:J1429"/>
    <mergeCell ref="B606:C606"/>
    <mergeCell ref="H1211:J1211"/>
    <mergeCell ref="H1450:J1450"/>
    <mergeCell ref="H695:J695"/>
    <mergeCell ref="G391:J391"/>
    <mergeCell ref="G689:J689"/>
    <mergeCell ref="B764:E764"/>
    <mergeCell ref="M612:O612"/>
    <mergeCell ref="H1422:J1422"/>
    <mergeCell ref="H23:J23"/>
    <mergeCell ref="G1049:H1049"/>
    <mergeCell ref="G262:J262"/>
    <mergeCell ref="L1551:O1551"/>
    <mergeCell ref="B459:E459"/>
    <mergeCell ref="H1756:J1756"/>
    <mergeCell ref="L62:O62"/>
    <mergeCell ref="B1133:E1133"/>
    <mergeCell ref="G989:J989"/>
    <mergeCell ref="L1699:M1699"/>
    <mergeCell ref="B1729:E1729"/>
    <mergeCell ref="G1050:J1050"/>
    <mergeCell ref="B1860:E1860"/>
    <mergeCell ref="G1016:J1016"/>
    <mergeCell ref="B795:E795"/>
    <mergeCell ref="B162:E162"/>
    <mergeCell ref="L921:O922"/>
    <mergeCell ref="B1731:E1731"/>
    <mergeCell ref="H1895:J1895"/>
    <mergeCell ref="H1140:J1140"/>
    <mergeCell ref="B1889:E1889"/>
    <mergeCell ref="B1522:E1522"/>
    <mergeCell ref="G1648:J1648"/>
    <mergeCell ref="B763:C763"/>
    <mergeCell ref="L1125:O1125"/>
    <mergeCell ref="M638:O638"/>
    <mergeCell ref="H1897:J1897"/>
    <mergeCell ref="H1142:J1142"/>
    <mergeCell ref="L1879:O1879"/>
    <mergeCell ref="B485:E485"/>
    <mergeCell ref="H408:J408"/>
    <mergeCell ref="H383:J383"/>
    <mergeCell ref="M640:O640"/>
    <mergeCell ref="B1361:C1361"/>
    <mergeCell ref="H1896:J1896"/>
    <mergeCell ref="H1135:J1135"/>
    <mergeCell ref="M1367:O1367"/>
    <mergeCell ref="L245:O246"/>
    <mergeCell ref="H410:J410"/>
    <mergeCell ref="B1878:E1878"/>
    <mergeCell ref="B846:E846"/>
    <mergeCell ref="B91:E91"/>
    <mergeCell ref="B821:E821"/>
    <mergeCell ref="L1412:M1412"/>
    <mergeCell ref="H1137:J1137"/>
    <mergeCell ref="M1238:O1238"/>
    <mergeCell ref="B1573:E1573"/>
    <mergeCell ref="G1674:J1674"/>
    <mergeCell ref="L1176:O1176"/>
    <mergeCell ref="G735:J735"/>
    <mergeCell ref="L843:O844"/>
    <mergeCell ref="B93:E93"/>
    <mergeCell ref="G736:H736"/>
    <mergeCell ref="L1722:O1722"/>
    <mergeCell ref="L1265:O1265"/>
    <mergeCell ref="B689:E689"/>
    <mergeCell ref="H1166:J1166"/>
    <mergeCell ref="B1444:E1444"/>
    <mergeCell ref="H1923:J1923"/>
    <mergeCell ref="H92:J92"/>
    <mergeCell ref="H434:J434"/>
    <mergeCell ref="B476:C476"/>
    <mergeCell ref="L1599:O1599"/>
    <mergeCell ref="L838:O838"/>
    <mergeCell ref="H1496:J1496"/>
    <mergeCell ref="G494:J494"/>
    <mergeCell ref="M482:O482"/>
    <mergeCell ref="H1161:J1161"/>
    <mergeCell ref="H855:J855"/>
    <mergeCell ref="L533:O533"/>
    <mergeCell ref="L684:M684"/>
    <mergeCell ref="B849:E849"/>
    <mergeCell ref="H436:J436"/>
    <mergeCell ref="L1439:M1439"/>
    <mergeCell ref="G1805:J1806"/>
    <mergeCell ref="G189:J189"/>
    <mergeCell ref="M353:O353"/>
    <mergeCell ref="H1163:J1163"/>
    <mergeCell ref="H848:J848"/>
    <mergeCell ref="M1080:O1080"/>
    <mergeCell ref="H1497:J1497"/>
    <mergeCell ref="B268:C268"/>
    <mergeCell ref="B874:E874"/>
    <mergeCell ref="L1465:M1465"/>
    <mergeCell ref="B1601:E1601"/>
    <mergeCell ref="G1518:J1518"/>
    <mergeCell ref="L864:O864"/>
    <mergeCell ref="B865:E865"/>
    <mergeCell ref="L687:O688"/>
    <mergeCell ref="G607:H607"/>
    <mergeCell ref="H881:J881"/>
    <mergeCell ref="G634:J634"/>
    <mergeCell ref="B560:E560"/>
    <mergeCell ref="B114:E114"/>
    <mergeCell ref="L891:O891"/>
    <mergeCell ref="L1441:O1442"/>
    <mergeCell ref="G1831:J1832"/>
    <mergeCell ref="B771:E771"/>
    <mergeCell ref="B404:E404"/>
    <mergeCell ref="L1645:O1645"/>
    <mergeCell ref="H155:J155"/>
    <mergeCell ref="G1301:J1301"/>
    <mergeCell ref="H149:J149"/>
    <mergeCell ref="L1489:O1489"/>
    <mergeCell ref="L734:O734"/>
    <mergeCell ref="M1315:O1315"/>
    <mergeCell ref="G1722:J1722"/>
    <mergeCell ref="H1550:J1550"/>
    <mergeCell ref="H151:J151"/>
    <mergeCell ref="H1533:J1533"/>
    <mergeCell ref="L1153:M1153"/>
    <mergeCell ref="M1004:O1004"/>
    <mergeCell ref="M249:O249"/>
    <mergeCell ref="B1314:E1314"/>
    <mergeCell ref="H482:J482"/>
    <mergeCell ref="H1212:J1212"/>
    <mergeCell ref="B430:E430"/>
    <mergeCell ref="G556:J556"/>
    <mergeCell ref="L1365:O1365"/>
    <mergeCell ref="L604:O604"/>
    <mergeCell ref="H1835:J1835"/>
    <mergeCell ref="G266:J266"/>
    <mergeCell ref="G260:J260"/>
    <mergeCell ref="H805:J805"/>
    <mergeCell ref="G1748:J1748"/>
    <mergeCell ref="B895:E896"/>
    <mergeCell ref="G1145:J1145"/>
    <mergeCell ref="G1443:J1443"/>
    <mergeCell ref="H1866:J1866"/>
    <mergeCell ref="B1518:E1518"/>
    <mergeCell ref="L605:O605"/>
    <mergeCell ref="H1263:J1263"/>
    <mergeCell ref="H508:J508"/>
    <mergeCell ref="G261:J261"/>
    <mergeCell ref="B1213:E1213"/>
    <mergeCell ref="B458:E458"/>
    <mergeCell ref="H45:J45"/>
    <mergeCell ref="H352:J352"/>
    <mergeCell ref="H379:J379"/>
    <mergeCell ref="B786:E786"/>
    <mergeCell ref="H1861:J1861"/>
    <mergeCell ref="H1106:J1106"/>
    <mergeCell ref="H47:J47"/>
    <mergeCell ref="B632:C632"/>
    <mergeCell ref="B483:E483"/>
    <mergeCell ref="H381:J381"/>
    <mergeCell ref="G400:J400"/>
    <mergeCell ref="B1517:C1517"/>
    <mergeCell ref="H76:J76"/>
    <mergeCell ref="B214:E214"/>
    <mergeCell ref="B1544:E1544"/>
    <mergeCell ref="G1801:J1801"/>
    <mergeCell ref="G713:J714"/>
    <mergeCell ref="B1239:E1239"/>
    <mergeCell ref="B484:E484"/>
    <mergeCell ref="L1261:O1261"/>
    <mergeCell ref="G531:J532"/>
    <mergeCell ref="G858:J858"/>
    <mergeCell ref="L475:O475"/>
    <mergeCell ref="H1579:J1579"/>
    <mergeCell ref="M1081:O1081"/>
    <mergeCell ref="B812:E812"/>
    <mergeCell ref="G1463:J1463"/>
    <mergeCell ref="B171:E171"/>
    <mergeCell ref="G403:J403"/>
    <mergeCell ref="L504:O504"/>
    <mergeCell ref="G581:H581"/>
    <mergeCell ref="H432:J432"/>
    <mergeCell ref="H978:J978"/>
    <mergeCell ref="H223:J223"/>
    <mergeCell ref="M1679:O1679"/>
    <mergeCell ref="H1574:J1574"/>
    <mergeCell ref="H1195:J1195"/>
    <mergeCell ref="H94:J94"/>
    <mergeCell ref="H1922:J1922"/>
    <mergeCell ref="M1681:O1681"/>
    <mergeCell ref="H1607:J1607"/>
    <mergeCell ref="H821:J821"/>
    <mergeCell ref="L1592:O1592"/>
    <mergeCell ref="B198:E198"/>
    <mergeCell ref="L711:M711"/>
    <mergeCell ref="H1793:J1793"/>
    <mergeCell ref="G734:J734"/>
    <mergeCell ref="G1181:J1182"/>
    <mergeCell ref="B1931:E1931"/>
    <mergeCell ref="B1101:C1101"/>
    <mergeCell ref="B346:C346"/>
    <mergeCell ref="B952:E952"/>
    <mergeCell ref="L1438:M1438"/>
    <mergeCell ref="G1391:J1391"/>
    <mergeCell ref="H877:J877"/>
    <mergeCell ref="B1626:E1626"/>
    <mergeCell ref="G1385:J1385"/>
    <mergeCell ref="G1311:J1312"/>
    <mergeCell ref="M794:O794"/>
    <mergeCell ref="G1820:J1820"/>
    <mergeCell ref="L1309:M1309"/>
    <mergeCell ref="G27:J27"/>
    <mergeCell ref="M1834:O1834"/>
    <mergeCell ref="B199:E199"/>
    <mergeCell ref="G1691:J1691"/>
    <mergeCell ref="H145:J145"/>
    <mergeCell ref="H120:J120"/>
    <mergeCell ref="G790:J790"/>
    <mergeCell ref="L1162:O1162"/>
    <mergeCell ref="H1633:J1633"/>
    <mergeCell ref="H872:J872"/>
    <mergeCell ref="L1618:O1618"/>
    <mergeCell ref="H908:J908"/>
    <mergeCell ref="H147:J147"/>
    <mergeCell ref="H961:J961"/>
    <mergeCell ref="H1477:J1477"/>
    <mergeCell ref="B1913:E1913"/>
    <mergeCell ref="H1635:J1635"/>
    <mergeCell ref="M1394:O1394"/>
    <mergeCell ref="B372:C372"/>
    <mergeCell ref="G1023:H1023"/>
    <mergeCell ref="H874:J874"/>
    <mergeCell ref="H1295:J1295"/>
    <mergeCell ref="G1388:J1388"/>
    <mergeCell ref="B1465:C1465"/>
    <mergeCell ref="H1506:J1506"/>
    <mergeCell ref="B1644:E1644"/>
    <mergeCell ref="B399:C399"/>
    <mergeCell ref="L1906:M1906"/>
    <mergeCell ref="H903:J903"/>
    <mergeCell ref="H148:J148"/>
    <mergeCell ref="G1646:H1646"/>
    <mergeCell ref="B1908:E1908"/>
    <mergeCell ref="G816:J816"/>
    <mergeCell ref="B1441:E1442"/>
    <mergeCell ref="G501:J501"/>
    <mergeCell ref="G502:H502"/>
    <mergeCell ref="L1031:O1031"/>
    <mergeCell ref="G1228:J1228"/>
    <mergeCell ref="L270:O270"/>
    <mergeCell ref="G347:H347"/>
    <mergeCell ref="G345:J345"/>
    <mergeCell ref="B586:E586"/>
    <mergeCell ref="L1467:O1468"/>
    <mergeCell ref="B1645:E1645"/>
    <mergeCell ref="L1907:M1907"/>
    <mergeCell ref="G1833:J1833"/>
    <mergeCell ref="B1313:E1313"/>
    <mergeCell ref="G1072:J1072"/>
    <mergeCell ref="G1414:J1414"/>
    <mergeCell ref="M823:O823"/>
    <mergeCell ref="L583:O584"/>
    <mergeCell ref="L450:M450"/>
    <mergeCell ref="B1939:E1939"/>
    <mergeCell ref="B1184:E1184"/>
    <mergeCell ref="G1571:J1572"/>
    <mergeCell ref="B425:C425"/>
    <mergeCell ref="H1348:J1348"/>
    <mergeCell ref="H593:J593"/>
    <mergeCell ref="H587:J587"/>
    <mergeCell ref="B1178:C1178"/>
    <mergeCell ref="L1333:O1333"/>
    <mergeCell ref="L901:O901"/>
    <mergeCell ref="L1631:O1631"/>
    <mergeCell ref="H1559:J1559"/>
    <mergeCell ref="L1204:M1204"/>
    <mergeCell ref="B112:C112"/>
    <mergeCell ref="L1179:M1179"/>
    <mergeCell ref="H1350:J1350"/>
    <mergeCell ref="L451:M451"/>
    <mergeCell ref="H1946:J1946"/>
    <mergeCell ref="G371:J371"/>
    <mergeCell ref="H588:J588"/>
    <mergeCell ref="L1802:M1802"/>
    <mergeCell ref="H647:J647"/>
    <mergeCell ref="G1432:J1432"/>
    <mergeCell ref="B299:E299"/>
    <mergeCell ref="B1629:E1629"/>
    <mergeCell ref="G1597:J1598"/>
    <mergeCell ref="L1232:O1232"/>
    <mergeCell ref="B1781:E1781"/>
    <mergeCell ref="H613:J613"/>
    <mergeCell ref="L719:O719"/>
    <mergeCell ref="L1778:O1778"/>
    <mergeCell ref="L1384:O1384"/>
    <mergeCell ref="L507:O507"/>
    <mergeCell ref="L1051:O1052"/>
    <mergeCell ref="L927:O927"/>
    <mergeCell ref="L1682:O1682"/>
    <mergeCell ref="B1237:E1237"/>
    <mergeCell ref="B897:E897"/>
    <mergeCell ref="B138:C138"/>
    <mergeCell ref="B1028:E1028"/>
    <mergeCell ref="G1154:J1154"/>
    <mergeCell ref="L500:O500"/>
    <mergeCell ref="H615:J615"/>
    <mergeCell ref="B1933:C1933"/>
    <mergeCell ref="H1272:J1272"/>
    <mergeCell ref="H517:J517"/>
    <mergeCell ref="B899:E899"/>
    <mergeCell ref="M1808:O1808"/>
    <mergeCell ref="L892:M892"/>
    <mergeCell ref="G1334:H1334"/>
    <mergeCell ref="M15:O15"/>
    <mergeCell ref="G1387:H1387"/>
    <mergeCell ref="M1161:O1161"/>
    <mergeCell ref="H1578:J1578"/>
    <mergeCell ref="H519:J519"/>
    <mergeCell ref="G243:H243"/>
    <mergeCell ref="H1730:J1730"/>
    <mergeCell ref="H1273:J1273"/>
    <mergeCell ref="G1932:H1932"/>
    <mergeCell ref="B1051:E1052"/>
    <mergeCell ref="M744:O744"/>
    <mergeCell ref="G1599:J1599"/>
    <mergeCell ref="L1700:O1700"/>
    <mergeCell ref="B1255:E1255"/>
    <mergeCell ref="B223:E223"/>
    <mergeCell ref="L349:O350"/>
    <mergeCell ref="L789:M789"/>
    <mergeCell ref="B950:E950"/>
    <mergeCell ref="B195:E195"/>
    <mergeCell ref="G1337:J1338"/>
    <mergeCell ref="L553:O553"/>
    <mergeCell ref="L1105:O1105"/>
    <mergeCell ref="L1099:O1099"/>
    <mergeCell ref="L344:O344"/>
    <mergeCell ref="L11:O12"/>
    <mergeCell ref="B1646:C1646"/>
    <mergeCell ref="H230:J230"/>
    <mergeCell ref="H205:J205"/>
    <mergeCell ref="H1420:J1420"/>
    <mergeCell ref="L39:O39"/>
    <mergeCell ref="G1935:J1936"/>
    <mergeCell ref="L215:O215"/>
    <mergeCell ref="H1712:J1712"/>
    <mergeCell ref="G754:J754"/>
    <mergeCell ref="H118:J118"/>
    <mergeCell ref="H1299:J1299"/>
    <mergeCell ref="B1077:E1078"/>
    <mergeCell ref="H1606:J1606"/>
    <mergeCell ref="L942:O942"/>
    <mergeCell ref="H1291:J1291"/>
    <mergeCell ref="H232:J232"/>
    <mergeCell ref="L61:M61"/>
    <mergeCell ref="G1625:J1625"/>
    <mergeCell ref="M1523:O1523"/>
    <mergeCell ref="H986:J986"/>
    <mergeCell ref="G1198:J1198"/>
    <mergeCell ref="G443:J443"/>
    <mergeCell ref="G1776:H1776"/>
    <mergeCell ref="M457:O457"/>
    <mergeCell ref="L998:O998"/>
    <mergeCell ref="G1048:H1048"/>
    <mergeCell ref="G1925:J1925"/>
    <mergeCell ref="B968:E968"/>
    <mergeCell ref="G479:J480"/>
    <mergeCell ref="B978:E978"/>
    <mergeCell ref="B663:E663"/>
    <mergeCell ref="L975:O975"/>
    <mergeCell ref="L660:O660"/>
    <mergeCell ref="G140:J140"/>
    <mergeCell ref="L241:O241"/>
    <mergeCell ref="G474:J474"/>
    <mergeCell ref="L355:O355"/>
    <mergeCell ref="H258:J258"/>
    <mergeCell ref="B969:E969"/>
    <mergeCell ref="G169:J169"/>
    <mergeCell ref="H1740:J1740"/>
    <mergeCell ref="B1941:E1941"/>
    <mergeCell ref="G1802:H1802"/>
    <mergeCell ref="H1319:J1319"/>
    <mergeCell ref="B552:E552"/>
    <mergeCell ref="M1236:O1236"/>
    <mergeCell ref="B994:E994"/>
    <mergeCell ref="G469:J469"/>
    <mergeCell ref="G918:H918"/>
    <mergeCell ref="H1346:J1346"/>
    <mergeCell ref="H612:J612"/>
    <mergeCell ref="G1128:J1128"/>
    <mergeCell ref="G1826:J1826"/>
    <mergeCell ref="B691:E691"/>
    <mergeCell ref="H1944:J1944"/>
    <mergeCell ref="G1699:H1699"/>
    <mergeCell ref="B270:E270"/>
    <mergeCell ref="G527:J527"/>
    <mergeCell ref="H586:J586"/>
    <mergeCell ref="H1370:J1370"/>
    <mergeCell ref="L1774:O1774"/>
    <mergeCell ref="G1254:J1254"/>
    <mergeCell ref="G921:J922"/>
    <mergeCell ref="G1430:J1430"/>
    <mergeCell ref="B1654:E1654"/>
    <mergeCell ref="L1469:O1469"/>
    <mergeCell ref="G1859:J1859"/>
    <mergeCell ref="H1372:J1372"/>
    <mergeCell ref="L708:O708"/>
    <mergeCell ref="H1032:J1032"/>
    <mergeCell ref="G1125:J1125"/>
    <mergeCell ref="G364:J364"/>
    <mergeCell ref="M534:O534"/>
    <mergeCell ref="H909:J909"/>
    <mergeCell ref="M1289:O1289"/>
    <mergeCell ref="B1358:E1358"/>
    <mergeCell ref="G1852:J1852"/>
    <mergeCell ref="L585:O585"/>
    <mergeCell ref="H1243:J1243"/>
    <mergeCell ref="B866:C866"/>
    <mergeCell ref="H1034:J1034"/>
    <mergeCell ref="M405:O405"/>
    <mergeCell ref="H640:J640"/>
    <mergeCell ref="B1622:E1622"/>
    <mergeCell ref="M1887:O1887"/>
    <mergeCell ref="M1132:O1132"/>
    <mergeCell ref="H1367:J1367"/>
    <mergeCell ref="B1681:E1681"/>
    <mergeCell ref="L1800:O1800"/>
    <mergeCell ref="L13:O13"/>
    <mergeCell ref="G1412:H1412"/>
    <mergeCell ref="G240:J240"/>
    <mergeCell ref="G1570:J1570"/>
    <mergeCell ref="L1827:O1827"/>
    <mergeCell ref="B735:E735"/>
    <mergeCell ref="L1855:M1855"/>
    <mergeCell ref="B1384:E1384"/>
    <mergeCell ref="H1085:J1085"/>
    <mergeCell ref="H330:J330"/>
    <mergeCell ref="G838:J838"/>
    <mergeCell ref="B1648:E1648"/>
    <mergeCell ref="M1913:O1913"/>
    <mergeCell ref="G235:J235"/>
    <mergeCell ref="G684:H684"/>
    <mergeCell ref="H201:J201"/>
    <mergeCell ref="H1087:J1087"/>
    <mergeCell ref="B1805:E1806"/>
    <mergeCell ref="H1683:J1683"/>
    <mergeCell ref="M1160:O1160"/>
    <mergeCell ref="H1086:J1086"/>
    <mergeCell ref="G1567:J1567"/>
    <mergeCell ref="H1080:J1080"/>
    <mergeCell ref="H361:J361"/>
    <mergeCell ref="L190:M190"/>
    <mergeCell ref="L1023:M1023"/>
    <mergeCell ref="G685:H685"/>
    <mergeCell ref="B36:E36"/>
    <mergeCell ref="B1366:E1366"/>
    <mergeCell ref="B1673:C1673"/>
    <mergeCell ref="B1524:E1524"/>
    <mergeCell ref="G864:J864"/>
    <mergeCell ref="B349:E350"/>
    <mergeCell ref="H198:J198"/>
    <mergeCell ref="B1368:E1368"/>
    <mergeCell ref="B1395:E1395"/>
    <mergeCell ref="L1726:O1726"/>
    <mergeCell ref="B634:E634"/>
    <mergeCell ref="B1831:E1832"/>
    <mergeCell ref="G1950:J1950"/>
    <mergeCell ref="G136:J136"/>
    <mergeCell ref="L815:M815"/>
    <mergeCell ref="L351:O351"/>
    <mergeCell ref="L193:O194"/>
    <mergeCell ref="L1542:M1542"/>
    <mergeCell ref="B1826:E1826"/>
    <mergeCell ref="G1197:J1197"/>
    <mergeCell ref="G1952:J1952"/>
    <mergeCell ref="G555:H555"/>
    <mergeCell ref="B39:E39"/>
    <mergeCell ref="G1495:J1495"/>
    <mergeCell ref="M898:O898"/>
    <mergeCell ref="M873:O873"/>
    <mergeCell ref="H1315:J1315"/>
    <mergeCell ref="G1335:H1335"/>
    <mergeCell ref="L791:O792"/>
    <mergeCell ref="H1738:J1738"/>
    <mergeCell ref="H1010:J1010"/>
    <mergeCell ref="G1153:H1153"/>
    <mergeCell ref="H1317:J1317"/>
    <mergeCell ref="L995:O995"/>
    <mergeCell ref="H40:J40"/>
    <mergeCell ref="H1913:J1913"/>
    <mergeCell ref="H1012:J1012"/>
    <mergeCell ref="B1150:E1150"/>
    <mergeCell ref="B817:E818"/>
    <mergeCell ref="G1074:H1074"/>
    <mergeCell ref="H1739:J1739"/>
    <mergeCell ref="B478:E478"/>
    <mergeCell ref="B266:E266"/>
    <mergeCell ref="L528:M528"/>
    <mergeCell ref="G183:J183"/>
    <mergeCell ref="B1748:E1748"/>
    <mergeCell ref="B1291:E1291"/>
    <mergeCell ref="G1671:J1671"/>
    <mergeCell ref="G1665:J1665"/>
    <mergeCell ref="G910:J910"/>
    <mergeCell ref="B1837:E1837"/>
    <mergeCell ref="L110:O110"/>
    <mergeCell ref="L381:O381"/>
    <mergeCell ref="B864:E864"/>
    <mergeCell ref="L1440:O1440"/>
    <mergeCell ref="B1545:E1546"/>
    <mergeCell ref="G605:J605"/>
    <mergeCell ref="L715:O715"/>
    <mergeCell ref="G912:J912"/>
    <mergeCell ref="B1749:E1749"/>
    <mergeCell ref="G451:H451"/>
    <mergeCell ref="G449:J449"/>
    <mergeCell ref="B690:E690"/>
    <mergeCell ref="H723:J723"/>
    <mergeCell ref="G1508:J1508"/>
    <mergeCell ref="G1666:J1666"/>
    <mergeCell ref="H1030:J1030"/>
    <mergeCell ref="H1757:J1757"/>
    <mergeCell ref="H725:J725"/>
    <mergeCell ref="L554:M554"/>
    <mergeCell ref="H1915:J1915"/>
    <mergeCell ref="G209:J209"/>
    <mergeCell ref="H1452:J1452"/>
    <mergeCell ref="L397:O397"/>
    <mergeCell ref="G936:J936"/>
    <mergeCell ref="B1282:C1282"/>
    <mergeCell ref="B1888:E1888"/>
    <mergeCell ref="H1786:J1786"/>
    <mergeCell ref="G1541:J1541"/>
    <mergeCell ref="H1454:J1454"/>
    <mergeCell ref="L1283:M1283"/>
    <mergeCell ref="B1592:E1592"/>
    <mergeCell ref="G938:J938"/>
    <mergeCell ref="G1261:J1261"/>
    <mergeCell ref="L1362:O1362"/>
    <mergeCell ref="B531:E532"/>
    <mergeCell ref="G475:J475"/>
    <mergeCell ref="M639:O639"/>
    <mergeCell ref="H1811:J1811"/>
    <mergeCell ref="H1056:J1056"/>
    <mergeCell ref="B1463:E1463"/>
    <mergeCell ref="B708:E708"/>
    <mergeCell ref="L557:O558"/>
    <mergeCell ref="H1783:J1783"/>
    <mergeCell ref="G1561:J1561"/>
    <mergeCell ref="H751:J751"/>
    <mergeCell ref="B1158:E1158"/>
    <mergeCell ref="B403:E403"/>
    <mergeCell ref="B1309:C1309"/>
    <mergeCell ref="B581:C581"/>
    <mergeCell ref="B1462:E1462"/>
    <mergeCell ref="G1701:J1702"/>
    <mergeCell ref="L761:O761"/>
    <mergeCell ref="L6:O6"/>
    <mergeCell ref="M1184:O1184"/>
    <mergeCell ref="H1785:J1785"/>
    <mergeCell ref="M431:O431"/>
    <mergeCell ref="G351:J351"/>
    <mergeCell ref="H1839:J1839"/>
    <mergeCell ref="B7:E7"/>
    <mergeCell ref="M1185:O1185"/>
    <mergeCell ref="G1592:J1592"/>
    <mergeCell ref="L269:M269"/>
    <mergeCell ref="B121:E121"/>
    <mergeCell ref="B734:E734"/>
    <mergeCell ref="B1489:E1489"/>
    <mergeCell ref="B1057:E1057"/>
    <mergeCell ref="M1912:O1912"/>
    <mergeCell ref="G1438:H1438"/>
    <mergeCell ref="H955:J955"/>
    <mergeCell ref="G651:J651"/>
    <mergeCell ref="G1406:J1406"/>
    <mergeCell ref="L1206:O1206"/>
    <mergeCell ref="B1311:E1312"/>
    <mergeCell ref="H769:J769"/>
    <mergeCell ref="L481:O481"/>
    <mergeCell ref="L1811:O1811"/>
    <mergeCell ref="L18:O18"/>
    <mergeCell ref="L322:O322"/>
    <mergeCell ref="G1274:J1274"/>
    <mergeCell ref="B1393:E1393"/>
    <mergeCell ref="L1519:O1520"/>
    <mergeCell ref="H796:J796"/>
    <mergeCell ref="L1804:O1804"/>
    <mergeCell ref="B790:E790"/>
    <mergeCell ref="B1359:E1359"/>
    <mergeCell ref="H1865:J1865"/>
    <mergeCell ref="L1079:O1079"/>
    <mergeCell ref="G1276:J1276"/>
    <mergeCell ref="G1618:J1618"/>
    <mergeCell ref="M1782:O1782"/>
    <mergeCell ref="M899:O899"/>
    <mergeCell ref="M144:O144"/>
    <mergeCell ref="B1023:C1023"/>
    <mergeCell ref="L1209:O1209"/>
    <mergeCell ref="B1388:E1388"/>
    <mergeCell ref="H1112:J1112"/>
    <mergeCell ref="H797:J797"/>
    <mergeCell ref="M1784:O1784"/>
    <mergeCell ref="M1029:O1029"/>
    <mergeCell ref="L321:M321"/>
    <mergeCell ref="H668:J668"/>
    <mergeCell ref="H799:J799"/>
    <mergeCell ref="M900:O900"/>
    <mergeCell ref="B1235:E1235"/>
    <mergeCell ref="H1395:J1395"/>
    <mergeCell ref="H336:J336"/>
    <mergeCell ref="L165:M165"/>
    <mergeCell ref="B474:E474"/>
    <mergeCell ref="B449:E449"/>
    <mergeCell ref="B816:E816"/>
    <mergeCell ref="M1652:O1652"/>
    <mergeCell ref="L505:O506"/>
    <mergeCell ref="G1302:J1302"/>
    <mergeCell ref="B1106:E1106"/>
    <mergeCell ref="B351:E351"/>
    <mergeCell ref="B1228:E1228"/>
    <mergeCell ref="G1880:H1880"/>
    <mergeCell ref="G1907:H1907"/>
    <mergeCell ref="G1152:H1152"/>
    <mergeCell ref="H96:J96"/>
    <mergeCell ref="B1833:E1833"/>
    <mergeCell ref="B1072:E1072"/>
    <mergeCell ref="B1414:E1414"/>
    <mergeCell ref="L1436:O1436"/>
    <mergeCell ref="H823:J823"/>
    <mergeCell ref="B1108:E1108"/>
    <mergeCell ref="L1103:O1104"/>
    <mergeCell ref="G583:J584"/>
    <mergeCell ref="G1638:J1638"/>
    <mergeCell ref="H1428:J1428"/>
    <mergeCell ref="L764:O764"/>
    <mergeCell ref="B1835:E1835"/>
    <mergeCell ref="H667:J667"/>
    <mergeCell ref="H1580:J1580"/>
    <mergeCell ref="H825:J825"/>
    <mergeCell ref="M951:O951"/>
    <mergeCell ref="G1333:J1333"/>
    <mergeCell ref="G578:J578"/>
    <mergeCell ref="H1117:J1117"/>
    <mergeCell ref="H362:J362"/>
    <mergeCell ref="M742:O742"/>
    <mergeCell ref="M1678:O1678"/>
    <mergeCell ref="G1179:H1179"/>
    <mergeCell ref="L34:M34"/>
    <mergeCell ref="G424:H424"/>
    <mergeCell ref="H696:J696"/>
    <mergeCell ref="B1132:E1132"/>
    <mergeCell ref="B371:E371"/>
    <mergeCell ref="H93:J93"/>
    <mergeCell ref="H1423:J1423"/>
    <mergeCell ref="H1448:J1448"/>
    <mergeCell ref="M1680:O1680"/>
    <mergeCell ref="G295:H295"/>
    <mergeCell ref="M1340:O1340"/>
    <mergeCell ref="H1782:J1782"/>
    <mergeCell ref="B1098:E1098"/>
    <mergeCell ref="B1134:E1134"/>
    <mergeCell ref="B379:E379"/>
  </mergeCells>
  <pageMargins left="0.4" right="0.4" top="0.5" bottom="0.5" header="0.5" footer="0.5"/>
  <pageSetup orientation="landscape" paperSize="9" scale="52" fitToHeight="0" fitToWidth="1"/>
  <rowBreaks count="74" manualBreakCount="74">
    <brk id="29" min="0" max="16383" man="1"/>
    <brk id="55" min="0" max="16383" man="1"/>
    <brk id="81" min="0" max="16383" man="1"/>
    <brk id="107" min="0" max="16383" man="1"/>
    <brk id="133" min="0" max="16383" man="1"/>
    <brk id="159" min="0" max="16383" man="1"/>
    <brk id="185" min="0" max="16383" man="1"/>
    <brk id="211" min="0" max="16383" man="1"/>
    <brk id="237" min="0" max="16383" man="1"/>
    <brk id="263" min="0" max="16383" man="1"/>
    <brk id="289" min="0" max="16383" man="1"/>
    <brk id="315" min="0" max="16383" man="1"/>
    <brk id="341" min="0" max="16383" man="1"/>
    <brk id="367" min="0" max="16383" man="1"/>
    <brk id="393" min="0" max="16383" man="1"/>
    <brk id="419" min="0" max="16383" man="1"/>
    <brk id="445" min="0" max="16383" man="1"/>
    <brk id="471" min="0" max="16383" man="1"/>
    <brk id="497" min="0" max="16383" man="1"/>
    <brk id="523" min="0" max="16383" man="1"/>
    <brk id="549" min="0" max="16383" man="1"/>
    <brk id="575" min="0" max="16383" man="1"/>
    <brk id="601" min="0" max="16383" man="1"/>
    <brk id="627" min="0" max="16383" man="1"/>
    <brk id="653" min="0" max="16383" man="1"/>
    <brk id="679" min="0" max="16383" man="1"/>
    <brk id="705" min="0" max="16383" man="1"/>
    <brk id="731" min="0" max="16383" man="1"/>
    <brk id="757" min="0" max="16383" man="1"/>
    <brk id="783" min="0" max="16383" man="1"/>
    <brk id="809" min="0" max="16383" man="1"/>
    <brk id="835" min="0" max="16383" man="1"/>
    <brk id="861" min="0" max="16383" man="1"/>
    <brk id="887" min="0" max="16383" man="1"/>
    <brk id="913" min="0" max="16383" man="1"/>
    <brk id="939" min="0" max="16383" man="1"/>
    <brk id="965" min="0" max="16383" man="1"/>
    <brk id="991" min="0" max="16383" man="1"/>
    <brk id="1017" min="0" max="16383" man="1"/>
    <brk id="1043" min="0" max="16383" man="1"/>
    <brk id="1069" min="0" max="16383" man="1"/>
    <brk id="1095" min="0" max="16383" man="1"/>
    <brk id="1121" min="0" max="16383" man="1"/>
    <brk id="1147" min="0" max="16383" man="1"/>
    <brk id="1173" min="0" max="16383" man="1"/>
    <brk id="1199" min="0" max="16383" man="1"/>
    <brk id="1225" min="0" max="16383" man="1"/>
    <brk id="1251" min="0" max="16383" man="1"/>
    <brk id="1277" min="0" max="16383" man="1"/>
    <brk id="1303" min="0" max="16383" man="1"/>
    <brk id="1329" min="0" max="16383" man="1"/>
    <brk id="1355" min="0" max="16383" man="1"/>
    <brk id="1381" min="0" max="16383" man="1"/>
    <brk id="1407" min="0" max="16383" man="1"/>
    <brk id="1433" min="0" max="16383" man="1"/>
    <brk id="1459" min="0" max="16383" man="1"/>
    <brk id="1485" min="0" max="16383" man="1"/>
    <brk id="1511" min="0" max="16383" man="1"/>
    <brk id="1537" min="0" max="16383" man="1"/>
    <brk id="1563" min="0" max="16383" man="1"/>
    <brk id="1589" min="0" max="16383" man="1"/>
    <brk id="1615" min="0" max="16383" man="1"/>
    <brk id="1641" min="0" max="16383" man="1"/>
    <brk id="1667" min="0" max="16383" man="1"/>
    <brk id="1693" min="0" max="16383" man="1"/>
    <brk id="1719" min="0" max="16383" man="1"/>
    <brk id="1745" min="0" max="16383" man="1"/>
    <brk id="1771" min="0" max="16383" man="1"/>
    <brk id="1797" min="0" max="16383" man="1"/>
    <brk id="1823" min="0" max="16383" man="1"/>
    <brk id="1849" min="0" max="16383" man="1"/>
    <brk id="1875" min="0" max="16383" man="1"/>
    <brk id="1901" min="0" max="16383" man="1"/>
    <brk id="1927" min="0" max="16383" man="1"/>
  </rowBreaks>
</worksheet>
</file>

<file path=xl/worksheets/sheet4.xml><?xml version="1.0" encoding="utf-8"?>
<worksheet xmlns="http://schemas.openxmlformats.org/spreadsheetml/2006/main">
  <sheetPr>
    <outlinePr summaryBelow="1" summaryRight="1"/>
    <pageSetUpPr fitToPage="1"/>
  </sheetPr>
  <dimension ref="B2:D33"/>
  <sheetViews>
    <sheetView showGridLines="0" workbookViewId="0">
      <selection activeCell="A1" sqref="A1"/>
    </sheetView>
  </sheetViews>
  <sheetFormatPr baseColWidth="8" defaultRowHeight="15"/>
  <cols>
    <col width="2" customWidth="1" min="1" max="1"/>
    <col width="7" customWidth="1" min="2" max="2"/>
    <col width="40" customWidth="1" min="3" max="3"/>
    <col width="90" customWidth="1" min="4" max="4"/>
  </cols>
  <sheetData>
    <row r="2" ht="26" customHeight="1">
      <c r="B2" s="1" t="inlineStr">
        <is>
          <t>SIGRO · Definición de Listo (DoR) y Definición de Terminado (DoD)</t>
        </is>
      </c>
    </row>
    <row r="3">
      <c r="B3" s="2" t="inlineStr">
        <is>
          <t>Acuerdos del Scrum Team: la DoR decide qué entra al sprint; la DoD decide qué se declara hecho en la Sprint Review</t>
        </is>
      </c>
    </row>
    <row r="5">
      <c r="B5" s="41" t="inlineStr">
        <is>
          <t>DEFINICIÓN DE LISTO (Definition of Ready)</t>
        </is>
      </c>
    </row>
    <row r="6">
      <c r="B6" s="16" t="inlineStr">
        <is>
          <t>La revisan el Product Owner y los Developers en el refinamiento, antes del Sprint Planning.</t>
        </is>
      </c>
    </row>
    <row r="7" ht="20" customHeight="1">
      <c r="B7" s="3" t="inlineStr">
        <is>
          <t>N.°</t>
        </is>
      </c>
      <c r="C7" s="3" t="inlineStr">
        <is>
          <t>Criterio</t>
        </is>
      </c>
      <c r="D7" s="3" t="inlineStr">
        <is>
          <t>Cómo se comprueba</t>
        </is>
      </c>
    </row>
    <row r="8" ht="32" customHeight="1">
      <c r="B8" s="5" t="inlineStr">
        <is>
          <t>L1</t>
        </is>
      </c>
      <c r="C8" s="7" t="inlineStr">
        <is>
          <t>Redacción en el formato acordado</t>
        </is>
      </c>
      <c r="D8" s="6" t="inlineStr">
        <is>
          <t>Dice «Como [perfil], quiero [necesidad], para [finalidad]», con uno de los perfiles del sistema.</t>
        </is>
      </c>
    </row>
    <row r="9" ht="32" customHeight="1">
      <c r="B9" s="5" t="inlineStr">
        <is>
          <t>L2</t>
        </is>
      </c>
      <c r="C9" s="7" t="inlineStr">
        <is>
          <t>Nombre corto en forma de acción</t>
        </is>
      </c>
      <c r="D9" s="6" t="inlineStr">
        <is>
          <t>Verbo en infinitivo más objeto. No se admiten monitorear, administrar, gestionar, manejar, cargar, ver, controlar ni procesar.</t>
        </is>
      </c>
    </row>
    <row r="10" ht="32" customHeight="1">
      <c r="B10" s="5" t="inlineStr">
        <is>
          <t>L3</t>
        </is>
      </c>
      <c r="C10" s="7" t="inlineStr">
        <is>
          <t>Criterios de aceptación escritos y acordados</t>
        </is>
      </c>
      <c r="D10" s="6" t="inlineStr">
        <is>
          <t>Al menos dos, redactados por el Product Owner y entendidos por quien la va a construir.</t>
        </is>
      </c>
    </row>
    <row r="11" ht="32" customHeight="1">
      <c r="B11" s="5" t="inlineStr">
        <is>
          <t>L4</t>
        </is>
      </c>
      <c r="C11" s="7" t="inlineStr">
        <is>
          <t>Dependencias resueltas o planificadas antes</t>
        </is>
      </c>
      <c r="D11" s="6" t="inlineStr">
        <is>
          <t>Las historias de las que depende ya están Terminadas o comprometidas antes en el mismo sprint.</t>
        </is>
      </c>
    </row>
    <row r="12" ht="32" customHeight="1">
      <c r="B12" s="5" t="inlineStr">
        <is>
          <t>L5</t>
        </is>
      </c>
      <c r="C12" s="7" t="inlineStr">
        <is>
          <t>Estimada por los Developers</t>
        </is>
      </c>
      <c r="D12" s="6" t="inlineStr">
        <is>
          <t>Tiene puntos asignados con Planning Poker por quienes la van a construir.</t>
        </is>
      </c>
    </row>
    <row r="13" ht="32" customHeight="1">
      <c r="B13" s="5" t="inlineStr">
        <is>
          <t>L6</t>
        </is>
      </c>
      <c r="C13" s="7" t="inlineStr">
        <is>
          <t>Cabe en un sprint</t>
        </is>
      </c>
      <c r="D13" s="6" t="inlineStr">
        <is>
          <t>Si supera los 8 puntos, se divide antes de comprometerla.</t>
        </is>
      </c>
    </row>
    <row r="14" ht="32" customHeight="1">
      <c r="B14" s="5" t="inlineStr">
        <is>
          <t>L7</t>
        </is>
      </c>
      <c r="C14" s="7" t="inlineStr">
        <is>
          <t>Reglas de dominio identificadas</t>
        </is>
      </c>
      <c r="D14" s="6" t="inlineStr">
        <is>
          <t>Se declara qué reglas le aplican: libro sin borrado, idempotencia, costo promedio ponderado, dispositivo autorizado.</t>
        </is>
      </c>
    </row>
    <row r="15" ht="32" customHeight="1">
      <c r="B15" s="5" t="inlineStr">
        <is>
          <t>L8</t>
        </is>
      </c>
      <c r="C15" s="7" t="inlineStr">
        <is>
          <t>Datos de prueba disponibles</t>
        </is>
      </c>
      <c r="D15" s="6" t="inlineStr">
        <is>
          <t>Existe con qué probarla; para importaciones, el archivo real del S10, nunca uno inventado.</t>
        </is>
      </c>
    </row>
    <row r="16" ht="32" customHeight="1">
      <c r="B16" s="5" t="inlineStr">
        <is>
          <t>L9</t>
        </is>
      </c>
      <c r="C16" s="7" t="inlineStr">
        <is>
          <t>Responsable técnico asignado</t>
        </is>
      </c>
      <c r="D16" s="6" t="inlineStr">
        <is>
          <t>Tiene nombre y área: backend, Android, integraciones o web.</t>
        </is>
      </c>
    </row>
    <row r="17" ht="32" customHeight="1">
      <c r="B17" s="5" t="inlineStr">
        <is>
          <t>L10</t>
        </is>
      </c>
      <c r="C17" s="7" t="inlineStr">
        <is>
          <t>Recursos identificados</t>
        </is>
      </c>
      <c r="D17" s="6" t="inlineStr">
        <is>
          <t>Personas, dispositivos y datos con que se construye y se prueba la historia.</t>
        </is>
      </c>
    </row>
    <row r="18" ht="32" customHeight="1">
      <c r="B18" s="5" t="inlineStr">
        <is>
          <t>L11</t>
        </is>
      </c>
      <c r="C18" s="7" t="inlineStr">
        <is>
          <t>Requisitos técnicos de programación definidos</t>
        </is>
      </c>
      <c r="D18" s="6" t="inlineStr">
        <is>
          <t>Lenguaje, framework y librerías que la historia necesita, ya instalados en el equipo de quien la construye.</t>
        </is>
      </c>
    </row>
    <row r="19" ht="32" customHeight="1">
      <c r="B19" s="5" t="inlineStr">
        <is>
          <t>L12</t>
        </is>
      </c>
      <c r="C19" s="7" t="inlineStr">
        <is>
          <t>Accesos de red disponibles</t>
        </is>
      </c>
      <c r="D19" s="6" t="inlineStr">
        <is>
          <t>Repositorio, API, base de datos y servicios externos a los que la historia necesita llegar, con sus credenciales fuera del código.</t>
        </is>
      </c>
    </row>
    <row r="21">
      <c r="B21" s="41" t="inlineStr">
        <is>
          <t>DEFINICIÓN DE TERMINADO (Definition of Done)</t>
        </is>
      </c>
    </row>
    <row r="22">
      <c r="B22" s="16" t="inlineStr">
        <is>
          <t>No hay terminado parcial: la historia cumple sus criterios de aceptación y los diez criterios, o sigue abierta.</t>
        </is>
      </c>
    </row>
    <row r="23" ht="20" customHeight="1">
      <c r="B23" s="3" t="inlineStr">
        <is>
          <t>N.°</t>
        </is>
      </c>
      <c r="C23" s="3" t="inlineStr">
        <is>
          <t>Criterio</t>
        </is>
      </c>
      <c r="D23" s="3" t="inlineStr">
        <is>
          <t>Cómo se comprueba</t>
        </is>
      </c>
    </row>
    <row r="24" ht="32" customHeight="1">
      <c r="B24" s="5" t="inlineStr">
        <is>
          <t>T1</t>
        </is>
      </c>
      <c r="C24" s="7" t="inlineStr">
        <is>
          <t>Código integrado en la rama principal</t>
        </is>
      </c>
      <c r="D24" s="6" t="inlineStr">
        <is>
          <t>Entró por Pull Request aprobado por un integrante distinto del autor, aunque el cambio sea pequeño.</t>
        </is>
      </c>
    </row>
    <row r="25" ht="32" customHeight="1">
      <c r="B25" s="5" t="inlineStr">
        <is>
          <t>T2</t>
        </is>
      </c>
      <c r="C25" s="7" t="inlineStr">
        <is>
          <t>Migración de base de datos aplicada</t>
        </is>
      </c>
      <c r="D25" s="6" t="inlineStr">
        <is>
          <t>Corre sobre base limpia y sobre base con datos, y se puede revertir.</t>
        </is>
      </c>
    </row>
    <row r="26" ht="32" customHeight="1">
      <c r="B26" s="5" t="inlineStr">
        <is>
          <t>T3</t>
        </is>
      </c>
      <c r="C26" s="7" t="inlineStr">
        <is>
          <t>Sin defectos críticos ni bloqueantes abiertos</t>
        </is>
      </c>
      <c r="D26" s="6" t="inlineStr">
        <is>
          <t>Revisión del tablero de incidencias antes de la Sprint Review.</t>
        </is>
      </c>
    </row>
    <row r="27" ht="32" customHeight="1">
      <c r="B27" s="5" t="inlineStr">
        <is>
          <t>T4</t>
        </is>
      </c>
      <c r="C27" s="7" t="inlineStr">
        <is>
          <t>Criterios de aceptación verificados uno por uno</t>
        </is>
      </c>
      <c r="D27" s="6" t="inlineStr">
        <is>
          <t>Se recorre cada criterio y se deja constancia del resultado.</t>
        </is>
      </c>
    </row>
    <row r="28" ht="32" customHeight="1">
      <c r="B28" s="5" t="inlineStr">
        <is>
          <t>T5</t>
        </is>
      </c>
      <c r="C28" s="7" t="inlineStr">
        <is>
          <t>Pruebas de la lógica de dominio</t>
        </is>
      </c>
      <c r="D28" s="6" t="inlineStr">
        <is>
          <t>Saldo, costo promedio, generación de semanas: pruebas automatizadas que corren sin levantar la base.</t>
        </is>
      </c>
    </row>
    <row r="29" ht="32" customHeight="1">
      <c r="B29" s="5" t="inlineStr">
        <is>
          <t>T6</t>
        </is>
      </c>
      <c r="C29" s="7" t="inlineStr">
        <is>
          <t>Reglas críticas probadas explícitamente</t>
        </is>
      </c>
      <c r="D29" s="6" t="inlineStr">
        <is>
          <t>Idempotencia, no borrado, saldo del servidor, dispositivo no autorizado rechazado, según corresponda.</t>
        </is>
      </c>
    </row>
    <row r="30" ht="32" customHeight="1">
      <c r="B30" s="5" t="inlineStr">
        <is>
          <t>T7</t>
        </is>
      </c>
      <c r="C30" s="7" t="inlineStr">
        <is>
          <t>Probada en condiciones reales de obra</t>
        </is>
      </c>
      <c r="D30" s="6" t="inlineStr">
        <is>
          <t>Las historias Android se prueban en modo avión y recuperando la señal después.</t>
        </is>
      </c>
    </row>
    <row r="31" ht="32" customHeight="1">
      <c r="B31" s="5" t="inlineStr">
        <is>
          <t>T8</t>
        </is>
      </c>
      <c r="C31" s="7" t="inlineStr">
        <is>
          <t>Desplegada en el ambiente de pruebas</t>
        </is>
      </c>
      <c r="D31" s="6" t="inlineStr">
        <is>
          <t>Alguien distinto del autor la ejecuta ahí y obtiene el resultado esperado.</t>
        </is>
      </c>
    </row>
    <row r="32" ht="32" customHeight="1">
      <c r="B32" s="5" t="inlineStr">
        <is>
          <t>T9</t>
        </is>
      </c>
      <c r="C32" s="7" t="inlineStr">
        <is>
          <t>Demostrable desde la interfaz</t>
        </is>
      </c>
      <c r="D32" s="6" t="inlineStr">
        <is>
          <t>Nunca consultando la base de datos para probar que el dato quedó.</t>
        </is>
      </c>
    </row>
    <row r="33" ht="32" customHeight="1">
      <c r="B33" s="5" t="inlineStr">
        <is>
          <t>T10</t>
        </is>
      </c>
      <c r="C33" s="7" t="inlineStr">
        <is>
          <t>Documentación mínima actualizada</t>
        </is>
      </c>
      <c r="D33" s="6" t="inlineStr">
        <is>
          <t>El endpoint queda descrito y toda regla de dominio precisada queda escrita en el archivo de contexto del repositorio.</t>
        </is>
      </c>
    </row>
  </sheetData>
  <mergeCells count="6">
    <mergeCell ref="B3:D3"/>
    <mergeCell ref="B5:D5"/>
    <mergeCell ref="B22:D22"/>
    <mergeCell ref="B21:D21"/>
    <mergeCell ref="B6:D6"/>
    <mergeCell ref="B2:D2"/>
  </mergeCells>
  <pageMargins left="0.4" right="0.4"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B2:E51"/>
  <sheetViews>
    <sheetView showGridLines="0" workbookViewId="0">
      <selection activeCell="A1" sqref="A1"/>
    </sheetView>
  </sheetViews>
  <sheetFormatPr baseColWidth="8" defaultRowHeight="15"/>
  <cols>
    <col width="2" customWidth="1" min="1" max="1"/>
    <col width="8" customWidth="1" min="2" max="2"/>
    <col width="60" customWidth="1" min="3" max="3"/>
    <col width="14" customWidth="1" min="4" max="4"/>
    <col width="12" customWidth="1" min="5" max="5"/>
  </cols>
  <sheetData>
    <row r="2" ht="26" customHeight="1">
      <c r="B2" s="1" t="inlineStr">
        <is>
          <t>SPRINT BACKLOG · Sprint 1 (15 al 28 de octubre de 2026)</t>
        </is>
      </c>
    </row>
    <row r="3">
      <c r="B3" s="2" t="inlineStr">
        <is>
          <t>Objetivo del sprint y lista de historias que lo cumplen</t>
        </is>
      </c>
    </row>
    <row r="5">
      <c r="B5" s="42" t="inlineStr">
        <is>
          <t>1. OBJETIVO DEL PRIMER SPRINT</t>
        </is>
      </c>
    </row>
    <row r="6" ht="24" customHeight="1">
      <c r="B6" s="43" t="inlineStr">
        <is>
          <t>Product owner: El objetivo del primer sprint es poder controlar los recursos de la obra: desde lo que pide el S10 hasta lo que se compra, se consume y cuesta.</t>
        </is>
      </c>
    </row>
    <row r="7" ht="24" customHeight="1"/>
    <row r="9">
      <c r="B9" s="42" t="inlineStr">
        <is>
          <t>2. LISTA DE HU QUE CUMPLEN CON EL OBJETIVO</t>
        </is>
      </c>
    </row>
    <row r="10" ht="20" customHeight="1">
      <c r="B10" s="3" t="inlineStr">
        <is>
          <t>N.°</t>
        </is>
      </c>
      <c r="C10" s="3" t="inlineStr">
        <is>
          <t>Historia de usuario</t>
        </is>
      </c>
      <c r="D10" s="3" t="inlineStr">
        <is>
          <t>Código</t>
        </is>
      </c>
      <c r="E10" s="3" t="inlineStr">
        <is>
          <t>Puntos</t>
        </is>
      </c>
    </row>
    <row r="11" ht="18" customHeight="1">
      <c r="B11" s="9" t="n">
        <v>1</v>
      </c>
      <c r="C11" s="44" t="inlineStr">
        <is>
          <t>Loguear usuario</t>
        </is>
      </c>
      <c r="D11" s="45" t="inlineStr">
        <is>
          <t>HU-12</t>
        </is>
      </c>
      <c r="E11" s="9" t="n">
        <v>5</v>
      </c>
    </row>
    <row r="12" ht="18" customHeight="1">
      <c r="B12" s="9" t="n">
        <v>2</v>
      </c>
      <c r="C12" s="44" t="inlineStr">
        <is>
          <t>Asignar roles</t>
        </is>
      </c>
      <c r="D12" s="45" t="inlineStr">
        <is>
          <t>HU-13</t>
        </is>
      </c>
      <c r="E12" s="9" t="n">
        <v>5</v>
      </c>
    </row>
    <row r="13" ht="18" customHeight="1">
      <c r="B13" s="9" t="n">
        <v>3</v>
      </c>
      <c r="C13" s="44" t="inlineStr">
        <is>
          <t>Asignar usuarios a obras</t>
        </is>
      </c>
      <c r="D13" s="45" t="inlineStr">
        <is>
          <t>HU-14</t>
        </is>
      </c>
      <c r="E13" s="9" t="n">
        <v>3</v>
      </c>
    </row>
    <row r="14" ht="18" customHeight="1">
      <c r="B14" s="9" t="n">
        <v>4</v>
      </c>
      <c r="C14" s="44" t="inlineStr">
        <is>
          <t>Autorizar celular de la obra</t>
        </is>
      </c>
      <c r="D14" s="45" t="inlineStr">
        <is>
          <t>HU-15</t>
        </is>
      </c>
      <c r="E14" s="9" t="n">
        <v>5</v>
      </c>
    </row>
    <row r="15" ht="18" customHeight="1">
      <c r="B15" s="9" t="n">
        <v>5</v>
      </c>
      <c r="C15" s="44" t="inlineStr">
        <is>
          <t>Crear proyecto</t>
        </is>
      </c>
      <c r="D15" s="45" t="inlineStr">
        <is>
          <t>HU-01</t>
        </is>
      </c>
      <c r="E15" s="9" t="n">
        <v>3</v>
      </c>
    </row>
    <row r="16" ht="18" customHeight="1">
      <c r="B16" s="9" t="n">
        <v>6</v>
      </c>
      <c r="C16" s="44" t="inlineStr">
        <is>
          <t>Reportar la obra en semanas</t>
        </is>
      </c>
      <c r="D16" s="45" t="inlineStr">
        <is>
          <t>HU-03</t>
        </is>
      </c>
      <c r="E16" s="9" t="n">
        <v>3</v>
      </c>
    </row>
    <row r="17" ht="18" customHeight="1">
      <c r="B17" s="9" t="n">
        <v>7</v>
      </c>
      <c r="C17" s="44" t="inlineStr">
        <is>
          <t>Importar catálogo de insumos del S10</t>
        </is>
      </c>
      <c r="D17" s="45" t="inlineStr">
        <is>
          <t>HU-07</t>
        </is>
      </c>
      <c r="E17" s="9" t="n">
        <v>8</v>
      </c>
    </row>
    <row r="18" ht="18" customHeight="1">
      <c r="B18" s="9" t="n">
        <v>8</v>
      </c>
      <c r="C18" s="44" t="inlineStr">
        <is>
          <t>Registrar insumos</t>
        </is>
      </c>
      <c r="D18" s="45" t="inlineStr">
        <is>
          <t>HU-08</t>
        </is>
      </c>
      <c r="E18" s="9" t="n">
        <v>5</v>
      </c>
    </row>
    <row r="19" ht="18" customHeight="1">
      <c r="B19" s="9" t="n">
        <v>9</v>
      </c>
      <c r="C19" s="44" t="inlineStr">
        <is>
          <t>Importar precios unitarios</t>
        </is>
      </c>
      <c r="D19" s="45" t="inlineStr">
        <is>
          <t>HU-16</t>
        </is>
      </c>
      <c r="E19" s="9" t="n">
        <v>8</v>
      </c>
    </row>
    <row r="20" ht="18" customHeight="1">
      <c r="B20" s="9" t="n">
        <v>10</v>
      </c>
      <c r="C20" s="44" t="inlineStr">
        <is>
          <t>Convertir unidades (kg a varillas)</t>
        </is>
      </c>
      <c r="D20" s="45" t="inlineStr">
        <is>
          <t>HU-17</t>
        </is>
      </c>
      <c r="E20" s="9" t="n">
        <v>3</v>
      </c>
    </row>
    <row r="21" ht="18" customHeight="1">
      <c r="B21" s="9" t="n">
        <v>11</v>
      </c>
      <c r="C21" s="44" t="inlineStr">
        <is>
          <t>Importar requerimiento de la obra</t>
        </is>
      </c>
      <c r="D21" s="45" t="inlineStr">
        <is>
          <t>HU-19</t>
        </is>
      </c>
      <c r="E21" s="9" t="n">
        <v>5</v>
      </c>
    </row>
    <row r="22" ht="18" customHeight="1">
      <c r="B22" s="9" t="n">
        <v>12</v>
      </c>
      <c r="C22" s="44" t="inlineStr">
        <is>
          <t>Definir punto de reposición</t>
        </is>
      </c>
      <c r="D22" s="45" t="inlineStr">
        <is>
          <t>HU-25</t>
        </is>
      </c>
      <c r="E22" s="9" t="n">
        <v>5</v>
      </c>
    </row>
    <row r="23" ht="18" customHeight="1">
      <c r="B23" s="9" t="n">
        <v>13</v>
      </c>
      <c r="C23" s="44" t="inlineStr">
        <is>
          <t>Avisar cuándo reponer</t>
        </is>
      </c>
      <c r="D23" s="45" t="inlineStr">
        <is>
          <t>HU-26</t>
        </is>
      </c>
      <c r="E23" s="9" t="n">
        <v>5</v>
      </c>
    </row>
    <row r="24" ht="18" customHeight="1">
      <c r="B24" s="9" t="n">
        <v>14</v>
      </c>
      <c r="C24" s="44" t="inlineStr">
        <is>
          <t>Sugerir cuánto comprar</t>
        </is>
      </c>
      <c r="D24" s="45" t="inlineStr">
        <is>
          <t>HU-27</t>
        </is>
      </c>
      <c r="E24" s="9" t="n">
        <v>5</v>
      </c>
    </row>
    <row r="25" ht="18" customHeight="1">
      <c r="B25" s="9" t="n">
        <v>15</v>
      </c>
      <c r="C25" s="44" t="inlineStr">
        <is>
          <t>Consultar cuánto se compró y consumió</t>
        </is>
      </c>
      <c r="D25" s="45" t="inlineStr">
        <is>
          <t>HU-23</t>
        </is>
      </c>
      <c r="E25" s="9" t="n">
        <v>5</v>
      </c>
    </row>
    <row r="26" ht="18" customHeight="1">
      <c r="B26" s="9" t="n">
        <v>16</v>
      </c>
      <c r="C26" s="44" t="inlineStr">
        <is>
          <t>Consultar cuánto falta comprar</t>
        </is>
      </c>
      <c r="D26" s="45" t="inlineStr">
        <is>
          <t>HU-24</t>
        </is>
      </c>
      <c r="E26" s="9" t="n">
        <v>3</v>
      </c>
    </row>
    <row r="27" ht="18" customHeight="1">
      <c r="B27" s="9" t="n">
        <v>17</v>
      </c>
      <c r="C27" s="44" t="inlineStr">
        <is>
          <t>Consultar proveedores</t>
        </is>
      </c>
      <c r="D27" s="45" t="inlineStr">
        <is>
          <t>HU-29</t>
        </is>
      </c>
      <c r="E27" s="9" t="n">
        <v>3</v>
      </c>
    </row>
    <row r="28" ht="18" customHeight="1">
      <c r="B28" s="9" t="n">
        <v>18</v>
      </c>
      <c r="C28" s="44" t="inlineStr">
        <is>
          <t>Registrar proveedores</t>
        </is>
      </c>
      <c r="D28" s="45" t="inlineStr">
        <is>
          <t>HU-30</t>
        </is>
      </c>
      <c r="E28" s="9" t="n">
        <v>3</v>
      </c>
    </row>
    <row r="29" ht="18" customHeight="1">
      <c r="B29" s="9" t="n">
        <v>19</v>
      </c>
      <c r="C29" s="44" t="inlineStr">
        <is>
          <t>Registrar compras</t>
        </is>
      </c>
      <c r="D29" s="45" t="inlineStr">
        <is>
          <t>HU-32</t>
        </is>
      </c>
      <c r="E29" s="9" t="n">
        <v>8</v>
      </c>
    </row>
    <row r="30" ht="18" customHeight="1">
      <c r="B30" s="9" t="n">
        <v>20</v>
      </c>
      <c r="C30" s="44" t="inlineStr">
        <is>
          <t>Recibir compras</t>
        </is>
      </c>
      <c r="D30" s="45" t="inlineStr">
        <is>
          <t>HU-35</t>
        </is>
      </c>
      <c r="E30" s="9" t="n">
        <v>8</v>
      </c>
    </row>
    <row r="31" ht="18" customHeight="1">
      <c r="B31" s="9" t="n">
        <v>21</v>
      </c>
      <c r="C31" s="44" t="inlineStr">
        <is>
          <t>Registrar salidas de material</t>
        </is>
      </c>
      <c r="D31" s="45" t="inlineStr">
        <is>
          <t>HU-40</t>
        </is>
      </c>
      <c r="E31" s="9" t="n">
        <v>8</v>
      </c>
    </row>
    <row r="32" ht="18" customHeight="1">
      <c r="B32" s="9" t="n">
        <v>22</v>
      </c>
      <c r="C32" s="44" t="inlineStr">
        <is>
          <t>Registrar sin señal</t>
        </is>
      </c>
      <c r="D32" s="45" t="inlineStr">
        <is>
          <t>HU-37</t>
        </is>
      </c>
      <c r="E32" s="9" t="n">
        <v>8</v>
      </c>
    </row>
    <row r="33" ht="18" customHeight="1">
      <c r="B33" s="9" t="n">
        <v>23</v>
      </c>
      <c r="C33" s="44" t="inlineStr">
        <is>
          <t>Sincronizar pendientes</t>
        </is>
      </c>
      <c r="D33" s="45" t="inlineStr">
        <is>
          <t>HU-38</t>
        </is>
      </c>
      <c r="E33" s="9" t="n">
        <v>5</v>
      </c>
    </row>
    <row r="34" ht="18" customHeight="1">
      <c r="B34" s="9" t="n">
        <v>24</v>
      </c>
      <c r="C34" s="44" t="inlineStr">
        <is>
          <t>Consultar stock</t>
        </is>
      </c>
      <c r="D34" s="45" t="inlineStr">
        <is>
          <t>HU-43</t>
        </is>
      </c>
      <c r="E34" s="9" t="n">
        <v>5</v>
      </c>
    </row>
    <row r="35" ht="18" customHeight="1">
      <c r="B35" s="9" t="n">
        <v>25</v>
      </c>
      <c r="C35" s="44" t="inlineStr">
        <is>
          <t>Corregir movimientos</t>
        </is>
      </c>
      <c r="D35" s="45" t="inlineStr">
        <is>
          <t>HU-45</t>
        </is>
      </c>
      <c r="E35" s="9" t="n">
        <v>5</v>
      </c>
    </row>
    <row r="36" ht="18" customHeight="1">
      <c r="B36" s="9" t="n">
        <v>26</v>
      </c>
      <c r="C36" s="44" t="inlineStr">
        <is>
          <t>Valorizar salidas</t>
        </is>
      </c>
      <c r="D36" s="45" t="inlineStr">
        <is>
          <t>HU-55</t>
        </is>
      </c>
      <c r="E36" s="9" t="n">
        <v>8</v>
      </c>
    </row>
    <row r="37" ht="18" customHeight="1">
      <c r="B37" s="9" t="n">
        <v>27</v>
      </c>
      <c r="C37" s="44" t="inlineStr">
        <is>
          <t>Comparar consumo vs. lo planificado</t>
        </is>
      </c>
      <c r="D37" s="45" t="inlineStr">
        <is>
          <t>HU-57</t>
        </is>
      </c>
      <c r="E37" s="9" t="n">
        <v>8</v>
      </c>
    </row>
    <row r="38" ht="18" customHeight="1">
      <c r="B38" s="9" t="n">
        <v>28</v>
      </c>
      <c r="C38" s="44" t="inlineStr">
        <is>
          <t>Registrar trabajadores</t>
        </is>
      </c>
      <c r="D38" s="45" t="inlineStr">
        <is>
          <t>HU-62</t>
        </is>
      </c>
      <c r="E38" s="9" t="n">
        <v>3</v>
      </c>
    </row>
    <row r="39" ht="18" customHeight="1">
      <c r="B39" s="9" t="n">
        <v>29</v>
      </c>
      <c r="C39" s="44" t="inlineStr">
        <is>
          <t>Tomar asistencia</t>
        </is>
      </c>
      <c r="D39" s="45" t="inlineStr">
        <is>
          <t>HU-63</t>
        </is>
      </c>
      <c r="E39" s="9" t="n">
        <v>5</v>
      </c>
    </row>
    <row r="40">
      <c r="C40" s="4" t="inlineStr">
        <is>
          <t>Total</t>
        </is>
      </c>
      <c r="D40" s="11">
        <f>COUNTA(D11:D39)&amp;" HU"</f>
        <v/>
      </c>
      <c r="E40" s="11">
        <f>SUM(E11:E39)</f>
        <v/>
      </c>
    </row>
    <row r="42">
      <c r="B42" s="42" t="inlineStr">
        <is>
          <t>3. HISTORIAS TÉCNICAS QUE HABILITAN EL OBJETIVO</t>
        </is>
      </c>
    </row>
    <row r="43" ht="20" customHeight="1">
      <c r="B43" s="3" t="inlineStr">
        <is>
          <t>N.°</t>
        </is>
      </c>
      <c r="C43" s="3" t="inlineStr">
        <is>
          <t>Historia técnica</t>
        </is>
      </c>
      <c r="D43" s="3" t="inlineStr">
        <is>
          <t>Código</t>
        </is>
      </c>
      <c r="E43" s="3" t="inlineStr">
        <is>
          <t>Puntos</t>
        </is>
      </c>
    </row>
    <row r="44">
      <c r="B44" s="9" t="n">
        <v>1</v>
      </c>
      <c r="C44" s="44" t="inlineStr">
        <is>
          <t>Desplegar el ambiente de pruebas</t>
        </is>
      </c>
      <c r="D44" s="45" t="inlineStr">
        <is>
          <t>HT-01</t>
        </is>
      </c>
      <c r="E44" s="45" t="inlineStr">
        <is>
          <t>por votar</t>
        </is>
      </c>
    </row>
    <row r="45">
      <c r="B45" s="9" t="n">
        <v>2</v>
      </c>
      <c r="C45" s="44" t="inlineStr">
        <is>
          <t>Configurar la integración continua</t>
        </is>
      </c>
      <c r="D45" s="45" t="inlineStr">
        <is>
          <t>HT-02</t>
        </is>
      </c>
      <c r="E45" s="45" t="inlineStr">
        <is>
          <t>por votar</t>
        </is>
      </c>
    </row>
    <row r="46">
      <c r="B46" s="9" t="n">
        <v>3</v>
      </c>
      <c r="C46" s="44" t="inlineStr">
        <is>
          <t>Proteger el repositorio y main</t>
        </is>
      </c>
      <c r="D46" s="45" t="inlineStr">
        <is>
          <t>HT-03</t>
        </is>
      </c>
      <c r="E46" s="45" t="inlineStr">
        <is>
          <t>por votar</t>
        </is>
      </c>
    </row>
    <row r="47">
      <c r="B47" s="9" t="n">
        <v>4</v>
      </c>
      <c r="C47" s="44" t="inlineStr">
        <is>
          <t>Conectar la web con la API real</t>
        </is>
      </c>
      <c r="D47" s="45" t="inlineStr">
        <is>
          <t>HT-04</t>
        </is>
      </c>
      <c r="E47" s="45" t="inlineStr">
        <is>
          <t>por votar</t>
        </is>
      </c>
    </row>
    <row r="48">
      <c r="B48" s="9" t="n">
        <v>5</v>
      </c>
      <c r="C48" s="44" t="inlineStr">
        <is>
          <t>Crear la base de la app Android</t>
        </is>
      </c>
      <c r="D48" s="45" t="inlineStr">
        <is>
          <t>HT-05</t>
        </is>
      </c>
      <c r="E48" s="45" t="inlineStr">
        <is>
          <t>por votar</t>
        </is>
      </c>
    </row>
    <row r="49">
      <c r="B49" s="9" t="n">
        <v>6</v>
      </c>
      <c r="C49" s="44" t="inlineStr">
        <is>
          <t>Publicar el contrato de la API y Postman</t>
        </is>
      </c>
      <c r="D49" s="45" t="inlineStr">
        <is>
          <t>HT-06</t>
        </is>
      </c>
      <c r="E49" s="45" t="inlineStr">
        <is>
          <t>por votar</t>
        </is>
      </c>
    </row>
    <row r="50">
      <c r="B50" s="9" t="n">
        <v>7</v>
      </c>
      <c r="C50" s="44" t="inlineStr">
        <is>
          <t>Cargar los datos de prueba reales</t>
        </is>
      </c>
      <c r="D50" s="45" t="inlineStr">
        <is>
          <t>HT-07</t>
        </is>
      </c>
      <c r="E50" s="45" t="inlineStr">
        <is>
          <t>por votar</t>
        </is>
      </c>
    </row>
    <row r="51">
      <c r="B51" s="9" t="n">
        <v>8</v>
      </c>
      <c r="C51" s="44" t="inlineStr">
        <is>
          <t>Autenticar a los servicios entre sí</t>
        </is>
      </c>
      <c r="D51" s="45" t="inlineStr">
        <is>
          <t>HT-08</t>
        </is>
      </c>
      <c r="E51" s="45" t="inlineStr">
        <is>
          <t>por votar</t>
        </is>
      </c>
    </row>
  </sheetData>
  <mergeCells count="6">
    <mergeCell ref="B9:E9"/>
    <mergeCell ref="B3:E3"/>
    <mergeCell ref="B5:E5"/>
    <mergeCell ref="B2:E2"/>
    <mergeCell ref="B42:E42"/>
    <mergeCell ref="B6:E7"/>
  </mergeCells>
  <pageMargins left="0.4" right="0.4" top="1" bottom="1" header="0.5" footer="0.5"/>
  <pageSetup orientation="landscape" paperSize="9" fitToHeight="1" fitToWidth="1"/>
</worksheet>
</file>

<file path=xl/worksheets/sheet6.xml><?xml version="1.0" encoding="utf-8"?>
<worksheet xmlns="http://schemas.openxmlformats.org/spreadsheetml/2006/main">
  <sheetPr>
    <outlinePr summaryBelow="1" summaryRight="1"/>
    <pageSetUpPr fitToPage="1"/>
  </sheetPr>
  <dimension ref="B2:M16"/>
  <sheetViews>
    <sheetView showGridLines="0" workbookViewId="0">
      <selection activeCell="A1" sqref="A1"/>
    </sheetView>
  </sheetViews>
  <sheetFormatPr baseColWidth="8" defaultRowHeight="15"/>
  <cols>
    <col width="2" customWidth="1" min="1" max="1"/>
    <col width="8" customWidth="1" min="2" max="2"/>
    <col width="60" customWidth="1" min="3" max="3"/>
    <col width="34" customWidth="1" min="4" max="4"/>
    <col width="10" customWidth="1" min="5" max="5"/>
    <col width="11" customWidth="1" min="6" max="6"/>
    <col width="9" customWidth="1" min="7" max="7"/>
    <col width="9" customWidth="1" min="8" max="8"/>
    <col width="9" customWidth="1" min="9" max="9"/>
    <col width="9" customWidth="1" min="10" max="10"/>
    <col width="10" customWidth="1" min="11" max="11"/>
    <col width="9" customWidth="1" min="12" max="12"/>
    <col width="10" customWidth="1" min="13" max="13"/>
  </cols>
  <sheetData>
    <row r="2" ht="26" customHeight="1">
      <c r="B2" s="1" t="inlineStr">
        <is>
          <t>PRODUCT BACKLOG · Historias técnicas (habilitadoras)</t>
        </is>
      </c>
    </row>
    <row r="3">
      <c r="B3" s="2" t="inlineStr">
        <is>
          <t>Lo que el equipo necesita para que las HU de usuario se construyan, se prueben y se acepten · votación con Planning Poker en el próximo Daily</t>
        </is>
      </c>
    </row>
    <row r="5" ht="22" customHeight="1">
      <c r="B5" s="3" t="inlineStr">
        <is>
          <t>Código</t>
        </is>
      </c>
      <c r="C5" s="3" t="inlineStr">
        <is>
          <t>Historia técnica</t>
        </is>
      </c>
      <c r="D5" s="3" t="inlineStr">
        <is>
          <t>Qué destraba</t>
        </is>
      </c>
      <c r="E5" s="3" t="inlineStr">
        <is>
          <t>Prioridad</t>
        </is>
      </c>
      <c r="F5" s="3" t="inlineStr">
        <is>
          <t>Responsable</t>
        </is>
      </c>
      <c r="G5" s="3" t="inlineStr">
        <is>
          <t>Fernando</t>
        </is>
      </c>
      <c r="H5" s="3" t="inlineStr">
        <is>
          <t>Adiel</t>
        </is>
      </c>
      <c r="I5" s="3" t="inlineStr">
        <is>
          <t>Nicolás</t>
        </is>
      </c>
      <c r="J5" s="3" t="inlineStr">
        <is>
          <t>Henry</t>
        </is>
      </c>
      <c r="K5" s="3" t="inlineStr">
        <is>
          <t>MODA</t>
        </is>
      </c>
      <c r="L5" s="3" t="inlineStr">
        <is>
          <t>Puntaje</t>
        </is>
      </c>
      <c r="M5" s="3" t="inlineStr">
        <is>
          <t>Sprint</t>
        </is>
      </c>
    </row>
    <row r="6" ht="46" customHeight="1">
      <c r="B6" s="5" t="inlineStr">
        <is>
          <t>HT-01</t>
        </is>
      </c>
      <c r="C6" s="34" t="inlineStr">
        <is>
          <t>Como equipo de desarrollo, quiero un ambiente de pruebas desplegado con la API, la base de datos y la web, para que cada HU se pruebe y se acepte fuera de la máquina de quien la programó.</t>
        </is>
      </c>
      <c r="D6" s="34" t="inlineStr">
        <is>
          <t>T8 de la DoD: sin esto ninguna HU llega a Done</t>
        </is>
      </c>
      <c r="E6" s="10" t="inlineStr">
        <is>
          <t>Crítica</t>
        </is>
      </c>
      <c r="F6" s="9" t="inlineStr">
        <is>
          <t>Fernando</t>
        </is>
      </c>
      <c r="G6" s="46" t="n"/>
      <c r="H6" s="46" t="n"/>
      <c r="I6" s="46" t="n"/>
      <c r="J6" s="46" t="n"/>
      <c r="K6" s="5">
        <f>IFERROR(MODE(G6:J6),"por votar")</f>
        <v/>
      </c>
      <c r="L6" s="11">
        <f>K6</f>
        <v/>
      </c>
      <c r="M6" s="12" t="inlineStr">
        <is>
          <t>Sprint 1</t>
        </is>
      </c>
    </row>
    <row r="7" ht="46" customHeight="1">
      <c r="B7" s="5" t="inlineStr">
        <is>
          <t>HT-02</t>
        </is>
      </c>
      <c r="C7" s="34" t="inlineStr">
        <is>
          <t>Como equipo de desarrollo, quiero que cada Pull Request compile y corra las pruebas automáticamente, para detectar un error antes de que llegue a main.</t>
        </is>
      </c>
      <c r="D7" s="34" t="inlineStr">
        <is>
          <t>T1 y T5 de la DoD</t>
        </is>
      </c>
      <c r="E7" s="13" t="inlineStr">
        <is>
          <t>Alta</t>
        </is>
      </c>
      <c r="F7" s="9" t="inlineStr">
        <is>
          <t>Adiel</t>
        </is>
      </c>
      <c r="G7" s="46" t="n"/>
      <c r="H7" s="46" t="n"/>
      <c r="I7" s="46" t="n"/>
      <c r="J7" s="46" t="n"/>
      <c r="K7" s="5">
        <f>IFERROR(MODE(G7:J7),"por votar")</f>
        <v/>
      </c>
      <c r="L7" s="11">
        <f>K7</f>
        <v/>
      </c>
      <c r="M7" s="12" t="inlineStr">
        <is>
          <t>Sprint 1</t>
        </is>
      </c>
    </row>
    <row r="8" ht="46" customHeight="1">
      <c r="B8" s="5" t="inlineStr">
        <is>
          <t>HT-03</t>
        </is>
      </c>
      <c r="C8" s="34" t="inlineStr">
        <is>
          <t>Como equipo de desarrollo, quiero el repositorio privado y la rama main protegida, para que los datos del cliente no queden expuestos y nada entre sin revisión.</t>
        </is>
      </c>
      <c r="D8" s="34" t="inlineStr">
        <is>
          <t>T1 de la DoD y la confidencialidad de los datos de SEVENS</t>
        </is>
      </c>
      <c r="E8" s="10" t="inlineStr">
        <is>
          <t>Crítica</t>
        </is>
      </c>
      <c r="F8" s="9" t="inlineStr">
        <is>
          <t>Fernando</t>
        </is>
      </c>
      <c r="G8" s="46" t="n"/>
      <c r="H8" s="46" t="n"/>
      <c r="I8" s="46" t="n"/>
      <c r="J8" s="46" t="n"/>
      <c r="K8" s="5">
        <f>IFERROR(MODE(G8:J8),"por votar")</f>
        <v/>
      </c>
      <c r="L8" s="11">
        <f>K8</f>
        <v/>
      </c>
      <c r="M8" s="12" t="inlineStr">
        <is>
          <t>Sprint 1</t>
        </is>
      </c>
    </row>
    <row r="9" ht="46" customHeight="1">
      <c r="B9" s="5" t="inlineStr">
        <is>
          <t>HT-04</t>
        </is>
      </c>
      <c r="C9" s="34" t="inlineStr">
        <is>
          <t>Como equipo de desarrollo, quiero un cliente HTTP único en la web que hable con la API, para conectar todas las pantallas sin rehacerlas.</t>
        </is>
      </c>
      <c r="D9" s="34" t="inlineStr">
        <is>
          <t>Todas las tareas «Conectar con la API» de la web</t>
        </is>
      </c>
      <c r="E9" s="10" t="inlineStr">
        <is>
          <t>Crítica</t>
        </is>
      </c>
      <c r="F9" s="9" t="inlineStr">
        <is>
          <t>Henry</t>
        </is>
      </c>
      <c r="G9" s="46" t="n"/>
      <c r="H9" s="46" t="n"/>
      <c r="I9" s="46" t="n"/>
      <c r="J9" s="46" t="n"/>
      <c r="K9" s="5">
        <f>IFERROR(MODE(G9:J9),"por votar")</f>
        <v/>
      </c>
      <c r="L9" s="11">
        <f>K9</f>
        <v/>
      </c>
      <c r="M9" s="12" t="inlineStr">
        <is>
          <t>Sprint 1</t>
        </is>
      </c>
    </row>
    <row r="10" ht="46" customHeight="1">
      <c r="B10" s="5" t="inlineStr">
        <is>
          <t>HT-05</t>
        </is>
      </c>
      <c r="C10" s="34" t="inlineStr">
        <is>
          <t>Como equipo de desarrollo, quiero el proyecto base de la app con Compose, Room, WorkManager, sesión y cliente de la API, para construir encima las pantallas del almacenero.</t>
        </is>
      </c>
      <c r="D10" s="34" t="inlineStr">
        <is>
          <t>Todas las HU de la app (HU-12, 15, 35, 37, 38, 40, 43, 62 y 63)</t>
        </is>
      </c>
      <c r="E10" s="10" t="inlineStr">
        <is>
          <t>Crítica</t>
        </is>
      </c>
      <c r="F10" s="9" t="inlineStr">
        <is>
          <t>Nicolás</t>
        </is>
      </c>
      <c r="G10" s="46" t="n"/>
      <c r="H10" s="46" t="n"/>
      <c r="I10" s="46" t="n"/>
      <c r="J10" s="46" t="n"/>
      <c r="K10" s="5">
        <f>IFERROR(MODE(G10:J10),"por votar")</f>
        <v/>
      </c>
      <c r="L10" s="11">
        <f>K10</f>
        <v/>
      </c>
      <c r="M10" s="12" t="inlineStr">
        <is>
          <t>Sprint 1</t>
        </is>
      </c>
    </row>
    <row r="11" ht="46" customHeight="1">
      <c r="B11" s="5" t="inlineStr">
        <is>
          <t>HT-06</t>
        </is>
      </c>
      <c r="C11" s="34" t="inlineStr">
        <is>
          <t>Como equipo de desarrollo, quiero el contrato de la API publicado (OpenAPI) y una colección de Postman compartida, para probar cada endpoint igual y sin adivinar cómo llamarlo.</t>
        </is>
      </c>
      <c r="D11" s="34" t="inlineStr">
        <is>
          <t>La prueba con Postman de cada HU (modelo del docente)</t>
        </is>
      </c>
      <c r="E11" s="13" t="inlineStr">
        <is>
          <t>Alta</t>
        </is>
      </c>
      <c r="F11" s="9" t="inlineStr">
        <is>
          <t>Adiel</t>
        </is>
      </c>
      <c r="G11" s="46" t="n"/>
      <c r="H11" s="46" t="n"/>
      <c r="I11" s="46" t="n"/>
      <c r="J11" s="46" t="n"/>
      <c r="K11" s="5">
        <f>IFERROR(MODE(G11:J11),"por votar")</f>
        <v/>
      </c>
      <c r="L11" s="11">
        <f>K11</f>
        <v/>
      </c>
      <c r="M11" s="12" t="inlineStr">
        <is>
          <t>Sprint 1</t>
        </is>
      </c>
    </row>
    <row r="12" ht="46" customHeight="1">
      <c r="B12" s="5" t="inlineStr">
        <is>
          <t>HT-07</t>
        </is>
      </c>
      <c r="C12" s="34" t="inlineStr">
        <is>
          <t>Como equipo de desarrollo, quiero la base de pruebas cargada con los datos reales del cliente, para que ninguna HU se pruebe con datos inventados.</t>
        </is>
      </c>
      <c r="D12" s="34" t="inlineStr">
        <is>
          <t>L8 de la DoR y las pruebas de importación</t>
        </is>
      </c>
      <c r="E12" s="13" t="inlineStr">
        <is>
          <t>Alta</t>
        </is>
      </c>
      <c r="F12" s="9" t="inlineStr">
        <is>
          <t>Adiel</t>
        </is>
      </c>
      <c r="G12" s="46" t="n"/>
      <c r="H12" s="46" t="n"/>
      <c r="I12" s="46" t="n"/>
      <c r="J12" s="46" t="n"/>
      <c r="K12" s="5">
        <f>IFERROR(MODE(G12:J12),"por votar")</f>
        <v/>
      </c>
      <c r="L12" s="11">
        <f>K12</f>
        <v/>
      </c>
      <c r="M12" s="12" t="inlineStr">
        <is>
          <t>Sprint 1</t>
        </is>
      </c>
    </row>
    <row r="13" ht="46" customHeight="1">
      <c r="B13" s="5" t="inlineStr">
        <is>
          <t>HT-08</t>
        </is>
      </c>
      <c r="C13" s="34" t="inlineStr">
        <is>
          <t>Como equipo de desarrollo, quiero que Integraciones y Notificaciones solo atiendan a la API con un token de servicio, para que nadie gaste las consultas de Factiliza ni envíe avisos falsos.</t>
        </is>
      </c>
      <c r="D13" s="34" t="inlineStr">
        <is>
          <t>La seguridad de las integraciones (incidencia del 22/10)</t>
        </is>
      </c>
      <c r="E13" s="13" t="inlineStr">
        <is>
          <t>Alta</t>
        </is>
      </c>
      <c r="F13" s="9" t="inlineStr">
        <is>
          <t>Fernando</t>
        </is>
      </c>
      <c r="G13" s="46" t="n"/>
      <c r="H13" s="46" t="n"/>
      <c r="I13" s="46" t="n"/>
      <c r="J13" s="46" t="n"/>
      <c r="K13" s="5">
        <f>IFERROR(MODE(G13:J13),"por votar")</f>
        <v/>
      </c>
      <c r="L13" s="11">
        <f>K13</f>
        <v/>
      </c>
      <c r="M13" s="12" t="inlineStr">
        <is>
          <t>Sprint 1</t>
        </is>
      </c>
    </row>
    <row r="14">
      <c r="B14" s="4" t="inlineStr">
        <is>
          <t>Total</t>
        </is>
      </c>
      <c r="L14" s="11">
        <f>SUM(L6:L13)</f>
        <v/>
      </c>
    </row>
    <row r="16">
      <c r="B16" s="16" t="inlineStr">
        <is>
          <t>Cada integrante escribe su carta (1, 2, 3, 5, 8 o 13) en su columna; la MODA y el puntaje se calculan solos. Si el máximo y el mínimo se separan más de dos valores de la serie, se explica y se revota.</t>
        </is>
      </c>
    </row>
  </sheetData>
  <mergeCells count="3">
    <mergeCell ref="B3:M3"/>
    <mergeCell ref="B16:M16"/>
    <mergeCell ref="B2:M2"/>
  </mergeCells>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2026-10-22T22:52:32Z</dcterms:created>
  <dcterms:modified xmlns:dcterms="http://purl.org/dc/terms/" xmlns:xsi="http://www.w3.org/2001/XMLSchema-instance" xsi:type="dcterms:W3CDTF">2026-10-22T22:52:36Z</dcterms:modified>
</cp:coreProperties>
</file>