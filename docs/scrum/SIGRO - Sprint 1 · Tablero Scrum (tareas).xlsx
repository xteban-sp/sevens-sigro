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alidar HU y tareas" sheetId="1" state="visible" r:id="rId1"/>
    <sheet xmlns:r="http://schemas.openxmlformats.org/officeDocument/2006/relationships" name="Tablero" sheetId="2" state="visible" r:id="rId2"/>
    <sheet xmlns:r="http://schemas.openxmlformats.org/officeDocument/2006/relationships" name="Resumen" sheetId="3" state="visible" r:id="rId3"/>
    <sheet xmlns:r="http://schemas.openxmlformats.org/officeDocument/2006/relationships" name="Reglas del tablero" sheetId="4" state="visible" r:id="rId4"/>
  </sheets>
  <definedNames>
    <definedName name="_xlnm._FilterDatabase" localSheetId="1" hidden="1">'Tablero'!$B$5:$L$252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9A3E00"/>
      <sz val="16"/>
    </font>
    <font>
      <color rgb="0070777D"/>
      <sz val="10"/>
    </font>
    <font>
      <b val="1"/>
      <color rgb="00FFFFFF"/>
    </font>
    <font>
      <sz val="10"/>
    </font>
    <font>
      <b val="1"/>
      <sz val="10"/>
    </font>
    <font>
      <b val="1"/>
      <color rgb="009A3E00"/>
      <sz val="14"/>
    </font>
    <font>
      <b val="1"/>
    </font>
    <font>
      <b val="1"/>
      <color rgb="009A3E00"/>
      <sz val="11"/>
    </font>
    <font>
      <i val="1"/>
      <color rgb="0070777D"/>
      <sz val="10"/>
    </font>
  </fonts>
  <fills count="4">
    <fill>
      <patternFill/>
    </fill>
    <fill>
      <patternFill patternType="gray125"/>
    </fill>
    <fill>
      <patternFill patternType="solid">
        <fgColor rgb="00C2410C"/>
      </patternFill>
    </fill>
    <fill>
      <patternFill patternType="solid">
        <fgColor rgb="00FFF1E5"/>
      </patternFill>
    </fill>
  </fills>
  <borders count="2">
    <border>
      <left/>
      <right/>
      <top/>
      <bottom/>
      <diagonal/>
    </border>
    <border>
      <left style="thin">
        <color rgb="00D9D9D4"/>
      </left>
      <right style="thin">
        <color rgb="00D9D9D4"/>
      </right>
      <top style="thin">
        <color rgb="00D9D9D4"/>
      </top>
      <bottom style="thin">
        <color rgb="00D9D9D4"/>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8" fillId="3" borderId="1" pivotButton="0" quotePrefix="0" xfId="0"/>
    <xf numFmtId="0" fontId="9" fillId="0" borderId="0" applyAlignment="1" pivotButton="0" quotePrefix="0" xfId="0">
      <alignmen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pivotButton="0" quotePrefix="0" xfId="0"/>
    <xf numFmtId="0" fontId="3" fillId="2" borderId="1" pivotButton="0" quotePrefix="0" xfId="0"/>
    <xf numFmtId="0" fontId="0" fillId="0" borderId="1" pivotButton="0" quotePrefix="0" xfId="0"/>
    <xf numFmtId="0" fontId="7" fillId="0" borderId="0" pivotButton="0" quotePrefix="0" xfId="0"/>
    <xf numFmtId="9" fontId="0" fillId="0" borderId="1" pivotButton="0" quotePrefix="0" xfId="0"/>
    <xf numFmtId="0" fontId="7" fillId="3" borderId="1" applyAlignment="1" pivotButton="0" quotePrefix="0" xfId="0">
      <alignment vertical="center" wrapText="1"/>
    </xf>
    <xf numFmtId="0" fontId="0" fillId="0" borderId="1" applyAlignment="1" pivotButton="0" quotePrefix="0" xfId="0">
      <alignment vertical="center" wrapText="1"/>
    </xf>
  </cellXfs>
  <cellStyles count="1">
    <cellStyle name="Normal" xfId="0" builtinId="0" hidden="0"/>
  </cellStyles>
  <dxfs count="4">
    <dxf>
      <fill>
        <patternFill patternType="solid">
          <fgColor rgb="00E7F6EC"/>
        </patternFill>
      </fill>
    </dxf>
    <dxf>
      <fill>
        <patternFill patternType="solid">
          <fgColor rgb="00FDF2E3"/>
        </patternFill>
      </fill>
    </dxf>
    <dxf>
      <fill>
        <patternFill patternType="solid">
          <fgColor rgb="00FCEBEB"/>
        </patternFill>
      </fill>
    </dxf>
    <dxf>
      <fill>
        <patternFill patternType="solid">
          <fgColor rgb="00F3F3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K31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8" customWidth="1" min="2" max="2"/>
    <col width="66" customWidth="1" min="3" max="3"/>
    <col width="13" customWidth="1" min="4" max="4"/>
    <col width="13" customWidth="1" min="5" max="5"/>
    <col width="7" customWidth="1" min="6" max="6"/>
    <col width="8" customWidth="1" min="7" max="7"/>
    <col width="9" customWidth="1" min="8" max="8"/>
    <col width="16" customWidth="1" min="9" max="9"/>
    <col width="10" customWidth="1" min="10" max="10"/>
    <col width="40" customWidth="1" min="11" max="11"/>
  </cols>
  <sheetData>
    <row r="2">
      <c r="B2" s="1" t="inlineStr">
        <is>
          <t>SIGRO · Sprint 1 · Historias de usuario y sus tareas (para validar)</t>
        </is>
      </c>
    </row>
    <row r="3">
      <c r="B3" s="2" t="inlineStr">
        <is>
          <t>Cada integrante revisa las tareas de su área y marca «¿De acuerdo?». Si es «No», escribe qué cambiar. Lo validado pasa al tablero de GitHub.</t>
        </is>
      </c>
    </row>
    <row r="5">
      <c r="B5" s="3" t="inlineStr">
        <is>
          <t>HU / ID</t>
        </is>
      </c>
      <c r="C5" s="3" t="inlineStr">
        <is>
          <t>Historia de usuario / tarea</t>
        </is>
      </c>
      <c r="D5" s="3" t="inlineStr">
        <is>
          <t>Fase / área</t>
        </is>
      </c>
      <c r="E5" s="3" t="inlineStr">
        <is>
          <t>Responsable</t>
        </is>
      </c>
      <c r="F5" s="3" t="inlineStr">
        <is>
          <t>Horas</t>
        </is>
      </c>
      <c r="G5" s="3" t="inlineStr">
        <is>
          <t>Estado</t>
        </is>
      </c>
      <c r="H5" s="3" t="inlineStr">
        <is>
          <t>Fecha límite</t>
        </is>
      </c>
      <c r="I5" s="3" t="inlineStr">
        <is>
          <t>Depende de</t>
        </is>
      </c>
      <c r="J5" s="3" t="inlineStr">
        <is>
          <t>¿De acuerdo?</t>
        </is>
      </c>
      <c r="K5" s="3" t="inlineStr">
        <is>
          <t>Observación</t>
        </is>
      </c>
    </row>
    <row r="6">
      <c r="B6" s="4" t="inlineStr">
        <is>
          <t>HU-01 · Crear proyecto   3 pts</t>
        </is>
      </c>
    </row>
    <row r="7" ht="18" customHeight="1">
      <c r="B7" s="5" t="inlineStr">
        <is>
          <t>Como residente de obra, quiero crear el proyecto con su nombre y su plazo, para acotar todo el movimiento a ese periodo.</t>
        </is>
      </c>
    </row>
    <row r="8" ht="30" customHeight="1">
      <c r="B8" s="6" t="inlineStr">
        <is>
          <t>T-001</t>
        </is>
      </c>
      <c r="C8" s="7" t="inlineStr">
        <is>
          <t>Diseñar la interfaz de usuario de HU-01: pantalla 9 · Crear la obra</t>
        </is>
      </c>
      <c r="D8" s="6" t="inlineStr">
        <is>
          <t>Diseño UI</t>
        </is>
      </c>
      <c r="E8" s="6" t="inlineStr">
        <is>
          <t>Fernando</t>
        </is>
      </c>
      <c r="F8" s="6" t="n">
        <v>1</v>
      </c>
      <c r="G8" s="6" t="inlineStr">
        <is>
          <t>Done</t>
        </is>
      </c>
      <c r="H8" s="6" t="inlineStr">
        <is>
          <t>23/10</t>
        </is>
      </c>
      <c r="I8" s="6" t="n"/>
      <c r="J8" s="6" t="n"/>
      <c r="K8" s="7" t="inlineStr">
        <is>
          <t>mockup en el lienzo «SIGRO · Pantallas y diagramas del Sprint 1», WCAG AA</t>
        </is>
      </c>
    </row>
    <row r="9" ht="30" customHeight="1">
      <c r="B9" s="6" t="inlineStr">
        <is>
          <t>T-002</t>
        </is>
      </c>
      <c r="C9" s="7" t="inlineStr">
        <is>
          <t>Modelar la funcionalidad de HU-01 con el diagrama UML de estados de la obra (en ejecución → ampliada → cerrada)</t>
        </is>
      </c>
      <c r="D9" s="6" t="inlineStr">
        <is>
          <t>Modelado UML</t>
        </is>
      </c>
      <c r="E9" s="6" t="inlineStr">
        <is>
          <t>Fernando</t>
        </is>
      </c>
      <c r="F9" s="6" t="n">
        <v>1</v>
      </c>
      <c r="G9" s="6" t="inlineStr">
        <is>
          <t>To Do</t>
        </is>
      </c>
      <c r="H9" s="6" t="inlineStr">
        <is>
          <t>24/10</t>
        </is>
      </c>
      <c r="I9" s="6" t="inlineStr">
        <is>
          <t>T-001</t>
        </is>
      </c>
      <c r="J9" s="6" t="n"/>
      <c r="K9" s="7" t="n"/>
    </row>
    <row r="10" ht="30" customHeight="1">
      <c r="B10" s="6" t="inlineStr">
        <is>
          <t>T-003</t>
        </is>
      </c>
      <c r="C10" s="7" t="inlineStr">
        <is>
          <t>Implementar las tablas asociadas a HU-01: proyecto, proyecto_plazo_historial</t>
        </is>
      </c>
      <c r="D10" s="6" t="inlineStr">
        <is>
          <t>Base de datos</t>
        </is>
      </c>
      <c r="E10" s="6" t="inlineStr">
        <is>
          <t>Adiel</t>
        </is>
      </c>
      <c r="F10" s="6" t="n">
        <v>1</v>
      </c>
      <c r="G10" s="6" t="inlineStr">
        <is>
          <t>Done</t>
        </is>
      </c>
      <c r="H10" s="6" t="inlineStr">
        <is>
          <t>24/10</t>
        </is>
      </c>
      <c r="I10" s="6" t="n"/>
      <c r="J10" s="6" t="n"/>
      <c r="K10" s="7" t="inlineStr">
        <is>
          <t>migraciones 0001–0006 de la API</t>
        </is>
      </c>
    </row>
    <row r="11" ht="30" customHeight="1">
      <c r="B11" s="6" t="inlineStr">
        <is>
          <t>T-004</t>
        </is>
      </c>
      <c r="C11" s="7" t="inlineStr">
        <is>
          <t>Programar el back-end de HU-01 (entidad, repositorio, servicio y controlador): el endpoint para crear la obra, validando nombre y plazo obligatorios, fin ≥ inicio y estado inicial «en ejecución»</t>
        </is>
      </c>
      <c r="D11" s="6" t="inlineStr">
        <is>
          <t>Backend</t>
        </is>
      </c>
      <c r="E11" s="6" t="inlineStr">
        <is>
          <t>Adiel</t>
        </is>
      </c>
      <c r="F11" s="6" t="n">
        <v>2</v>
      </c>
      <c r="G11" s="6" t="inlineStr">
        <is>
          <t>Done</t>
        </is>
      </c>
      <c r="H11" s="6" t="inlineStr">
        <is>
          <t>25/10</t>
        </is>
      </c>
      <c r="I11" s="6" t="n"/>
      <c r="J11" s="6" t="n"/>
      <c r="K11" s="7" t="inlineStr">
        <is>
          <t>hecho en la API de Adiel (PR #1 fusionado a main), con pruebas</t>
        </is>
      </c>
    </row>
    <row r="12" ht="30" customHeight="1">
      <c r="B12" s="6" t="inlineStr">
        <is>
          <t>T-005</t>
        </is>
      </c>
      <c r="C12" s="7" t="inlineStr">
        <is>
          <t>Implementar el CHECK de fecha de fin ≥ inicio en proyecto (HU-01)</t>
        </is>
      </c>
      <c r="D12" s="6" t="inlineStr">
        <is>
          <t>Triggers y funciones</t>
        </is>
      </c>
      <c r="E12" s="6" t="inlineStr">
        <is>
          <t>Adiel</t>
        </is>
      </c>
      <c r="F12" s="6" t="n">
        <v>1</v>
      </c>
      <c r="G12" s="6" t="inlineStr">
        <is>
          <t>To Do</t>
        </is>
      </c>
      <c r="H12" s="6" t="inlineStr">
        <is>
          <t>25/10</t>
        </is>
      </c>
      <c r="I12" s="6" t="inlineStr">
        <is>
          <t>T-003</t>
        </is>
      </c>
      <c r="J12" s="6" t="n"/>
      <c r="K12" s="7" t="n"/>
    </row>
    <row r="13" ht="30" customHeight="1">
      <c r="B13" s="6" t="inlineStr">
        <is>
          <t>T-006</t>
        </is>
      </c>
      <c r="C13" s="7" t="inlineStr">
        <is>
          <t>Programar la pantalla web para crear la obra</t>
        </is>
      </c>
      <c r="D13" s="6" t="inlineStr">
        <is>
          <t>Front-end web</t>
        </is>
      </c>
      <c r="E13" s="6" t="inlineStr">
        <is>
          <t>Fernando</t>
        </is>
      </c>
      <c r="F13" s="6" t="n">
        <v>2</v>
      </c>
      <c r="G13" s="6" t="inlineStr">
        <is>
          <t>Done</t>
        </is>
      </c>
      <c r="H13" s="6" t="inlineStr">
        <is>
          <t>26/10</t>
        </is>
      </c>
      <c r="I13" s="6" t="n"/>
      <c r="J13" s="6" t="n"/>
      <c r="K13" s="7" t="inlineStr">
        <is>
          <t>pantalla hecha con datos simulados; falta conectarla a la API real</t>
        </is>
      </c>
    </row>
    <row r="14" ht="30" customHeight="1">
      <c r="B14" s="6" t="inlineStr">
        <is>
          <t>T-007</t>
        </is>
      </c>
      <c r="C14" s="7" t="inlineStr">
        <is>
          <t>Conectar la pantalla «Crear la obra» con el endpoint real de la API</t>
        </is>
      </c>
      <c r="D14" s="6" t="inlineStr">
        <is>
          <t>Conexión API</t>
        </is>
      </c>
      <c r="E14" s="6" t="inlineStr">
        <is>
          <t>Fernando</t>
        </is>
      </c>
      <c r="F14" s="6" t="n">
        <v>2</v>
      </c>
      <c r="G14" s="6" t="inlineStr">
        <is>
          <t>To Do</t>
        </is>
      </c>
      <c r="H14" s="6" t="inlineStr">
        <is>
          <t>26/10</t>
        </is>
      </c>
      <c r="I14" s="6" t="inlineStr">
        <is>
          <t>T-004, T-006, T-234</t>
        </is>
      </c>
      <c r="J14" s="6" t="n"/>
      <c r="K14" s="7" t="n"/>
    </row>
    <row r="15" ht="30" customHeight="1">
      <c r="B15" s="6" t="inlineStr">
        <is>
          <t>T-008</t>
        </is>
      </c>
      <c r="C15" s="7" t="inlineStr">
        <is>
          <t>Probar la funcionalidad de HU-01 (la API con Postman y la pantalla web) contra cada condición final y aprobar su PR</t>
        </is>
      </c>
      <c r="D15" s="6" t="inlineStr">
        <is>
          <t>Pruebas</t>
        </is>
      </c>
      <c r="E15" s="6" t="inlineStr">
        <is>
          <t>Henry</t>
        </is>
      </c>
      <c r="F15" s="6" t="n">
        <v>1</v>
      </c>
      <c r="G15" s="6" t="inlineStr">
        <is>
          <t>To Do</t>
        </is>
      </c>
      <c r="H15" s="6" t="inlineStr">
        <is>
          <t>27/10</t>
        </is>
      </c>
      <c r="I15" s="6" t="inlineStr">
        <is>
          <t>T-003, T-004, T-005, T-006, T-007, T-233</t>
        </is>
      </c>
      <c r="J15" s="6" t="n"/>
      <c r="K15" s="7" t="inlineStr">
        <is>
          <t>alguien distinto del autor (T1, T5, T8)</t>
        </is>
      </c>
    </row>
    <row r="16" ht="30" customHeight="1">
      <c r="B16" s="8" t="inlineStr">
        <is>
          <t>T-009</t>
        </is>
      </c>
      <c r="C16" s="9" t="inlineStr">
        <is>
          <t>Aceptar HU-01 como Product Owner desde la interfaz y moverla a Done</t>
        </is>
      </c>
      <c r="D16" s="8" t="inlineStr">
        <is>
          <t>Aceptación</t>
        </is>
      </c>
      <c r="E16" s="8" t="inlineStr">
        <is>
          <t>Adiel</t>
        </is>
      </c>
      <c r="F16" s="8" t="n">
        <v>0.5</v>
      </c>
      <c r="G16" s="8" t="inlineStr">
        <is>
          <t>To Do</t>
        </is>
      </c>
      <c r="H16" s="8" t="inlineStr">
        <is>
          <t>27/10</t>
        </is>
      </c>
      <c r="I16" s="8" t="inlineStr">
        <is>
          <t>T-008</t>
        </is>
      </c>
      <c r="J16" s="8" t="n"/>
      <c r="K16" s="9" t="inlineStr">
        <is>
          <t>mueve la HU a Done</t>
        </is>
      </c>
    </row>
    <row r="17">
      <c r="B17" s="4" t="inlineStr">
        <is>
          <t>HU-03 · Reportar la obra en semanas   3 pts</t>
        </is>
      </c>
    </row>
    <row r="18" ht="18" customHeight="1">
      <c r="B18" s="5" t="inlineStr">
        <is>
          <t>Como residente de obra, quiero dividir el plazo de la obra en periodos semanales de control, para comparar lo consumido de un periodo con otro sin armar el corte a mano.</t>
        </is>
      </c>
    </row>
    <row r="19" ht="30" customHeight="1">
      <c r="B19" s="6" t="inlineStr">
        <is>
          <t>T-010</t>
        </is>
      </c>
      <c r="C19" s="7" t="inlineStr">
        <is>
          <t>Diseñar la interfaz de usuario de HU-03: pantalla 9 · Crear la obra y 22 · Detalle de la obra</t>
        </is>
      </c>
      <c r="D19" s="6" t="inlineStr">
        <is>
          <t>Diseño UI</t>
        </is>
      </c>
      <c r="E19" s="6" t="inlineStr">
        <is>
          <t>Fernando</t>
        </is>
      </c>
      <c r="F19" s="6" t="n">
        <v>1</v>
      </c>
      <c r="G19" s="6" t="inlineStr">
        <is>
          <t>Done</t>
        </is>
      </c>
      <c r="H19" s="6" t="inlineStr">
        <is>
          <t>23/10</t>
        </is>
      </c>
      <c r="I19" s="6" t="n"/>
      <c r="J19" s="6" t="n"/>
      <c r="K19" s="7" t="inlineStr">
        <is>
          <t>mockup en el lienzo «SIGRO · Pantallas y diagramas del Sprint 1», WCAG AA</t>
        </is>
      </c>
    </row>
    <row r="20" ht="30" customHeight="1">
      <c r="B20" s="6" t="inlineStr">
        <is>
          <t>T-011</t>
        </is>
      </c>
      <c r="C20" s="7" t="inlineStr">
        <is>
          <t>Modelar la funcionalidad de HU-03 con el diagrama UML de actividades de la generación de semanas</t>
        </is>
      </c>
      <c r="D20" s="6" t="inlineStr">
        <is>
          <t>Modelado UML</t>
        </is>
      </c>
      <c r="E20" s="6" t="inlineStr">
        <is>
          <t>Fernando</t>
        </is>
      </c>
      <c r="F20" s="6" t="n">
        <v>1</v>
      </c>
      <c r="G20" s="6" t="inlineStr">
        <is>
          <t>To Do</t>
        </is>
      </c>
      <c r="H20" s="6" t="inlineStr">
        <is>
          <t>24/10</t>
        </is>
      </c>
      <c r="I20" s="6" t="inlineStr">
        <is>
          <t>T-010</t>
        </is>
      </c>
      <c r="J20" s="6" t="n"/>
      <c r="K20" s="7" t="n"/>
    </row>
    <row r="21" ht="30" customHeight="1">
      <c r="B21" s="6" t="inlineStr">
        <is>
          <t>T-012</t>
        </is>
      </c>
      <c r="C21" s="7" t="inlineStr">
        <is>
          <t>Implementar las tablas asociadas a HU-03: periodo</t>
        </is>
      </c>
      <c r="D21" s="6" t="inlineStr">
        <is>
          <t>Base de datos</t>
        </is>
      </c>
      <c r="E21" s="6" t="inlineStr">
        <is>
          <t>Adiel</t>
        </is>
      </c>
      <c r="F21" s="6" t="n">
        <v>1</v>
      </c>
      <c r="G21" s="6" t="inlineStr">
        <is>
          <t>Done</t>
        </is>
      </c>
      <c r="H21" s="6" t="inlineStr">
        <is>
          <t>24/10</t>
        </is>
      </c>
      <c r="I21" s="6" t="n"/>
      <c r="J21" s="6" t="n"/>
      <c r="K21" s="7" t="inlineStr">
        <is>
          <t>migraciones 0001–0006 de la API</t>
        </is>
      </c>
    </row>
    <row r="22" ht="30" customHeight="1">
      <c r="B22" s="6" t="inlineStr">
        <is>
          <t>T-013</t>
        </is>
      </c>
      <c r="C22" s="7" t="inlineStr">
        <is>
          <t>Programar el back-end de HU-03 (entidad, repositorio, servicio y controlador): la generación automática de semanas al crear la obra y al ampliar el plazo, con sus pruebas</t>
        </is>
      </c>
      <c r="D22" s="6" t="inlineStr">
        <is>
          <t>Backend</t>
        </is>
      </c>
      <c r="E22" s="6" t="inlineStr">
        <is>
          <t>Adiel</t>
        </is>
      </c>
      <c r="F22" s="6" t="n">
        <v>2</v>
      </c>
      <c r="G22" s="6" t="inlineStr">
        <is>
          <t>Done</t>
        </is>
      </c>
      <c r="H22" s="6" t="inlineStr">
        <is>
          <t>25/10</t>
        </is>
      </c>
      <c r="I22" s="6" t="n"/>
      <c r="J22" s="6" t="n"/>
      <c r="K22" s="7" t="inlineStr">
        <is>
          <t>en la API: GET /obras/{id}/periodos y POST /obras/{id}/ampliar-plazo</t>
        </is>
      </c>
    </row>
    <row r="23" ht="30" customHeight="1">
      <c r="B23" s="6" t="inlineStr">
        <is>
          <t>T-014</t>
        </is>
      </c>
      <c r="C23" s="7" t="inlineStr">
        <is>
          <t>Programar la tira de semanas en la web (cerrada, en curso, por venir)</t>
        </is>
      </c>
      <c r="D23" s="6" t="inlineStr">
        <is>
          <t>Front-end web</t>
        </is>
      </c>
      <c r="E23" s="6" t="inlineStr">
        <is>
          <t>Fernando</t>
        </is>
      </c>
      <c r="F23" s="6" t="n">
        <v>2</v>
      </c>
      <c r="G23" s="6" t="inlineStr">
        <is>
          <t>Done</t>
        </is>
      </c>
      <c r="H23" s="6" t="inlineStr">
        <is>
          <t>26/10</t>
        </is>
      </c>
      <c r="I23" s="6" t="n"/>
      <c r="J23" s="6" t="n"/>
      <c r="K23" s="7" t="inlineStr">
        <is>
          <t>pantalla hecha con datos simulados; falta conectarla a la API real</t>
        </is>
      </c>
    </row>
    <row r="24" ht="30" customHeight="1">
      <c r="B24" s="6" t="inlineStr">
        <is>
          <t>T-015</t>
        </is>
      </c>
      <c r="C24" s="7" t="inlineStr">
        <is>
          <t>Conectar la tira de semanas con la API real</t>
        </is>
      </c>
      <c r="D24" s="6" t="inlineStr">
        <is>
          <t>Conexión API</t>
        </is>
      </c>
      <c r="E24" s="6" t="inlineStr">
        <is>
          <t>Fernando</t>
        </is>
      </c>
      <c r="F24" s="6" t="n">
        <v>2</v>
      </c>
      <c r="G24" s="6" t="inlineStr">
        <is>
          <t>To Do</t>
        </is>
      </c>
      <c r="H24" s="6" t="inlineStr">
        <is>
          <t>26/10</t>
        </is>
      </c>
      <c r="I24" s="6" t="inlineStr">
        <is>
          <t>T-013, T-014, T-234</t>
        </is>
      </c>
      <c r="J24" s="6" t="n"/>
      <c r="K24" s="7" t="n"/>
    </row>
    <row r="25" ht="30" customHeight="1">
      <c r="B25" s="6" t="inlineStr">
        <is>
          <t>T-016</t>
        </is>
      </c>
      <c r="C25" s="7" t="inlineStr">
        <is>
          <t>Probar la funcionalidad de HU-03 (la API con Postman y la pantalla web) contra cada condición final y aprobar su PR</t>
        </is>
      </c>
      <c r="D25" s="6" t="inlineStr">
        <is>
          <t>Pruebas</t>
        </is>
      </c>
      <c r="E25" s="6" t="inlineStr">
        <is>
          <t>Henry</t>
        </is>
      </c>
      <c r="F25" s="6" t="n">
        <v>1</v>
      </c>
      <c r="G25" s="6" t="inlineStr">
        <is>
          <t>To Do</t>
        </is>
      </c>
      <c r="H25" s="6" t="inlineStr">
        <is>
          <t>27/10</t>
        </is>
      </c>
      <c r="I25" s="6" t="inlineStr">
        <is>
          <t>T-012, T-013, T-014, T-015, T-233</t>
        </is>
      </c>
      <c r="J25" s="6" t="n"/>
      <c r="K25" s="7" t="inlineStr">
        <is>
          <t>alguien distinto del autor (T1, T5, T8)</t>
        </is>
      </c>
    </row>
    <row r="26" ht="30" customHeight="1">
      <c r="B26" s="8" t="inlineStr">
        <is>
          <t>T-017</t>
        </is>
      </c>
      <c r="C26" s="9" t="inlineStr">
        <is>
          <t>Aceptar HU-03 como Product Owner desde la interfaz y moverla a Done</t>
        </is>
      </c>
      <c r="D26" s="8" t="inlineStr">
        <is>
          <t>Aceptación</t>
        </is>
      </c>
      <c r="E26" s="8" t="inlineStr">
        <is>
          <t>Adiel</t>
        </is>
      </c>
      <c r="F26" s="8" t="n">
        <v>0.5</v>
      </c>
      <c r="G26" s="8" t="inlineStr">
        <is>
          <t>To Do</t>
        </is>
      </c>
      <c r="H26" s="8" t="inlineStr">
        <is>
          <t>27/10</t>
        </is>
      </c>
      <c r="I26" s="8" t="inlineStr">
        <is>
          <t>T-016</t>
        </is>
      </c>
      <c r="J26" s="8" t="n"/>
      <c r="K26" s="9" t="inlineStr">
        <is>
          <t>mueve la HU a Done</t>
        </is>
      </c>
    </row>
    <row r="27">
      <c r="B27" s="4" t="inlineStr">
        <is>
          <t>HU-07 · Importar catálogo de insumos del S10   8 pts</t>
        </is>
      </c>
    </row>
    <row r="28" ht="18" customHeight="1">
      <c r="B28" s="5" t="inlineStr">
        <is>
          <t>Como residente de obra, quiero importar el catálogo de insumos del S10, para evitar cargar a mano cientos de insumos.</t>
        </is>
      </c>
    </row>
    <row r="29" ht="30" customHeight="1">
      <c r="B29" s="6" t="inlineStr">
        <is>
          <t>T-018</t>
        </is>
      </c>
      <c r="C29" s="7" t="inlineStr">
        <is>
          <t>Diseñar la interfaz de usuario de HU-07: pantalla 11 · Importar el catálogo del S10</t>
        </is>
      </c>
      <c r="D29" s="6" t="inlineStr">
        <is>
          <t>Diseño UI</t>
        </is>
      </c>
      <c r="E29" s="6" t="inlineStr">
        <is>
          <t>Fernando</t>
        </is>
      </c>
      <c r="F29" s="6" t="n">
        <v>1</v>
      </c>
      <c r="G29" s="6" t="inlineStr">
        <is>
          <t>Done</t>
        </is>
      </c>
      <c r="H29" s="6" t="inlineStr">
        <is>
          <t>23/10</t>
        </is>
      </c>
      <c r="I29" s="6" t="n"/>
      <c r="J29" s="6" t="n"/>
      <c r="K29" s="7" t="inlineStr">
        <is>
          <t>mockup en el lienzo «SIGRO · Pantallas y diagramas del Sprint 1», WCAG AA</t>
        </is>
      </c>
    </row>
    <row r="30" ht="30" customHeight="1">
      <c r="B30" s="6" t="inlineStr">
        <is>
          <t>T-019</t>
        </is>
      </c>
      <c r="C30" s="7" t="inlineStr">
        <is>
          <t>Modelar la funcionalidad de HU-07 con el diagrama UML de secuencia de la importación del S10 por el microservicio</t>
        </is>
      </c>
      <c r="D30" s="6" t="inlineStr">
        <is>
          <t>Modelado UML</t>
        </is>
      </c>
      <c r="E30" s="6" t="inlineStr">
        <is>
          <t>Fernando</t>
        </is>
      </c>
      <c r="F30" s="6" t="n">
        <v>1</v>
      </c>
      <c r="G30" s="6" t="inlineStr">
        <is>
          <t>Done</t>
        </is>
      </c>
      <c r="H30" s="6" t="inlineStr">
        <is>
          <t>24/10</t>
        </is>
      </c>
      <c r="I30" s="6" t="n"/>
      <c r="J30" s="6" t="n"/>
      <c r="K30" s="7" t="inlineStr">
        <is>
          <t>ya está en el lienzo</t>
        </is>
      </c>
    </row>
    <row r="31" ht="30" customHeight="1">
      <c r="B31" s="6" t="inlineStr">
        <is>
          <t>T-020</t>
        </is>
      </c>
      <c r="C31" s="7" t="inlineStr">
        <is>
          <t>Implementar las tablas asociadas a HU-07: insumo (crear/actualizar por código)</t>
        </is>
      </c>
      <c r="D31" s="6" t="inlineStr">
        <is>
          <t>Base de datos</t>
        </is>
      </c>
      <c r="E31" s="6" t="inlineStr">
        <is>
          <t>Adiel</t>
        </is>
      </c>
      <c r="F31" s="6" t="n">
        <v>1</v>
      </c>
      <c r="G31" s="6" t="inlineStr">
        <is>
          <t>To Do</t>
        </is>
      </c>
      <c r="H31" s="6" t="inlineStr">
        <is>
          <t>24/10</t>
        </is>
      </c>
      <c r="I31" s="6" t="inlineStr">
        <is>
          <t>T-019</t>
        </is>
      </c>
      <c r="J31" s="6" t="n"/>
      <c r="K31" s="7" t="n"/>
    </row>
    <row r="32" ht="30" customHeight="1">
      <c r="B32" s="6" t="inlineStr">
        <is>
          <t>T-021</t>
        </is>
      </c>
      <c r="C32" s="7" t="inlineStr">
        <is>
          <t>Programar el back-end de HU-07 (entidad, repositorio, servicio y controlador): el endpoint que aplica la importación: crear o actualizar insumos por código sin tocar saldos</t>
        </is>
      </c>
      <c r="D32" s="6" t="inlineStr">
        <is>
          <t>Backend</t>
        </is>
      </c>
      <c r="E32" s="6" t="inlineStr">
        <is>
          <t>Adiel</t>
        </is>
      </c>
      <c r="F32" s="6" t="n">
        <v>4</v>
      </c>
      <c r="G32" s="6" t="inlineStr">
        <is>
          <t>To Do</t>
        </is>
      </c>
      <c r="H32" s="6" t="inlineStr">
        <is>
          <t>25/10</t>
        </is>
      </c>
      <c r="I32" s="6" t="inlineStr">
        <is>
          <t>T-020</t>
        </is>
      </c>
      <c r="J32" s="6" t="n"/>
      <c r="K32" s="7" t="n"/>
    </row>
    <row r="33" ht="30" customHeight="1">
      <c r="B33" s="6" t="inlineStr">
        <is>
          <t>T-022</t>
        </is>
      </c>
      <c r="C33" s="7" t="inlineStr">
        <is>
          <t>Configurar la llamada de la API a Integraciones con el token de servicio en docker compose</t>
        </is>
      </c>
      <c r="D33" s="6" t="inlineStr">
        <is>
          <t>Backend</t>
        </is>
      </c>
      <c r="E33" s="6" t="inlineStr">
        <is>
          <t>Adiel</t>
        </is>
      </c>
      <c r="F33" s="6" t="n">
        <v>4</v>
      </c>
      <c r="G33" s="6" t="inlineStr">
        <is>
          <t>To Do</t>
        </is>
      </c>
      <c r="H33" s="6" t="inlineStr">
        <is>
          <t>25/10</t>
        </is>
      </c>
      <c r="I33" s="6" t="inlineStr">
        <is>
          <t>T-020</t>
        </is>
      </c>
      <c r="J33" s="6" t="n"/>
      <c r="K33" s="7" t="inlineStr">
        <is>
          <t>decisión B del 22/10</t>
        </is>
      </c>
    </row>
    <row r="34" ht="30" customHeight="1">
      <c r="B34" s="6" t="inlineStr">
        <is>
          <t>T-023</t>
        </is>
      </c>
      <c r="C34" s="7" t="inlineStr">
        <is>
          <t>Programar el lector del PDF «Relación de insumos» del S10 en el microservicio — integración con S10 (relación de insumos)</t>
        </is>
      </c>
      <c r="D34" s="6" t="inlineStr">
        <is>
          <t>Integración</t>
        </is>
      </c>
      <c r="E34" s="6" t="inlineStr">
        <is>
          <t>Fernando</t>
        </is>
      </c>
      <c r="F34" s="6" t="n">
        <v>4</v>
      </c>
      <c r="G34" s="6" t="inlineStr">
        <is>
          <t>Done</t>
        </is>
      </c>
      <c r="H34" s="6" t="inlineStr">
        <is>
          <t>25/10</t>
        </is>
      </c>
      <c r="I34" s="6" t="n"/>
      <c r="J34" s="6" t="n"/>
      <c r="K34" s="7" t="inlineStr">
        <is>
          <t>probado con el archivo real: 284 insumos, 0 fallidos, total exacto</t>
        </is>
      </c>
    </row>
    <row r="35" ht="30" customHeight="1">
      <c r="B35" s="6" t="inlineStr">
        <is>
          <t>T-024</t>
        </is>
      </c>
      <c r="C35" s="7" t="inlineStr">
        <is>
          <t>Programar la pantalla web «Importar del S10» con el resumen de creados, actualizados y fallidos</t>
        </is>
      </c>
      <c r="D35" s="6" t="inlineStr">
        <is>
          <t>Front-end web</t>
        </is>
      </c>
      <c r="E35" s="6" t="inlineStr">
        <is>
          <t>Fernando</t>
        </is>
      </c>
      <c r="F35" s="6" t="n">
        <v>4</v>
      </c>
      <c r="G35" s="6" t="inlineStr">
        <is>
          <t>Done</t>
        </is>
      </c>
      <c r="H35" s="6" t="inlineStr">
        <is>
          <t>26/10</t>
        </is>
      </c>
      <c r="I35" s="6" t="n"/>
      <c r="J35" s="6" t="n"/>
      <c r="K35" s="7" t="inlineStr">
        <is>
          <t>conectada al micro real</t>
        </is>
      </c>
    </row>
    <row r="36" ht="30" customHeight="1">
      <c r="B36" s="6" t="inlineStr">
        <is>
          <t>T-025</t>
        </is>
      </c>
      <c r="C36" s="7" t="inlineStr">
        <is>
          <t>Probar la funcionalidad de HU-07 (la API con Postman y la pantalla web) contra cada condición final y aprobar su PR</t>
        </is>
      </c>
      <c r="D36" s="6" t="inlineStr">
        <is>
          <t>Pruebas</t>
        </is>
      </c>
      <c r="E36" s="6" t="inlineStr">
        <is>
          <t>Henry</t>
        </is>
      </c>
      <c r="F36" s="6" t="n">
        <v>1</v>
      </c>
      <c r="G36" s="6" t="inlineStr">
        <is>
          <t>To Do</t>
        </is>
      </c>
      <c r="H36" s="6" t="inlineStr">
        <is>
          <t>27/10</t>
        </is>
      </c>
      <c r="I36" s="6" t="inlineStr">
        <is>
          <t>T-020, T-021, T-022, T-023, T-024, T-233</t>
        </is>
      </c>
      <c r="J36" s="6" t="n"/>
      <c r="K36" s="7" t="inlineStr">
        <is>
          <t>alguien distinto del autor (T1, T5, T8)</t>
        </is>
      </c>
    </row>
    <row r="37" ht="30" customHeight="1">
      <c r="B37" s="8" t="inlineStr">
        <is>
          <t>T-026</t>
        </is>
      </c>
      <c r="C37" s="9" t="inlineStr">
        <is>
          <t>Aceptar HU-07 como Product Owner desde la interfaz y moverla a Done</t>
        </is>
      </c>
      <c r="D37" s="8" t="inlineStr">
        <is>
          <t>Aceptación</t>
        </is>
      </c>
      <c r="E37" s="8" t="inlineStr">
        <is>
          <t>Adiel</t>
        </is>
      </c>
      <c r="F37" s="8" t="n">
        <v>0.5</v>
      </c>
      <c r="G37" s="8" t="inlineStr">
        <is>
          <t>To Do</t>
        </is>
      </c>
      <c r="H37" s="8" t="inlineStr">
        <is>
          <t>27/10</t>
        </is>
      </c>
      <c r="I37" s="8" t="inlineStr">
        <is>
          <t>T-025</t>
        </is>
      </c>
      <c r="J37" s="8" t="n"/>
      <c r="K37" s="9" t="inlineStr">
        <is>
          <t>mueve la HU a Done</t>
        </is>
      </c>
    </row>
    <row r="38">
      <c r="B38" s="4" t="inlineStr">
        <is>
          <t>HU-08 · Registrar insumos   5 pts</t>
        </is>
      </c>
    </row>
    <row r="39" ht="18" customHeight="1">
      <c r="B39" s="5" t="inlineStr">
        <is>
          <t>Como almacenero, quiero registrar un insumo con información estandarizada, para identificarlo de la misma manera en todas las obras.</t>
        </is>
      </c>
    </row>
    <row r="40" ht="30" customHeight="1">
      <c r="B40" s="6" t="inlineStr">
        <is>
          <t>T-027</t>
        </is>
      </c>
      <c r="C40" s="7" t="inlineStr">
        <is>
          <t>Diseñar la interfaz de usuario de HU-08: pantalla 16 · Catálogo e insumo</t>
        </is>
      </c>
      <c r="D40" s="6" t="inlineStr">
        <is>
          <t>Diseño UI</t>
        </is>
      </c>
      <c r="E40" s="6" t="inlineStr">
        <is>
          <t>Fernando</t>
        </is>
      </c>
      <c r="F40" s="6" t="n">
        <v>1</v>
      </c>
      <c r="G40" s="6" t="inlineStr">
        <is>
          <t>Done</t>
        </is>
      </c>
      <c r="H40" s="6" t="inlineStr">
        <is>
          <t>23/10</t>
        </is>
      </c>
      <c r="I40" s="6" t="n"/>
      <c r="J40" s="6" t="n"/>
      <c r="K40" s="7" t="inlineStr">
        <is>
          <t>mockup en el lienzo «SIGRO · Pantallas y diagramas del Sprint 1», WCAG AA</t>
        </is>
      </c>
    </row>
    <row r="41" ht="30" customHeight="1">
      <c r="B41" s="6" t="inlineStr">
        <is>
          <t>T-028</t>
        </is>
      </c>
      <c r="C41" s="7" t="inlineStr">
        <is>
          <t>Modelar la funcionalidad de HU-08 con el diagrama UML de secuencia del alta de insumo con verificación de duplicado</t>
        </is>
      </c>
      <c r="D41" s="6" t="inlineStr">
        <is>
          <t>Modelado UML</t>
        </is>
      </c>
      <c r="E41" s="6" t="inlineStr">
        <is>
          <t>Fernando</t>
        </is>
      </c>
      <c r="F41" s="6" t="n">
        <v>1</v>
      </c>
      <c r="G41" s="6" t="inlineStr">
        <is>
          <t>To Do</t>
        </is>
      </c>
      <c r="H41" s="6" t="inlineStr">
        <is>
          <t>24/10</t>
        </is>
      </c>
      <c r="I41" s="6" t="inlineStr">
        <is>
          <t>T-027</t>
        </is>
      </c>
      <c r="J41" s="6" t="n"/>
      <c r="K41" s="7" t="n"/>
    </row>
    <row r="42" ht="30" customHeight="1">
      <c r="B42" s="6" t="inlineStr">
        <is>
          <t>T-029</t>
        </is>
      </c>
      <c r="C42" s="7" t="inlineStr">
        <is>
          <t>Implementar las tablas asociadas a HU-08: insumo, insumo_nombre_comercial</t>
        </is>
      </c>
      <c r="D42" s="6" t="inlineStr">
        <is>
          <t>Base de datos</t>
        </is>
      </c>
      <c r="E42" s="6" t="inlineStr">
        <is>
          <t>Adiel</t>
        </is>
      </c>
      <c r="F42" s="6" t="n">
        <v>1</v>
      </c>
      <c r="G42" s="6" t="inlineStr">
        <is>
          <t>To Do</t>
        </is>
      </c>
      <c r="H42" s="6" t="inlineStr">
        <is>
          <t>24/10</t>
        </is>
      </c>
      <c r="I42" s="6" t="inlineStr">
        <is>
          <t>T-028</t>
        </is>
      </c>
      <c r="J42" s="6" t="n"/>
      <c r="K42" s="7" t="n"/>
    </row>
    <row r="43" ht="30" customHeight="1">
      <c r="B43" s="6" t="inlineStr">
        <is>
          <t>T-030</t>
        </is>
      </c>
      <c r="C43" s="7" t="inlineStr">
        <is>
          <t>Programar el back-end de HU-08 (entidad, repositorio, servicio y controlador): el endpoint del catálogo: generar código único, rechazar duplicados y marcar «por verificar»</t>
        </is>
      </c>
      <c r="D43" s="6" t="inlineStr">
        <is>
          <t>Backend</t>
        </is>
      </c>
      <c r="E43" s="6" t="inlineStr">
        <is>
          <t>Adiel</t>
        </is>
      </c>
      <c r="F43" s="6" t="n">
        <v>3</v>
      </c>
      <c r="G43" s="6" t="inlineStr">
        <is>
          <t>To Do</t>
        </is>
      </c>
      <c r="H43" s="6" t="inlineStr">
        <is>
          <t>25/10</t>
        </is>
      </c>
      <c r="I43" s="6" t="inlineStr">
        <is>
          <t>T-029</t>
        </is>
      </c>
      <c r="J43" s="6" t="n"/>
      <c r="K43" s="7" t="n"/>
    </row>
    <row r="44" ht="30" customHeight="1">
      <c r="B44" s="6" t="inlineStr">
        <is>
          <t>T-031</t>
        </is>
      </c>
      <c r="C44" s="7" t="inlineStr">
        <is>
          <t>Programar la pantalla web del catálogo para ver, dar de alta y editar insumos</t>
        </is>
      </c>
      <c r="D44" s="6" t="inlineStr">
        <is>
          <t>Front-end web</t>
        </is>
      </c>
      <c r="E44" s="6" t="inlineStr">
        <is>
          <t>Fernando</t>
        </is>
      </c>
      <c r="F44" s="6" t="n">
        <v>3</v>
      </c>
      <c r="G44" s="6" t="inlineStr">
        <is>
          <t>Done</t>
        </is>
      </c>
      <c r="H44" s="6" t="inlineStr">
        <is>
          <t>26/10</t>
        </is>
      </c>
      <c r="I44" s="6" t="n"/>
      <c r="J44" s="6" t="n"/>
      <c r="K44" s="7" t="inlineStr">
        <is>
          <t>pantalla hecha con datos simulados; falta conectarla a la API real</t>
        </is>
      </c>
    </row>
    <row r="45" ht="30" customHeight="1">
      <c r="B45" s="6" t="inlineStr">
        <is>
          <t>T-032</t>
        </is>
      </c>
      <c r="C45" s="7" t="inlineStr">
        <is>
          <t>Conectar la pantalla del catálogo con la API real</t>
        </is>
      </c>
      <c r="D45" s="6" t="inlineStr">
        <is>
          <t>Conexión API</t>
        </is>
      </c>
      <c r="E45" s="6" t="inlineStr">
        <is>
          <t>Fernando</t>
        </is>
      </c>
      <c r="F45" s="6" t="n">
        <v>3</v>
      </c>
      <c r="G45" s="6" t="inlineStr">
        <is>
          <t>To Do</t>
        </is>
      </c>
      <c r="H45" s="6" t="inlineStr">
        <is>
          <t>26/10</t>
        </is>
      </c>
      <c r="I45" s="6" t="inlineStr">
        <is>
          <t>T-030, T-031, T-234</t>
        </is>
      </c>
      <c r="J45" s="6" t="n"/>
      <c r="K45" s="7" t="n"/>
    </row>
    <row r="46" ht="30" customHeight="1">
      <c r="B46" s="6" t="inlineStr">
        <is>
          <t>T-033</t>
        </is>
      </c>
      <c r="C46" s="7" t="inlineStr">
        <is>
          <t>Probar la funcionalidad de HU-08 (la API con Postman y la pantalla web) contra cada condición final y aprobar su PR</t>
        </is>
      </c>
      <c r="D46" s="6" t="inlineStr">
        <is>
          <t>Pruebas</t>
        </is>
      </c>
      <c r="E46" s="6" t="inlineStr">
        <is>
          <t>Henry</t>
        </is>
      </c>
      <c r="F46" s="6" t="n">
        <v>1</v>
      </c>
      <c r="G46" s="6" t="inlineStr">
        <is>
          <t>To Do</t>
        </is>
      </c>
      <c r="H46" s="6" t="inlineStr">
        <is>
          <t>27/10</t>
        </is>
      </c>
      <c r="I46" s="6" t="inlineStr">
        <is>
          <t>T-029, T-030, T-031, T-032, T-233</t>
        </is>
      </c>
      <c r="J46" s="6" t="n"/>
      <c r="K46" s="7" t="inlineStr">
        <is>
          <t>alguien distinto del autor (T1, T5, T8)</t>
        </is>
      </c>
    </row>
    <row r="47" ht="30" customHeight="1">
      <c r="B47" s="8" t="inlineStr">
        <is>
          <t>T-034</t>
        </is>
      </c>
      <c r="C47" s="9" t="inlineStr">
        <is>
          <t>Aceptar HU-08 como Product Owner desde la interfaz y moverla a Done</t>
        </is>
      </c>
      <c r="D47" s="8" t="inlineStr">
        <is>
          <t>Aceptación</t>
        </is>
      </c>
      <c r="E47" s="8" t="inlineStr">
        <is>
          <t>Adiel</t>
        </is>
      </c>
      <c r="F47" s="8" t="n">
        <v>0.5</v>
      </c>
      <c r="G47" s="8" t="inlineStr">
        <is>
          <t>To Do</t>
        </is>
      </c>
      <c r="H47" s="8" t="inlineStr">
        <is>
          <t>27/10</t>
        </is>
      </c>
      <c r="I47" s="8" t="inlineStr">
        <is>
          <t>T-033</t>
        </is>
      </c>
      <c r="J47" s="8" t="n"/>
      <c r="K47" s="9" t="inlineStr">
        <is>
          <t>mueve la HU a Done</t>
        </is>
      </c>
    </row>
    <row r="48">
      <c r="B48" s="4" t="inlineStr">
        <is>
          <t>HU-12 · Loguear usuario   5 pts</t>
        </is>
      </c>
    </row>
    <row r="49" ht="18" customHeight="1">
      <c r="B49" s="5" t="inlineStr">
        <is>
          <t>Como administrador, quiero entrar al sistema con mi usuario y contraseña, para que mis registros queden atribuidos a mí.</t>
        </is>
      </c>
    </row>
    <row r="50" ht="30" customHeight="1">
      <c r="B50" s="6" t="inlineStr">
        <is>
          <t>T-035</t>
        </is>
      </c>
      <c r="C50" s="7" t="inlineStr">
        <is>
          <t>Diseñar la interfaz de usuario de HU-12: pantalla 1 (app) y 20 (web) · Login</t>
        </is>
      </c>
      <c r="D50" s="6" t="inlineStr">
        <is>
          <t>Diseño UI</t>
        </is>
      </c>
      <c r="E50" s="6" t="inlineStr">
        <is>
          <t>Fernando</t>
        </is>
      </c>
      <c r="F50" s="6" t="n">
        <v>1</v>
      </c>
      <c r="G50" s="6" t="inlineStr">
        <is>
          <t>Done</t>
        </is>
      </c>
      <c r="H50" s="6" t="inlineStr">
        <is>
          <t>23/10</t>
        </is>
      </c>
      <c r="I50" s="6" t="n"/>
      <c r="J50" s="6" t="n"/>
      <c r="K50" s="7" t="inlineStr">
        <is>
          <t>mockup en el lienzo «SIGRO · Pantallas y diagramas del Sprint 1», WCAG AA</t>
        </is>
      </c>
    </row>
    <row r="51" ht="30" customHeight="1">
      <c r="B51" s="6" t="inlineStr">
        <is>
          <t>T-036</t>
        </is>
      </c>
      <c r="C51" s="7" t="inlineStr">
        <is>
          <t>Modelar la funcionalidad de HU-12 con el diagrama UML de secuencia del login y la renovación de la sesión</t>
        </is>
      </c>
      <c r="D51" s="6" t="inlineStr">
        <is>
          <t>Modelado UML</t>
        </is>
      </c>
      <c r="E51" s="6" t="inlineStr">
        <is>
          <t>Nicolás</t>
        </is>
      </c>
      <c r="F51" s="6" t="n">
        <v>1</v>
      </c>
      <c r="G51" s="6" t="inlineStr">
        <is>
          <t>To Do</t>
        </is>
      </c>
      <c r="H51" s="6" t="inlineStr">
        <is>
          <t>24/10</t>
        </is>
      </c>
      <c r="I51" s="6" t="inlineStr">
        <is>
          <t>T-035</t>
        </is>
      </c>
      <c r="J51" s="6" t="n"/>
      <c r="K51" s="7" t="n"/>
    </row>
    <row r="52" ht="30" customHeight="1">
      <c r="B52" s="6" t="inlineStr">
        <is>
          <t>T-037</t>
        </is>
      </c>
      <c r="C52" s="7" t="inlineStr">
        <is>
          <t>Implementar las tablas asociadas a HU-12: usuario (hash de la clave, intentos, estado)</t>
        </is>
      </c>
      <c r="D52" s="6" t="inlineStr">
        <is>
          <t>Base de datos</t>
        </is>
      </c>
      <c r="E52" s="6" t="inlineStr">
        <is>
          <t>Adiel</t>
        </is>
      </c>
      <c r="F52" s="6" t="n">
        <v>1</v>
      </c>
      <c r="G52" s="6" t="inlineStr">
        <is>
          <t>Done</t>
        </is>
      </c>
      <c r="H52" s="6" t="inlineStr">
        <is>
          <t>24/10</t>
        </is>
      </c>
      <c r="I52" s="6" t="n"/>
      <c r="J52" s="6" t="n"/>
      <c r="K52" s="7" t="inlineStr">
        <is>
          <t>migraciones 0001–0006 de la API</t>
        </is>
      </c>
    </row>
    <row r="53" ht="30" customHeight="1">
      <c r="B53" s="6" t="inlineStr">
        <is>
          <t>T-038</t>
        </is>
      </c>
      <c r="C53" s="7" t="inlineStr">
        <is>
          <t>Programar el back-end de HU-12 (entidad, repositorio, servicio y controlador): el login con Argon2id, sesión que caduca y se renueva, y bloqueo por intentos fallidos</t>
        </is>
      </c>
      <c r="D53" s="6" t="inlineStr">
        <is>
          <t>Backend</t>
        </is>
      </c>
      <c r="E53" s="6" t="inlineStr">
        <is>
          <t>Adiel</t>
        </is>
      </c>
      <c r="F53" s="6" t="n">
        <v>3</v>
      </c>
      <c r="G53" s="6" t="inlineStr">
        <is>
          <t>Done</t>
        </is>
      </c>
      <c r="H53" s="6" t="inlineStr">
        <is>
          <t>25/10</t>
        </is>
      </c>
      <c r="I53" s="6" t="n"/>
      <c r="J53" s="6" t="n"/>
      <c r="K53" s="7" t="inlineStr">
        <is>
          <t>hecho en la API de Adiel (PR #1 fusionado a main), con pruebas</t>
        </is>
      </c>
    </row>
    <row r="54" ht="30" customHeight="1">
      <c r="B54" s="6" t="inlineStr">
        <is>
          <t>T-039</t>
        </is>
      </c>
      <c r="C54" s="7" t="inlineStr">
        <is>
          <t>Programar la pantalla web de login y el manejo de la sesión</t>
        </is>
      </c>
      <c r="D54" s="6" t="inlineStr">
        <is>
          <t>Front-end web</t>
        </is>
      </c>
      <c r="E54" s="6" t="inlineStr">
        <is>
          <t>Henry</t>
        </is>
      </c>
      <c r="F54" s="6" t="n">
        <v>3</v>
      </c>
      <c r="G54" s="6" t="inlineStr">
        <is>
          <t>To Do</t>
        </is>
      </c>
      <c r="H54" s="6" t="inlineStr">
        <is>
          <t>26/10</t>
        </is>
      </c>
      <c r="I54" s="6" t="inlineStr">
        <is>
          <t>T-035</t>
        </is>
      </c>
      <c r="J54" s="6" t="n"/>
      <c r="K54" s="7" t="n"/>
    </row>
    <row r="55" ht="30" customHeight="1">
      <c r="B55" s="6" t="inlineStr">
        <is>
          <t>T-040</t>
        </is>
      </c>
      <c r="C55" s="7" t="inlineStr">
        <is>
          <t>Programar el login en la app del almacenero</t>
        </is>
      </c>
      <c r="D55" s="6" t="inlineStr">
        <is>
          <t>Front-end app</t>
        </is>
      </c>
      <c r="E55" s="6" t="inlineStr">
        <is>
          <t>Nicolás</t>
        </is>
      </c>
      <c r="F55" s="6" t="n">
        <v>3</v>
      </c>
      <c r="G55" s="6" t="inlineStr">
        <is>
          <t>To Do</t>
        </is>
      </c>
      <c r="H55" s="6" t="inlineStr">
        <is>
          <t>26/10</t>
        </is>
      </c>
      <c r="I55" s="6" t="inlineStr">
        <is>
          <t>T-035, T-235</t>
        </is>
      </c>
      <c r="J55" s="6" t="n"/>
      <c r="K55" s="7" t="n"/>
    </row>
    <row r="56" ht="30" customHeight="1">
      <c r="B56" s="6" t="inlineStr">
        <is>
          <t>T-041</t>
        </is>
      </c>
      <c r="C56" s="7" t="inlineStr">
        <is>
          <t>Probar la funcionalidad de HU-12 (la API con Postman, la pantalla web y la app) contra cada condición final y aprobar su PR</t>
        </is>
      </c>
      <c r="D56" s="6" t="inlineStr">
        <is>
          <t>Pruebas</t>
        </is>
      </c>
      <c r="E56" s="6" t="inlineStr">
        <is>
          <t>Fernando</t>
        </is>
      </c>
      <c r="F56" s="6" t="n">
        <v>1</v>
      </c>
      <c r="G56" s="6" t="inlineStr">
        <is>
          <t>To Do</t>
        </is>
      </c>
      <c r="H56" s="6" t="inlineStr">
        <is>
          <t>27/10</t>
        </is>
      </c>
      <c r="I56" s="6" t="inlineStr">
        <is>
          <t>T-037, T-038, T-039, T-040, T-233</t>
        </is>
      </c>
      <c r="J56" s="6" t="n"/>
      <c r="K56" s="7" t="inlineStr">
        <is>
          <t>alguien distinto del autor (T1, T5, T8)</t>
        </is>
      </c>
    </row>
    <row r="57" ht="30" customHeight="1">
      <c r="B57" s="8" t="inlineStr">
        <is>
          <t>T-042</t>
        </is>
      </c>
      <c r="C57" s="9" t="inlineStr">
        <is>
          <t>Aceptar HU-12 como Product Owner desde la interfaz y moverla a Done</t>
        </is>
      </c>
      <c r="D57" s="8" t="inlineStr">
        <is>
          <t>Aceptación</t>
        </is>
      </c>
      <c r="E57" s="8" t="inlineStr">
        <is>
          <t>Adiel</t>
        </is>
      </c>
      <c r="F57" s="8" t="n">
        <v>0.5</v>
      </c>
      <c r="G57" s="8" t="inlineStr">
        <is>
          <t>To Do</t>
        </is>
      </c>
      <c r="H57" s="8" t="inlineStr">
        <is>
          <t>27/10</t>
        </is>
      </c>
      <c r="I57" s="8" t="inlineStr">
        <is>
          <t>T-041</t>
        </is>
      </c>
      <c r="J57" s="8" t="n"/>
      <c r="K57" s="9" t="inlineStr">
        <is>
          <t>mueve la HU a Done</t>
        </is>
      </c>
    </row>
    <row r="58">
      <c r="B58" s="4" t="inlineStr">
        <is>
          <t>HU-13 · Asignar roles   5 pts</t>
        </is>
      </c>
    </row>
    <row r="59" ht="18" customHeight="1">
      <c r="B59" s="5" t="inlineStr">
        <is>
          <t>Como administrador, quiero asignar a cada persona un usuario y un rol, para limitar lo que cada quien ve y registra.</t>
        </is>
      </c>
    </row>
    <row r="60" ht="30" customHeight="1">
      <c r="B60" s="6" t="inlineStr">
        <is>
          <t>T-043</t>
        </is>
      </c>
      <c r="C60" s="7" t="inlineStr">
        <is>
          <t>Diseñar la interfaz de usuario de HU-13: pantalla 10 · Usuarios, roles y dispositivos</t>
        </is>
      </c>
      <c r="D60" s="6" t="inlineStr">
        <is>
          <t>Diseño UI</t>
        </is>
      </c>
      <c r="E60" s="6" t="inlineStr">
        <is>
          <t>Fernando</t>
        </is>
      </c>
      <c r="F60" s="6" t="n">
        <v>1</v>
      </c>
      <c r="G60" s="6" t="inlineStr">
        <is>
          <t>Done</t>
        </is>
      </c>
      <c r="H60" s="6" t="inlineStr">
        <is>
          <t>23/10</t>
        </is>
      </c>
      <c r="I60" s="6" t="n"/>
      <c r="J60" s="6" t="n"/>
      <c r="K60" s="7" t="inlineStr">
        <is>
          <t>mockup en el lienzo «SIGRO · Pantallas y diagramas del Sprint 1», WCAG AA</t>
        </is>
      </c>
    </row>
    <row r="61" ht="30" customHeight="1">
      <c r="B61" s="6" t="inlineStr">
        <is>
          <t>T-044</t>
        </is>
      </c>
      <c r="C61" s="7" t="inlineStr">
        <is>
          <t>Modelar la funcionalidad de HU-13 con el diagrama UML de secuencia de la verificación del permiso en el servidor</t>
        </is>
      </c>
      <c r="D61" s="6" t="inlineStr">
        <is>
          <t>Modelado UML</t>
        </is>
      </c>
      <c r="E61" s="6" t="inlineStr">
        <is>
          <t>Henry</t>
        </is>
      </c>
      <c r="F61" s="6" t="n">
        <v>1</v>
      </c>
      <c r="G61" s="6" t="inlineStr">
        <is>
          <t>To Do</t>
        </is>
      </c>
      <c r="H61" s="6" t="inlineStr">
        <is>
          <t>24/10</t>
        </is>
      </c>
      <c r="I61" s="6" t="inlineStr">
        <is>
          <t>T-043</t>
        </is>
      </c>
      <c r="J61" s="6" t="n"/>
      <c r="K61" s="7" t="n"/>
    </row>
    <row r="62" ht="30" customHeight="1">
      <c r="B62" s="6" t="inlineStr">
        <is>
          <t>T-045</t>
        </is>
      </c>
      <c r="C62" s="7" t="inlineStr">
        <is>
          <t>Implementar las tablas asociadas a HU-13: asignacion (el rol vive aquí, por obra)</t>
        </is>
      </c>
      <c r="D62" s="6" t="inlineStr">
        <is>
          <t>Base de datos</t>
        </is>
      </c>
      <c r="E62" s="6" t="inlineStr">
        <is>
          <t>Adiel</t>
        </is>
      </c>
      <c r="F62" s="6" t="n">
        <v>1</v>
      </c>
      <c r="G62" s="6" t="inlineStr">
        <is>
          <t>Done</t>
        </is>
      </c>
      <c r="H62" s="6" t="inlineStr">
        <is>
          <t>24/10</t>
        </is>
      </c>
      <c r="I62" s="6" t="n"/>
      <c r="J62" s="6" t="n"/>
      <c r="K62" s="7" t="inlineStr">
        <is>
          <t>migraciones 0001–0006 de la API</t>
        </is>
      </c>
    </row>
    <row r="63" ht="30" customHeight="1">
      <c r="B63" s="6" t="inlineStr">
        <is>
          <t>T-046</t>
        </is>
      </c>
      <c r="C63" s="7" t="inlineStr">
        <is>
          <t>Programar el back-end de HU-13 (entidad, repositorio, servicio y controlador): los roles y verificar sus permisos en el servidor</t>
        </is>
      </c>
      <c r="D63" s="6" t="inlineStr">
        <is>
          <t>Backend</t>
        </is>
      </c>
      <c r="E63" s="6" t="inlineStr">
        <is>
          <t>Adiel</t>
        </is>
      </c>
      <c r="F63" s="6" t="n">
        <v>4</v>
      </c>
      <c r="G63" s="6" t="inlineStr">
        <is>
          <t>Done</t>
        </is>
      </c>
      <c r="H63" s="6" t="inlineStr">
        <is>
          <t>25/10</t>
        </is>
      </c>
      <c r="I63" s="6" t="n"/>
      <c r="J63" s="6" t="n"/>
      <c r="K63" s="7" t="inlineStr">
        <is>
          <t>hecho en la API de Adiel (PR #1 fusionado a main), con pruebas</t>
        </is>
      </c>
    </row>
    <row r="64" ht="30" customHeight="1">
      <c r="B64" s="6" t="inlineStr">
        <is>
          <t>T-047</t>
        </is>
      </c>
      <c r="C64" s="7" t="inlineStr">
        <is>
          <t>Programar la pantalla web para crear usuarios, asignar su rol y darlos de baja</t>
        </is>
      </c>
      <c r="D64" s="6" t="inlineStr">
        <is>
          <t>Front-end web</t>
        </is>
      </c>
      <c r="E64" s="6" t="inlineStr">
        <is>
          <t>Henry</t>
        </is>
      </c>
      <c r="F64" s="6" t="n">
        <v>4</v>
      </c>
      <c r="G64" s="6" t="inlineStr">
        <is>
          <t>To Do</t>
        </is>
      </c>
      <c r="H64" s="6" t="inlineStr">
        <is>
          <t>26/10</t>
        </is>
      </c>
      <c r="I64" s="6" t="inlineStr">
        <is>
          <t>T-043</t>
        </is>
      </c>
      <c r="J64" s="6" t="n"/>
      <c r="K64" s="7" t="n"/>
    </row>
    <row r="65" ht="30" customHeight="1">
      <c r="B65" s="6" t="inlineStr">
        <is>
          <t>T-048</t>
        </is>
      </c>
      <c r="C65" s="7" t="inlineStr">
        <is>
          <t>Probar la funcionalidad de HU-13 (la API con Postman y la pantalla web) contra cada condición final y aprobar su PR</t>
        </is>
      </c>
      <c r="D65" s="6" t="inlineStr">
        <is>
          <t>Pruebas</t>
        </is>
      </c>
      <c r="E65" s="6" t="inlineStr">
        <is>
          <t>Fernando</t>
        </is>
      </c>
      <c r="F65" s="6" t="n">
        <v>1</v>
      </c>
      <c r="G65" s="6" t="inlineStr">
        <is>
          <t>To Do</t>
        </is>
      </c>
      <c r="H65" s="6" t="inlineStr">
        <is>
          <t>27/10</t>
        </is>
      </c>
      <c r="I65" s="6" t="inlineStr">
        <is>
          <t>T-045, T-046, T-047, T-233</t>
        </is>
      </c>
      <c r="J65" s="6" t="n"/>
      <c r="K65" s="7" t="inlineStr">
        <is>
          <t>alguien distinto del autor (T1, T5, T8)</t>
        </is>
      </c>
    </row>
    <row r="66" ht="30" customHeight="1">
      <c r="B66" s="8" t="inlineStr">
        <is>
          <t>T-049</t>
        </is>
      </c>
      <c r="C66" s="9" t="inlineStr">
        <is>
          <t>Aceptar HU-13 como Product Owner desde la interfaz y moverla a Done</t>
        </is>
      </c>
      <c r="D66" s="8" t="inlineStr">
        <is>
          <t>Aceptación</t>
        </is>
      </c>
      <c r="E66" s="8" t="inlineStr">
        <is>
          <t>Adiel</t>
        </is>
      </c>
      <c r="F66" s="8" t="n">
        <v>0.5</v>
      </c>
      <c r="G66" s="8" t="inlineStr">
        <is>
          <t>To Do</t>
        </is>
      </c>
      <c r="H66" s="8" t="inlineStr">
        <is>
          <t>27/10</t>
        </is>
      </c>
      <c r="I66" s="8" t="inlineStr">
        <is>
          <t>T-048</t>
        </is>
      </c>
      <c r="J66" s="8" t="n"/>
      <c r="K66" s="9" t="inlineStr">
        <is>
          <t>mueve la HU a Done</t>
        </is>
      </c>
    </row>
    <row r="67">
      <c r="B67" s="4" t="inlineStr">
        <is>
          <t>HU-14 · Asignar usuarios a obras   3 pts</t>
        </is>
      </c>
    </row>
    <row r="68" ht="18" customHeight="1">
      <c r="B68" s="5" t="inlineStr">
        <is>
          <t>Como administrador, quiero asignar usuarios a los proyectos, para que cada quien opere solo en sus obras.</t>
        </is>
      </c>
    </row>
    <row r="69" ht="30" customHeight="1">
      <c r="B69" s="6" t="inlineStr">
        <is>
          <t>T-050</t>
        </is>
      </c>
      <c r="C69" s="7" t="inlineStr">
        <is>
          <t>Diseñar la interfaz de usuario de HU-14: pantalla 10 · Usuarios, roles y dispositivos</t>
        </is>
      </c>
      <c r="D69" s="6" t="inlineStr">
        <is>
          <t>Diseño UI</t>
        </is>
      </c>
      <c r="E69" s="6" t="inlineStr">
        <is>
          <t>Fernando</t>
        </is>
      </c>
      <c r="F69" s="6" t="n">
        <v>1</v>
      </c>
      <c r="G69" s="6" t="inlineStr">
        <is>
          <t>Done</t>
        </is>
      </c>
      <c r="H69" s="6" t="inlineStr">
        <is>
          <t>23/10</t>
        </is>
      </c>
      <c r="I69" s="6" t="n"/>
      <c r="J69" s="6" t="n"/>
      <c r="K69" s="7" t="inlineStr">
        <is>
          <t>mockup en el lienzo «SIGRO · Pantallas y diagramas del Sprint 1», WCAG AA</t>
        </is>
      </c>
    </row>
    <row r="70" ht="30" customHeight="1">
      <c r="B70" s="6" t="inlineStr">
        <is>
          <t>T-051</t>
        </is>
      </c>
      <c r="C70" s="7" t="inlineStr">
        <is>
          <t>Modelar la funcionalidad de HU-14 con el diagrama UML de secuencia de la asignación de usuario a obra</t>
        </is>
      </c>
      <c r="D70" s="6" t="inlineStr">
        <is>
          <t>Modelado UML</t>
        </is>
      </c>
      <c r="E70" s="6" t="inlineStr">
        <is>
          <t>Henry</t>
        </is>
      </c>
      <c r="F70" s="6" t="n">
        <v>1</v>
      </c>
      <c r="G70" s="6" t="inlineStr">
        <is>
          <t>To Do</t>
        </is>
      </c>
      <c r="H70" s="6" t="inlineStr">
        <is>
          <t>24/10</t>
        </is>
      </c>
      <c r="I70" s="6" t="inlineStr">
        <is>
          <t>T-050</t>
        </is>
      </c>
      <c r="J70" s="6" t="n"/>
      <c r="K70" s="7" t="n"/>
    </row>
    <row r="71" ht="30" customHeight="1">
      <c r="B71" s="6" t="inlineStr">
        <is>
          <t>T-052</t>
        </is>
      </c>
      <c r="C71" s="7" t="inlineStr">
        <is>
          <t>Implementar las tablas asociadas a HU-14: asignacion</t>
        </is>
      </c>
      <c r="D71" s="6" t="inlineStr">
        <is>
          <t>Base de datos</t>
        </is>
      </c>
      <c r="E71" s="6" t="inlineStr">
        <is>
          <t>Adiel</t>
        </is>
      </c>
      <c r="F71" s="6" t="n">
        <v>1</v>
      </c>
      <c r="G71" s="6" t="inlineStr">
        <is>
          <t>Done</t>
        </is>
      </c>
      <c r="H71" s="6" t="inlineStr">
        <is>
          <t>24/10</t>
        </is>
      </c>
      <c r="I71" s="6" t="n"/>
      <c r="J71" s="6" t="n"/>
      <c r="K71" s="7" t="inlineStr">
        <is>
          <t>migraciones 0001–0006 de la API</t>
        </is>
      </c>
    </row>
    <row r="72" ht="30" customHeight="1">
      <c r="B72" s="6" t="inlineStr">
        <is>
          <t>T-053</t>
        </is>
      </c>
      <c r="C72" s="7" t="inlineStr">
        <is>
          <t>Programar el back-end de HU-14 (entidad, repositorio, servicio y controlador): el endpoint para asignar usuarios a obras</t>
        </is>
      </c>
      <c r="D72" s="6" t="inlineStr">
        <is>
          <t>Backend</t>
        </is>
      </c>
      <c r="E72" s="6" t="inlineStr">
        <is>
          <t>Adiel</t>
        </is>
      </c>
      <c r="F72" s="6" t="n">
        <v>2</v>
      </c>
      <c r="G72" s="6" t="inlineStr">
        <is>
          <t>Done</t>
        </is>
      </c>
      <c r="H72" s="6" t="inlineStr">
        <is>
          <t>25/10</t>
        </is>
      </c>
      <c r="I72" s="6" t="n"/>
      <c r="J72" s="6" t="n"/>
      <c r="K72" s="7" t="inlineStr">
        <is>
          <t>hecho en la API de Adiel (PR #1 fusionado a main), con pruebas</t>
        </is>
      </c>
    </row>
    <row r="73" ht="30" customHeight="1">
      <c r="B73" s="6" t="inlineStr">
        <is>
          <t>T-054</t>
        </is>
      </c>
      <c r="C73" s="7" t="inlineStr">
        <is>
          <t>Programar la pantalla web para asignar usuarios a obras</t>
        </is>
      </c>
      <c r="D73" s="6" t="inlineStr">
        <is>
          <t>Front-end web</t>
        </is>
      </c>
      <c r="E73" s="6" t="inlineStr">
        <is>
          <t>Henry</t>
        </is>
      </c>
      <c r="F73" s="6" t="n">
        <v>2</v>
      </c>
      <c r="G73" s="6" t="inlineStr">
        <is>
          <t>To Do</t>
        </is>
      </c>
      <c r="H73" s="6" t="inlineStr">
        <is>
          <t>26/10</t>
        </is>
      </c>
      <c r="I73" s="6" t="inlineStr">
        <is>
          <t>T-050</t>
        </is>
      </c>
      <c r="J73" s="6" t="n"/>
      <c r="K73" s="7" t="n"/>
    </row>
    <row r="74" ht="30" customHeight="1">
      <c r="B74" s="6" t="inlineStr">
        <is>
          <t>T-055</t>
        </is>
      </c>
      <c r="C74" s="7" t="inlineStr">
        <is>
          <t>Probar la funcionalidad de HU-14 (la API con Postman y la pantalla web) contra cada condición final y aprobar su PR</t>
        </is>
      </c>
      <c r="D74" s="6" t="inlineStr">
        <is>
          <t>Pruebas</t>
        </is>
      </c>
      <c r="E74" s="6" t="inlineStr">
        <is>
          <t>Fernando</t>
        </is>
      </c>
      <c r="F74" s="6" t="n">
        <v>1</v>
      </c>
      <c r="G74" s="6" t="inlineStr">
        <is>
          <t>To Do</t>
        </is>
      </c>
      <c r="H74" s="6" t="inlineStr">
        <is>
          <t>27/10</t>
        </is>
      </c>
      <c r="I74" s="6" t="inlineStr">
        <is>
          <t>T-052, T-053, T-054, T-233</t>
        </is>
      </c>
      <c r="J74" s="6" t="n"/>
      <c r="K74" s="7" t="inlineStr">
        <is>
          <t>alguien distinto del autor (T1, T5, T8)</t>
        </is>
      </c>
    </row>
    <row r="75" ht="30" customHeight="1">
      <c r="B75" s="8" t="inlineStr">
        <is>
          <t>T-056</t>
        </is>
      </c>
      <c r="C75" s="9" t="inlineStr">
        <is>
          <t>Aceptar HU-14 como Product Owner desde la interfaz y moverla a Done</t>
        </is>
      </c>
      <c r="D75" s="8" t="inlineStr">
        <is>
          <t>Aceptación</t>
        </is>
      </c>
      <c r="E75" s="8" t="inlineStr">
        <is>
          <t>Adiel</t>
        </is>
      </c>
      <c r="F75" s="8" t="n">
        <v>0.5</v>
      </c>
      <c r="G75" s="8" t="inlineStr">
        <is>
          <t>To Do</t>
        </is>
      </c>
      <c r="H75" s="8" t="inlineStr">
        <is>
          <t>27/10</t>
        </is>
      </c>
      <c r="I75" s="8" t="inlineStr">
        <is>
          <t>T-055</t>
        </is>
      </c>
      <c r="J75" s="8" t="n"/>
      <c r="K75" s="9" t="inlineStr">
        <is>
          <t>mueve la HU a Done</t>
        </is>
      </c>
    </row>
    <row r="76">
      <c r="B76" s="4" t="inlineStr">
        <is>
          <t>HU-15 · Autorizar celular de la obra   5 pts</t>
        </is>
      </c>
    </row>
    <row r="77" ht="18" customHeight="1">
      <c r="B77" s="5" t="inlineStr">
        <is>
          <t>Como administrador, quiero autorizar el dispositivo que registra movimientos en cada obra, para impedir que un equipo ajeno opere en nombre de la obra.</t>
        </is>
      </c>
    </row>
    <row r="78" ht="30" customHeight="1">
      <c r="B78" s="6" t="inlineStr">
        <is>
          <t>T-057</t>
        </is>
      </c>
      <c r="C78" s="7" t="inlineStr">
        <is>
          <t>Diseñar la interfaz de usuario de HU-15: pantalla 10 · Usuarios, roles y dispositivos</t>
        </is>
      </c>
      <c r="D78" s="6" t="inlineStr">
        <is>
          <t>Diseño UI</t>
        </is>
      </c>
      <c r="E78" s="6" t="inlineStr">
        <is>
          <t>Fernando</t>
        </is>
      </c>
      <c r="F78" s="6" t="n">
        <v>1</v>
      </c>
      <c r="G78" s="6" t="inlineStr">
        <is>
          <t>Done</t>
        </is>
      </c>
      <c r="H78" s="6" t="inlineStr">
        <is>
          <t>23/10</t>
        </is>
      </c>
      <c r="I78" s="6" t="n"/>
      <c r="J78" s="6" t="n"/>
      <c r="K78" s="7" t="inlineStr">
        <is>
          <t>mockup en el lienzo «SIGRO · Pantallas y diagramas del Sprint 1», WCAG AA</t>
        </is>
      </c>
    </row>
    <row r="79" ht="30" customHeight="1">
      <c r="B79" s="6" t="inlineStr">
        <is>
          <t>T-058</t>
        </is>
      </c>
      <c r="C79" s="7" t="inlineStr">
        <is>
          <t>Modelar la funcionalidad de HU-15 con el diagrama UML de secuencia del registro desde un dispositivo no autorizado</t>
        </is>
      </c>
      <c r="D79" s="6" t="inlineStr">
        <is>
          <t>Modelado UML</t>
        </is>
      </c>
      <c r="E79" s="6" t="inlineStr">
        <is>
          <t>Nicolás</t>
        </is>
      </c>
      <c r="F79" s="6" t="n">
        <v>1</v>
      </c>
      <c r="G79" s="6" t="inlineStr">
        <is>
          <t>To Do</t>
        </is>
      </c>
      <c r="H79" s="6" t="inlineStr">
        <is>
          <t>24/10</t>
        </is>
      </c>
      <c r="I79" s="6" t="inlineStr">
        <is>
          <t>T-057</t>
        </is>
      </c>
      <c r="J79" s="6" t="n"/>
      <c r="K79" s="7" t="n"/>
    </row>
    <row r="80" ht="30" customHeight="1">
      <c r="B80" s="6" t="inlineStr">
        <is>
          <t>T-059</t>
        </is>
      </c>
      <c r="C80" s="7" t="inlineStr">
        <is>
          <t>Implementar las tablas asociadas a HU-15: dispositivo (máximo dos activos por obra)</t>
        </is>
      </c>
      <c r="D80" s="6" t="inlineStr">
        <is>
          <t>Base de datos</t>
        </is>
      </c>
      <c r="E80" s="6" t="inlineStr">
        <is>
          <t>Adiel</t>
        </is>
      </c>
      <c r="F80" s="6" t="n">
        <v>1</v>
      </c>
      <c r="G80" s="6" t="inlineStr">
        <is>
          <t>Done</t>
        </is>
      </c>
      <c r="H80" s="6" t="inlineStr">
        <is>
          <t>24/10</t>
        </is>
      </c>
      <c r="I80" s="6" t="n"/>
      <c r="J80" s="6" t="n"/>
      <c r="K80" s="7" t="inlineStr">
        <is>
          <t>migraciones 0001–0006 de la API</t>
        </is>
      </c>
    </row>
    <row r="81" ht="30" customHeight="1">
      <c r="B81" s="6" t="inlineStr">
        <is>
          <t>T-060</t>
        </is>
      </c>
      <c r="C81" s="7" t="inlineStr">
        <is>
          <t>Programar el back-end de HU-15 (entidad, repositorio, servicio y controlador): el registro de dispositivos autorizados por obra (máximo dos) y el rechazo del no autorizado</t>
        </is>
      </c>
      <c r="D81" s="6" t="inlineStr">
        <is>
          <t>Backend</t>
        </is>
      </c>
      <c r="E81" s="6" t="inlineStr">
        <is>
          <t>Adiel</t>
        </is>
      </c>
      <c r="F81" s="6" t="n">
        <v>3</v>
      </c>
      <c r="G81" s="6" t="inlineStr">
        <is>
          <t>Done</t>
        </is>
      </c>
      <c r="H81" s="6" t="inlineStr">
        <is>
          <t>25/10</t>
        </is>
      </c>
      <c r="I81" s="6" t="n"/>
      <c r="J81" s="6" t="n"/>
      <c r="K81" s="7" t="inlineStr">
        <is>
          <t>hecho en la API de Adiel (PR #1 fusionado a main), con pruebas</t>
        </is>
      </c>
    </row>
    <row r="82" ht="30" customHeight="1">
      <c r="B82" s="6" t="inlineStr">
        <is>
          <t>T-061</t>
        </is>
      </c>
      <c r="C82" s="7" t="inlineStr">
        <is>
          <t>Programar en la app la generación del código del dispositivo en la primera instalación</t>
        </is>
      </c>
      <c r="D82" s="6" t="inlineStr">
        <is>
          <t>Front-end app</t>
        </is>
      </c>
      <c r="E82" s="6" t="inlineStr">
        <is>
          <t>Nicolás</t>
        </is>
      </c>
      <c r="F82" s="6" t="n">
        <v>3</v>
      </c>
      <c r="G82" s="6" t="inlineStr">
        <is>
          <t>To Do</t>
        </is>
      </c>
      <c r="H82" s="6" t="inlineStr">
        <is>
          <t>26/10</t>
        </is>
      </c>
      <c r="I82" s="6" t="inlineStr">
        <is>
          <t>T-057, T-235</t>
        </is>
      </c>
      <c r="J82" s="6" t="n"/>
      <c r="K82" s="7" t="n"/>
    </row>
    <row r="83" ht="30" customHeight="1">
      <c r="B83" s="6" t="inlineStr">
        <is>
          <t>T-062</t>
        </is>
      </c>
      <c r="C83" s="7" t="inlineStr">
        <is>
          <t>Programar la pantalla web para autorizar o cambiar el celular de la obra</t>
        </is>
      </c>
      <c r="D83" s="6" t="inlineStr">
        <is>
          <t>Front-end web</t>
        </is>
      </c>
      <c r="E83" s="6" t="inlineStr">
        <is>
          <t>Henry</t>
        </is>
      </c>
      <c r="F83" s="6" t="n">
        <v>3</v>
      </c>
      <c r="G83" s="6" t="inlineStr">
        <is>
          <t>To Do</t>
        </is>
      </c>
      <c r="H83" s="6" t="inlineStr">
        <is>
          <t>26/10</t>
        </is>
      </c>
      <c r="I83" s="6" t="inlineStr">
        <is>
          <t>T-057</t>
        </is>
      </c>
      <c r="J83" s="6" t="n"/>
      <c r="K83" s="7" t="n"/>
    </row>
    <row r="84" ht="30" customHeight="1">
      <c r="B84" s="6" t="inlineStr">
        <is>
          <t>T-063</t>
        </is>
      </c>
      <c r="C84" s="7" t="inlineStr">
        <is>
          <t>Probar la funcionalidad de HU-15 (la API con Postman, la pantalla web y la app) contra cada condición final y aprobar su PR</t>
        </is>
      </c>
      <c r="D84" s="6" t="inlineStr">
        <is>
          <t>Pruebas</t>
        </is>
      </c>
      <c r="E84" s="6" t="inlineStr">
        <is>
          <t>Fernando</t>
        </is>
      </c>
      <c r="F84" s="6" t="n">
        <v>1</v>
      </c>
      <c r="G84" s="6" t="inlineStr">
        <is>
          <t>To Do</t>
        </is>
      </c>
      <c r="H84" s="6" t="inlineStr">
        <is>
          <t>27/10</t>
        </is>
      </c>
      <c r="I84" s="6" t="inlineStr">
        <is>
          <t>T-059, T-060, T-061, T-062, T-233</t>
        </is>
      </c>
      <c r="J84" s="6" t="n"/>
      <c r="K84" s="7" t="inlineStr">
        <is>
          <t>alguien distinto del autor (T1, T5, T8)</t>
        </is>
      </c>
    </row>
    <row r="85" ht="30" customHeight="1">
      <c r="B85" s="8" t="inlineStr">
        <is>
          <t>T-064</t>
        </is>
      </c>
      <c r="C85" s="9" t="inlineStr">
        <is>
          <t>Aceptar HU-15 como Product Owner desde la interfaz y moverla a Done</t>
        </is>
      </c>
      <c r="D85" s="8" t="inlineStr">
        <is>
          <t>Aceptación</t>
        </is>
      </c>
      <c r="E85" s="8" t="inlineStr">
        <is>
          <t>Adiel</t>
        </is>
      </c>
      <c r="F85" s="8" t="n">
        <v>0.5</v>
      </c>
      <c r="G85" s="8" t="inlineStr">
        <is>
          <t>To Do</t>
        </is>
      </c>
      <c r="H85" s="8" t="inlineStr">
        <is>
          <t>27/10</t>
        </is>
      </c>
      <c r="I85" s="8" t="inlineStr">
        <is>
          <t>T-063</t>
        </is>
      </c>
      <c r="J85" s="8" t="n"/>
      <c r="K85" s="9" t="inlineStr">
        <is>
          <t>mueve la HU a Done</t>
        </is>
      </c>
    </row>
    <row r="86">
      <c r="B86" s="4" t="inlineStr">
        <is>
          <t>HU-16 · Importar precios unitarios   8 pts</t>
        </is>
      </c>
    </row>
    <row r="87" ht="18" customHeight="1">
      <c r="B87" s="5" t="inlineStr">
        <is>
          <t>Como residente de obra, quiero importar el análisis de precios unitarios del S10, para conocer cuánto material exige cada partida.</t>
        </is>
      </c>
    </row>
    <row r="88" ht="30" customHeight="1">
      <c r="B88" s="6" t="inlineStr">
        <is>
          <t>T-065</t>
        </is>
      </c>
      <c r="C88" s="7" t="inlineStr">
        <is>
          <t>Diseñar la interfaz de usuario de HU-16: pantalla 19 · Importar APU y requerimiento</t>
        </is>
      </c>
      <c r="D88" s="6" t="inlineStr">
        <is>
          <t>Diseño UI</t>
        </is>
      </c>
      <c r="E88" s="6" t="inlineStr">
        <is>
          <t>Fernando</t>
        </is>
      </c>
      <c r="F88" s="6" t="n">
        <v>1</v>
      </c>
      <c r="G88" s="6" t="inlineStr">
        <is>
          <t>Done</t>
        </is>
      </c>
      <c r="H88" s="6" t="inlineStr">
        <is>
          <t>23/10</t>
        </is>
      </c>
      <c r="I88" s="6" t="n"/>
      <c r="J88" s="6" t="n"/>
      <c r="K88" s="7" t="inlineStr">
        <is>
          <t>mockup en el lienzo «SIGRO · Pantallas y diagramas del Sprint 1», WCAG AA</t>
        </is>
      </c>
    </row>
    <row r="89" ht="30" customHeight="1">
      <c r="B89" s="6" t="inlineStr">
        <is>
          <t>T-066</t>
        </is>
      </c>
      <c r="C89" s="7" t="inlineStr">
        <is>
          <t>Modelar la funcionalidad de HU-16 con el diagrama UML de actividades de la lectura del APU</t>
        </is>
      </c>
      <c r="D89" s="6" t="inlineStr">
        <is>
          <t>Modelado UML</t>
        </is>
      </c>
      <c r="E89" s="6" t="inlineStr">
        <is>
          <t>Fernando</t>
        </is>
      </c>
      <c r="F89" s="6" t="n">
        <v>1</v>
      </c>
      <c r="G89" s="6" t="inlineStr">
        <is>
          <t>To Do</t>
        </is>
      </c>
      <c r="H89" s="6" t="inlineStr">
        <is>
          <t>24/10</t>
        </is>
      </c>
      <c r="I89" s="6" t="inlineStr">
        <is>
          <t>T-065</t>
        </is>
      </c>
      <c r="J89" s="6" t="n"/>
      <c r="K89" s="7" t="n"/>
    </row>
    <row r="90" ht="30" customHeight="1">
      <c r="B90" s="6" t="inlineStr">
        <is>
          <t>T-067</t>
        </is>
      </c>
      <c r="C90" s="7" t="inlineStr">
        <is>
          <t>Implementar las tablas asociadas a HU-16: partida, partida_recurso</t>
        </is>
      </c>
      <c r="D90" s="6" t="inlineStr">
        <is>
          <t>Base de datos</t>
        </is>
      </c>
      <c r="E90" s="6" t="inlineStr">
        <is>
          <t>Adiel</t>
        </is>
      </c>
      <c r="F90" s="6" t="n">
        <v>1</v>
      </c>
      <c r="G90" s="6" t="inlineStr">
        <is>
          <t>To Do</t>
        </is>
      </c>
      <c r="H90" s="6" t="inlineStr">
        <is>
          <t>24/10</t>
        </is>
      </c>
      <c r="I90" s="6" t="inlineStr">
        <is>
          <t>T-066</t>
        </is>
      </c>
      <c r="J90" s="6" t="n"/>
      <c r="K90" s="7" t="n"/>
    </row>
    <row r="91" ht="30" customHeight="1">
      <c r="B91" s="6" t="inlineStr">
        <is>
          <t>T-068</t>
        </is>
      </c>
      <c r="C91" s="7" t="inlineStr">
        <is>
          <t>Crear la tabla partida–recurso y programar el endpoint que la guarda</t>
        </is>
      </c>
      <c r="D91" s="6" t="inlineStr">
        <is>
          <t>Backend</t>
        </is>
      </c>
      <c r="E91" s="6" t="inlineStr">
        <is>
          <t>Adiel</t>
        </is>
      </c>
      <c r="F91" s="6" t="n">
        <v>5</v>
      </c>
      <c r="G91" s="6" t="inlineStr">
        <is>
          <t>To Do</t>
        </is>
      </c>
      <c r="H91" s="6" t="inlineStr">
        <is>
          <t>25/10</t>
        </is>
      </c>
      <c r="I91" s="6" t="inlineStr">
        <is>
          <t>T-067</t>
        </is>
      </c>
      <c r="J91" s="6" t="n"/>
      <c r="K91" s="7" t="n"/>
    </row>
    <row r="92" ht="30" customHeight="1">
      <c r="B92" s="6" t="inlineStr">
        <is>
          <t>T-069</t>
        </is>
      </c>
      <c r="C92" s="7" t="inlineStr">
        <is>
          <t>Programar el lector del PDF del APU (371 páginas), identificando la partida por código y descripción — integración con S10 (análisis de precios unitarios)</t>
        </is>
      </c>
      <c r="D92" s="6" t="inlineStr">
        <is>
          <t>Integración</t>
        </is>
      </c>
      <c r="E92" s="6" t="inlineStr">
        <is>
          <t>Fernando</t>
        </is>
      </c>
      <c r="F92" s="6" t="n">
        <v>5</v>
      </c>
      <c r="G92" s="6" t="inlineStr">
        <is>
          <t>Doing</t>
        </is>
      </c>
      <c r="H92" s="6" t="inlineStr">
        <is>
          <t>25/10</t>
        </is>
      </c>
      <c r="I92" s="6" t="inlineStr">
        <is>
          <t>T-066</t>
        </is>
      </c>
      <c r="J92" s="6" t="n"/>
      <c r="K92" s="7" t="inlineStr">
        <is>
          <t>extracción ya probada: 6 902 filas, 1 217 partidas</t>
        </is>
      </c>
    </row>
    <row r="93" ht="30" customHeight="1">
      <c r="B93" s="6" t="inlineStr">
        <is>
          <t>T-070</t>
        </is>
      </c>
      <c r="C93" s="7" t="inlineStr">
        <is>
          <t>Programar la pantalla web para importar el APU</t>
        </is>
      </c>
      <c r="D93" s="6" t="inlineStr">
        <is>
          <t>Front-end web</t>
        </is>
      </c>
      <c r="E93" s="6" t="inlineStr">
        <is>
          <t>Fernando</t>
        </is>
      </c>
      <c r="F93" s="6" t="n">
        <v>5</v>
      </c>
      <c r="G93" s="6" t="inlineStr">
        <is>
          <t>To Do</t>
        </is>
      </c>
      <c r="H93" s="6" t="inlineStr">
        <is>
          <t>26/10</t>
        </is>
      </c>
      <c r="I93" s="6" t="inlineStr">
        <is>
          <t>T-065</t>
        </is>
      </c>
      <c r="J93" s="6" t="n"/>
      <c r="K93" s="7" t="n"/>
    </row>
    <row r="94" ht="30" customHeight="1">
      <c r="B94" s="6" t="inlineStr">
        <is>
          <t>T-071</t>
        </is>
      </c>
      <c r="C94" s="7" t="inlineStr">
        <is>
          <t>Probar la funcionalidad de HU-16 (la API con Postman y la pantalla web) contra cada condición final y aprobar su PR</t>
        </is>
      </c>
      <c r="D94" s="6" t="inlineStr">
        <is>
          <t>Pruebas</t>
        </is>
      </c>
      <c r="E94" s="6" t="inlineStr">
        <is>
          <t>Henry</t>
        </is>
      </c>
      <c r="F94" s="6" t="n">
        <v>1</v>
      </c>
      <c r="G94" s="6" t="inlineStr">
        <is>
          <t>To Do</t>
        </is>
      </c>
      <c r="H94" s="6" t="inlineStr">
        <is>
          <t>27/10</t>
        </is>
      </c>
      <c r="I94" s="6" t="inlineStr">
        <is>
          <t>T-067, T-068, T-069, T-070, T-233</t>
        </is>
      </c>
      <c r="J94" s="6" t="n"/>
      <c r="K94" s="7" t="inlineStr">
        <is>
          <t>alguien distinto del autor (T1, T5, T8)</t>
        </is>
      </c>
    </row>
    <row r="95" ht="30" customHeight="1">
      <c r="B95" s="8" t="inlineStr">
        <is>
          <t>T-072</t>
        </is>
      </c>
      <c r="C95" s="9" t="inlineStr">
        <is>
          <t>Aceptar HU-16 como Product Owner desde la interfaz y moverla a Done</t>
        </is>
      </c>
      <c r="D95" s="8" t="inlineStr">
        <is>
          <t>Aceptación</t>
        </is>
      </c>
      <c r="E95" s="8" t="inlineStr">
        <is>
          <t>Adiel</t>
        </is>
      </c>
      <c r="F95" s="8" t="n">
        <v>0.5</v>
      </c>
      <c r="G95" s="8" t="inlineStr">
        <is>
          <t>To Do</t>
        </is>
      </c>
      <c r="H95" s="8" t="inlineStr">
        <is>
          <t>27/10</t>
        </is>
      </c>
      <c r="I95" s="8" t="inlineStr">
        <is>
          <t>T-071</t>
        </is>
      </c>
      <c r="J95" s="8" t="n"/>
      <c r="K95" s="9" t="inlineStr">
        <is>
          <t>mueve la HU a Done</t>
        </is>
      </c>
    </row>
    <row r="96">
      <c r="B96" s="4" t="inlineStr">
        <is>
          <t>HU-17 · Convertir unidades (kg a varillas)   3 pts</t>
        </is>
      </c>
    </row>
    <row r="97" ht="18" customHeight="1">
      <c r="B97" s="5" t="inlineStr">
        <is>
          <t>Como almacenero, quiero registrar el factor entre la unidad del S10 y la unidad de compra, para comparar en una misma unidad lo presupuestado, lo comprado y lo consumido.</t>
        </is>
      </c>
    </row>
    <row r="98" ht="30" customHeight="1">
      <c r="B98" s="6" t="inlineStr">
        <is>
          <t>T-073</t>
        </is>
      </c>
      <c r="C98" s="7" t="inlineStr">
        <is>
          <t>Diseñar la interfaz de usuario de HU-17: pantalla 16 · Catálogo e insumo</t>
        </is>
      </c>
      <c r="D98" s="6" t="inlineStr">
        <is>
          <t>Diseño UI</t>
        </is>
      </c>
      <c r="E98" s="6" t="inlineStr">
        <is>
          <t>Fernando</t>
        </is>
      </c>
      <c r="F98" s="6" t="n">
        <v>1</v>
      </c>
      <c r="G98" s="6" t="inlineStr">
        <is>
          <t>Done</t>
        </is>
      </c>
      <c r="H98" s="6" t="inlineStr">
        <is>
          <t>23/10</t>
        </is>
      </c>
      <c r="I98" s="6" t="n"/>
      <c r="J98" s="6" t="n"/>
      <c r="K98" s="7" t="inlineStr">
        <is>
          <t>mockup en el lienzo «SIGRO · Pantallas y diagramas del Sprint 1», WCAG AA</t>
        </is>
      </c>
    </row>
    <row r="99" ht="30" customHeight="1">
      <c r="B99" s="6" t="inlineStr">
        <is>
          <t>T-074</t>
        </is>
      </c>
      <c r="C99" s="7" t="inlineStr">
        <is>
          <t>Modelar la funcionalidad de HU-17 con el diagrama UML de secuencia de la conversión kg ↔ varillas</t>
        </is>
      </c>
      <c r="D99" s="6" t="inlineStr">
        <is>
          <t>Modelado UML</t>
        </is>
      </c>
      <c r="E99" s="6" t="inlineStr">
        <is>
          <t>Fernando</t>
        </is>
      </c>
      <c r="F99" s="6" t="n">
        <v>1</v>
      </c>
      <c r="G99" s="6" t="inlineStr">
        <is>
          <t>To Do</t>
        </is>
      </c>
      <c r="H99" s="6" t="inlineStr">
        <is>
          <t>24/10</t>
        </is>
      </c>
      <c r="I99" s="6" t="inlineStr">
        <is>
          <t>T-073</t>
        </is>
      </c>
      <c r="J99" s="6" t="n"/>
      <c r="K99" s="7" t="n"/>
    </row>
    <row r="100" ht="30" customHeight="1">
      <c r="B100" s="6" t="inlineStr">
        <is>
          <t>T-075</t>
        </is>
      </c>
      <c r="C100" s="7" t="inlineStr">
        <is>
          <t>Implementar las tablas asociadas a HU-17: insumo.factor_conversion con su histórico</t>
        </is>
      </c>
      <c r="D100" s="6" t="inlineStr">
        <is>
          <t>Base de datos</t>
        </is>
      </c>
      <c r="E100" s="6" t="inlineStr">
        <is>
          <t>Adiel</t>
        </is>
      </c>
      <c r="F100" s="6" t="n">
        <v>1</v>
      </c>
      <c r="G100" s="6" t="inlineStr">
        <is>
          <t>To Do</t>
        </is>
      </c>
      <c r="H100" s="6" t="inlineStr">
        <is>
          <t>24/10</t>
        </is>
      </c>
      <c r="I100" s="6" t="inlineStr">
        <is>
          <t>T-074</t>
        </is>
      </c>
      <c r="J100" s="6" t="n"/>
      <c r="K100" s="7" t="n"/>
    </row>
    <row r="101" ht="30" customHeight="1">
      <c r="B101" s="6" t="inlineStr">
        <is>
          <t>T-076</t>
        </is>
      </c>
      <c r="C101" s="7" t="inlineStr">
        <is>
          <t>Programar el back-end de HU-17 (entidad, repositorio, servicio y controlador): el registro del factor de conversión con su fecha y su usuario</t>
        </is>
      </c>
      <c r="D101" s="6" t="inlineStr">
        <is>
          <t>Backend</t>
        </is>
      </c>
      <c r="E101" s="6" t="inlineStr">
        <is>
          <t>Adiel</t>
        </is>
      </c>
      <c r="F101" s="6" t="n">
        <v>2</v>
      </c>
      <c r="G101" s="6" t="inlineStr">
        <is>
          <t>To Do</t>
        </is>
      </c>
      <c r="H101" s="6" t="inlineStr">
        <is>
          <t>25/10</t>
        </is>
      </c>
      <c r="I101" s="6" t="inlineStr">
        <is>
          <t>T-075</t>
        </is>
      </c>
      <c r="J101" s="6" t="n"/>
      <c r="K101" s="7" t="n"/>
    </row>
    <row r="102" ht="30" customHeight="1">
      <c r="B102" s="6" t="inlineStr">
        <is>
          <t>T-077</t>
        </is>
      </c>
      <c r="C102" s="7" t="inlineStr">
        <is>
          <t>Programar el formulario web del factor de conversión (kg ↔ varillas)</t>
        </is>
      </c>
      <c r="D102" s="6" t="inlineStr">
        <is>
          <t>Front-end web</t>
        </is>
      </c>
      <c r="E102" s="6" t="inlineStr">
        <is>
          <t>Fernando</t>
        </is>
      </c>
      <c r="F102" s="6" t="n">
        <v>2</v>
      </c>
      <c r="G102" s="6" t="inlineStr">
        <is>
          <t>To Do</t>
        </is>
      </c>
      <c r="H102" s="6" t="inlineStr">
        <is>
          <t>26/10</t>
        </is>
      </c>
      <c r="I102" s="6" t="inlineStr">
        <is>
          <t>T-073</t>
        </is>
      </c>
      <c r="J102" s="6" t="n"/>
      <c r="K102" s="7" t="n"/>
    </row>
    <row r="103" ht="30" customHeight="1">
      <c r="B103" s="6" t="inlineStr">
        <is>
          <t>T-078</t>
        </is>
      </c>
      <c r="C103" s="7" t="inlineStr">
        <is>
          <t>Probar la funcionalidad de HU-17 (la API con Postman y la pantalla web) contra cada condición final y aprobar su PR</t>
        </is>
      </c>
      <c r="D103" s="6" t="inlineStr">
        <is>
          <t>Pruebas</t>
        </is>
      </c>
      <c r="E103" s="6" t="inlineStr">
        <is>
          <t>Henry</t>
        </is>
      </c>
      <c r="F103" s="6" t="n">
        <v>1</v>
      </c>
      <c r="G103" s="6" t="inlineStr">
        <is>
          <t>To Do</t>
        </is>
      </c>
      <c r="H103" s="6" t="inlineStr">
        <is>
          <t>27/10</t>
        </is>
      </c>
      <c r="I103" s="6" t="inlineStr">
        <is>
          <t>T-075, T-076, T-077, T-233</t>
        </is>
      </c>
      <c r="J103" s="6" t="n"/>
      <c r="K103" s="7" t="inlineStr">
        <is>
          <t>alguien distinto del autor (T1, T5, T8)</t>
        </is>
      </c>
    </row>
    <row r="104" ht="30" customHeight="1">
      <c r="B104" s="8" t="inlineStr">
        <is>
          <t>T-079</t>
        </is>
      </c>
      <c r="C104" s="9" t="inlineStr">
        <is>
          <t>Aceptar HU-17 como Product Owner desde la interfaz y moverla a Done</t>
        </is>
      </c>
      <c r="D104" s="8" t="inlineStr">
        <is>
          <t>Aceptación</t>
        </is>
      </c>
      <c r="E104" s="8" t="inlineStr">
        <is>
          <t>Adiel</t>
        </is>
      </c>
      <c r="F104" s="8" t="n">
        <v>0.5</v>
      </c>
      <c r="G104" s="8" t="inlineStr">
        <is>
          <t>To Do</t>
        </is>
      </c>
      <c r="H104" s="8" t="inlineStr">
        <is>
          <t>27/10</t>
        </is>
      </c>
      <c r="I104" s="8" t="inlineStr">
        <is>
          <t>T-078</t>
        </is>
      </c>
      <c r="J104" s="8" t="n"/>
      <c r="K104" s="9" t="inlineStr">
        <is>
          <t>mueve la HU a Done</t>
        </is>
      </c>
    </row>
    <row r="105">
      <c r="B105" s="4" t="inlineStr">
        <is>
          <t>HU-19 · Importar requerimiento de la obra   5 pts</t>
        </is>
      </c>
    </row>
    <row r="106" ht="18" customHeight="1">
      <c r="B106" s="5" t="inlineStr">
        <is>
          <t>Como residente de obra, quiero importar el requerimiento total de la obra desde el reporte de recursos del S10, para fijar el cien por ciento contra el que se controla todo.</t>
        </is>
      </c>
    </row>
    <row r="107" ht="30" customHeight="1">
      <c r="B107" s="6" t="inlineStr">
        <is>
          <t>T-080</t>
        </is>
      </c>
      <c r="C107" s="7" t="inlineStr">
        <is>
          <t>Diseñar la interfaz de usuario de HU-19: pantalla 19 · Importar APU y requerimiento</t>
        </is>
      </c>
      <c r="D107" s="6" t="inlineStr">
        <is>
          <t>Diseño UI</t>
        </is>
      </c>
      <c r="E107" s="6" t="inlineStr">
        <is>
          <t>Fernando</t>
        </is>
      </c>
      <c r="F107" s="6" t="n">
        <v>1</v>
      </c>
      <c r="G107" s="6" t="inlineStr">
        <is>
          <t>Done</t>
        </is>
      </c>
      <c r="H107" s="6" t="inlineStr">
        <is>
          <t>23/10</t>
        </is>
      </c>
      <c r="I107" s="6" t="n"/>
      <c r="J107" s="6" t="n"/>
      <c r="K107" s="7" t="inlineStr">
        <is>
          <t>mockup en el lienzo «SIGRO · Pantallas y diagramas del Sprint 1», WCAG AA</t>
        </is>
      </c>
    </row>
    <row r="108" ht="30" customHeight="1">
      <c r="B108" s="6" t="inlineStr">
        <is>
          <t>T-081</t>
        </is>
      </c>
      <c r="C108" s="7" t="inlineStr">
        <is>
          <t>Modelar la funcionalidad de HU-19 con el diagrama UML de actividades de la importación del requerimiento total</t>
        </is>
      </c>
      <c r="D108" s="6" t="inlineStr">
        <is>
          <t>Modelado UML</t>
        </is>
      </c>
      <c r="E108" s="6" t="inlineStr">
        <is>
          <t>Fernando</t>
        </is>
      </c>
      <c r="F108" s="6" t="n">
        <v>1</v>
      </c>
      <c r="G108" s="6" t="inlineStr">
        <is>
          <t>To Do</t>
        </is>
      </c>
      <c r="H108" s="6" t="inlineStr">
        <is>
          <t>24/10</t>
        </is>
      </c>
      <c r="I108" s="6" t="inlineStr">
        <is>
          <t>T-080</t>
        </is>
      </c>
      <c r="J108" s="6" t="n"/>
      <c r="K108" s="7" t="n"/>
    </row>
    <row r="109" ht="30" customHeight="1">
      <c r="B109" s="6" t="inlineStr">
        <is>
          <t>T-082</t>
        </is>
      </c>
      <c r="C109" s="7" t="inlineStr">
        <is>
          <t>Implementar las tablas asociadas a HU-19: requerimiento (cantidad y costo planificados, ajuste con motivo)</t>
        </is>
      </c>
      <c r="D109" s="6" t="inlineStr">
        <is>
          <t>Base de datos</t>
        </is>
      </c>
      <c r="E109" s="6" t="inlineStr">
        <is>
          <t>Adiel</t>
        </is>
      </c>
      <c r="F109" s="6" t="n">
        <v>1</v>
      </c>
      <c r="G109" s="6" t="inlineStr">
        <is>
          <t>To Do</t>
        </is>
      </c>
      <c r="H109" s="6" t="inlineStr">
        <is>
          <t>24/10</t>
        </is>
      </c>
      <c r="I109" s="6" t="inlineStr">
        <is>
          <t>T-081</t>
        </is>
      </c>
      <c r="J109" s="6" t="n"/>
      <c r="K109" s="7" t="n"/>
    </row>
    <row r="110" ht="30" customHeight="1">
      <c r="B110" s="6" t="inlineStr">
        <is>
          <t>T-083</t>
        </is>
      </c>
      <c r="C110" s="7" t="inlineStr">
        <is>
          <t>Programar el back-end de HU-19 (entidad, repositorio, servicio y controlador): el guardado del requerimiento total y de sus ajustes con motivo</t>
        </is>
      </c>
      <c r="D110" s="6" t="inlineStr">
        <is>
          <t>Backend</t>
        </is>
      </c>
      <c r="E110" s="6" t="inlineStr">
        <is>
          <t>Adiel</t>
        </is>
      </c>
      <c r="F110" s="6" t="n">
        <v>3</v>
      </c>
      <c r="G110" s="6" t="inlineStr">
        <is>
          <t>To Do</t>
        </is>
      </c>
      <c r="H110" s="6" t="inlineStr">
        <is>
          <t>25/10</t>
        </is>
      </c>
      <c r="I110" s="6" t="inlineStr">
        <is>
          <t>T-082</t>
        </is>
      </c>
      <c r="J110" s="6" t="n"/>
      <c r="K110" s="7" t="n"/>
    </row>
    <row r="111" ht="30" customHeight="1">
      <c r="B111" s="6" t="inlineStr">
        <is>
          <t>T-084</t>
        </is>
      </c>
      <c r="C111" s="7" t="inlineStr">
        <is>
          <t>Adaptar el lector de la Relación de insumos para obtener el requerimiento total — integración con S10 (relación de insumos)</t>
        </is>
      </c>
      <c r="D111" s="6" t="inlineStr">
        <is>
          <t>Integración</t>
        </is>
      </c>
      <c r="E111" s="6" t="inlineStr">
        <is>
          <t>Fernando</t>
        </is>
      </c>
      <c r="F111" s="6" t="n">
        <v>3</v>
      </c>
      <c r="G111" s="6" t="inlineStr">
        <is>
          <t>To Do</t>
        </is>
      </c>
      <c r="H111" s="6" t="inlineStr">
        <is>
          <t>25/10</t>
        </is>
      </c>
      <c r="I111" s="6" t="inlineStr">
        <is>
          <t>T-081</t>
        </is>
      </c>
      <c r="J111" s="6" t="n"/>
      <c r="K111" s="7" t="inlineStr">
        <is>
          <t>el lector ya trae cantidades y precios</t>
        </is>
      </c>
    </row>
    <row r="112" ht="30" customHeight="1">
      <c r="B112" s="6" t="inlineStr">
        <is>
          <t>T-085</t>
        </is>
      </c>
      <c r="C112" s="7" t="inlineStr">
        <is>
          <t>Programar la pantalla web del requerimiento total</t>
        </is>
      </c>
      <c r="D112" s="6" t="inlineStr">
        <is>
          <t>Front-end web</t>
        </is>
      </c>
      <c r="E112" s="6" t="inlineStr">
        <is>
          <t>Fernando</t>
        </is>
      </c>
      <c r="F112" s="6" t="n">
        <v>3</v>
      </c>
      <c r="G112" s="6" t="inlineStr">
        <is>
          <t>To Do</t>
        </is>
      </c>
      <c r="H112" s="6" t="inlineStr">
        <is>
          <t>26/10</t>
        </is>
      </c>
      <c r="I112" s="6" t="inlineStr">
        <is>
          <t>T-080</t>
        </is>
      </c>
      <c r="J112" s="6" t="n"/>
      <c r="K112" s="7" t="n"/>
    </row>
    <row r="113" ht="30" customHeight="1">
      <c r="B113" s="6" t="inlineStr">
        <is>
          <t>T-086</t>
        </is>
      </c>
      <c r="C113" s="7" t="inlineStr">
        <is>
          <t>Probar la funcionalidad de HU-19 (la API con Postman y la pantalla web) contra cada condición final y aprobar su PR</t>
        </is>
      </c>
      <c r="D113" s="6" t="inlineStr">
        <is>
          <t>Pruebas</t>
        </is>
      </c>
      <c r="E113" s="6" t="inlineStr">
        <is>
          <t>Henry</t>
        </is>
      </c>
      <c r="F113" s="6" t="n">
        <v>1</v>
      </c>
      <c r="G113" s="6" t="inlineStr">
        <is>
          <t>To Do</t>
        </is>
      </c>
      <c r="H113" s="6" t="inlineStr">
        <is>
          <t>27/10</t>
        </is>
      </c>
      <c r="I113" s="6" t="inlineStr">
        <is>
          <t>T-082, T-083, T-084, T-085, T-233</t>
        </is>
      </c>
      <c r="J113" s="6" t="n"/>
      <c r="K113" s="7" t="inlineStr">
        <is>
          <t>alguien distinto del autor (T1, T5, T8)</t>
        </is>
      </c>
    </row>
    <row r="114" ht="30" customHeight="1">
      <c r="B114" s="8" t="inlineStr">
        <is>
          <t>T-087</t>
        </is>
      </c>
      <c r="C114" s="9" t="inlineStr">
        <is>
          <t>Aceptar HU-19 como Product Owner desde la interfaz y moverla a Done</t>
        </is>
      </c>
      <c r="D114" s="8" t="inlineStr">
        <is>
          <t>Aceptación</t>
        </is>
      </c>
      <c r="E114" s="8" t="inlineStr">
        <is>
          <t>Adiel</t>
        </is>
      </c>
      <c r="F114" s="8" t="n">
        <v>0.5</v>
      </c>
      <c r="G114" s="8" t="inlineStr">
        <is>
          <t>To Do</t>
        </is>
      </c>
      <c r="H114" s="8" t="inlineStr">
        <is>
          <t>27/10</t>
        </is>
      </c>
      <c r="I114" s="8" t="inlineStr">
        <is>
          <t>T-086</t>
        </is>
      </c>
      <c r="J114" s="8" t="n"/>
      <c r="K114" s="9" t="inlineStr">
        <is>
          <t>mueve la HU a Done</t>
        </is>
      </c>
    </row>
    <row r="115">
      <c r="B115" s="4" t="inlineStr">
        <is>
          <t>HU-23 · Consultar cuánto se compró y consumió   5 pts</t>
        </is>
      </c>
    </row>
    <row r="116" ht="18" customHeight="1">
      <c r="B116" s="5" t="inlineStr">
        <is>
          <t>Como residente de obra, quiero consultar qué porcentaje de cada insumo se compró y se consumió, para distinguir lo que ingresó de lo que se usó.</t>
        </is>
      </c>
    </row>
    <row r="117" ht="30" customHeight="1">
      <c r="B117" s="6" t="inlineStr">
        <is>
          <t>T-088</t>
        </is>
      </c>
      <c r="C117" s="7" t="inlineStr">
        <is>
          <t>Diseñar la interfaz de usuario de HU-23: pantalla 13 · Gasto en recursos</t>
        </is>
      </c>
      <c r="D117" s="6" t="inlineStr">
        <is>
          <t>Diseño UI</t>
        </is>
      </c>
      <c r="E117" s="6" t="inlineStr">
        <is>
          <t>Fernando</t>
        </is>
      </c>
      <c r="F117" s="6" t="n">
        <v>1</v>
      </c>
      <c r="G117" s="6" t="inlineStr">
        <is>
          <t>Done</t>
        </is>
      </c>
      <c r="H117" s="6" t="inlineStr">
        <is>
          <t>23/10</t>
        </is>
      </c>
      <c r="I117" s="6" t="n"/>
      <c r="J117" s="6" t="n"/>
      <c r="K117" s="7" t="inlineStr">
        <is>
          <t>mockup en el lienzo «SIGRO · Pantallas y diagramas del Sprint 1», WCAG AA</t>
        </is>
      </c>
    </row>
    <row r="118" ht="30" customHeight="1">
      <c r="B118" s="6" t="inlineStr">
        <is>
          <t>T-089</t>
        </is>
      </c>
      <c r="C118" s="7" t="inlineStr">
        <is>
          <t>Modelar la funcionalidad de HU-23 con el diagrama UML de secuencia del cálculo del avance</t>
        </is>
      </c>
      <c r="D118" s="6" t="inlineStr">
        <is>
          <t>Modelado UML</t>
        </is>
      </c>
      <c r="E118" s="6" t="inlineStr">
        <is>
          <t>Fernando</t>
        </is>
      </c>
      <c r="F118" s="6" t="n">
        <v>1</v>
      </c>
      <c r="G118" s="6" t="inlineStr">
        <is>
          <t>To Do</t>
        </is>
      </c>
      <c r="H118" s="6" t="inlineStr">
        <is>
          <t>24/10</t>
        </is>
      </c>
      <c r="I118" s="6" t="inlineStr">
        <is>
          <t>T-088</t>
        </is>
      </c>
      <c r="J118" s="6" t="n"/>
      <c r="K118" s="7" t="n"/>
    </row>
    <row r="119" ht="30" customHeight="1">
      <c r="B119" s="6" t="inlineStr">
        <is>
          <t>T-090</t>
        </is>
      </c>
      <c r="C119" s="7" t="inlineStr">
        <is>
          <t>Implementar las tablas asociadas a HU-23: vista de avance sobre requerimiento, compra_detalle y movimiento</t>
        </is>
      </c>
      <c r="D119" s="6" t="inlineStr">
        <is>
          <t>Base de datos</t>
        </is>
      </c>
      <c r="E119" s="6" t="inlineStr">
        <is>
          <t>Adiel</t>
        </is>
      </c>
      <c r="F119" s="6" t="n">
        <v>1</v>
      </c>
      <c r="G119" s="6" t="inlineStr">
        <is>
          <t>To Do</t>
        </is>
      </c>
      <c r="H119" s="6" t="inlineStr">
        <is>
          <t>24/10</t>
        </is>
      </c>
      <c r="I119" s="6" t="inlineStr">
        <is>
          <t>T-089</t>
        </is>
      </c>
      <c r="J119" s="6" t="n"/>
      <c r="K119" s="7" t="n"/>
    </row>
    <row r="120" ht="30" customHeight="1">
      <c r="B120" s="6" t="inlineStr">
        <is>
          <t>T-091</t>
        </is>
      </c>
      <c r="C120" s="7" t="inlineStr">
        <is>
          <t>Programar el back-end de HU-23 (entidad, repositorio, servicio y controlador): la consulta de avance: requerido, comprado, recibido y consumido por insumo</t>
        </is>
      </c>
      <c r="D120" s="6" t="inlineStr">
        <is>
          <t>Backend</t>
        </is>
      </c>
      <c r="E120" s="6" t="inlineStr">
        <is>
          <t>Adiel</t>
        </is>
      </c>
      <c r="F120" s="6" t="n">
        <v>3</v>
      </c>
      <c r="G120" s="6" t="inlineStr">
        <is>
          <t>To Do</t>
        </is>
      </c>
      <c r="H120" s="6" t="inlineStr">
        <is>
          <t>25/10</t>
        </is>
      </c>
      <c r="I120" s="6" t="inlineStr">
        <is>
          <t>T-090</t>
        </is>
      </c>
      <c r="J120" s="6" t="n"/>
      <c r="K120" s="7" t="n"/>
    </row>
    <row r="121" ht="30" customHeight="1">
      <c r="B121" s="6" t="inlineStr">
        <is>
          <t>T-092</t>
        </is>
      </c>
      <c r="C121" s="7" t="inlineStr">
        <is>
          <t>Programar la pantalla web de avance de compra y consumo</t>
        </is>
      </c>
      <c r="D121" s="6" t="inlineStr">
        <is>
          <t>Front-end web</t>
        </is>
      </c>
      <c r="E121" s="6" t="inlineStr">
        <is>
          <t>Fernando</t>
        </is>
      </c>
      <c r="F121" s="6" t="n">
        <v>3</v>
      </c>
      <c r="G121" s="6" t="inlineStr">
        <is>
          <t>Done</t>
        </is>
      </c>
      <c r="H121" s="6" t="inlineStr">
        <is>
          <t>26/10</t>
        </is>
      </c>
      <c r="I121" s="6" t="n"/>
      <c r="J121" s="6" t="n"/>
      <c r="K121" s="7" t="inlineStr">
        <is>
          <t>pantalla hecha con datos simulados; falta conectarla a la API real</t>
        </is>
      </c>
    </row>
    <row r="122" ht="30" customHeight="1">
      <c r="B122" s="6" t="inlineStr">
        <is>
          <t>T-093</t>
        </is>
      </c>
      <c r="C122" s="7" t="inlineStr">
        <is>
          <t>Conectar la pantalla de avance con la API real</t>
        </is>
      </c>
      <c r="D122" s="6" t="inlineStr">
        <is>
          <t>Conexión API</t>
        </is>
      </c>
      <c r="E122" s="6" t="inlineStr">
        <is>
          <t>Fernando</t>
        </is>
      </c>
      <c r="F122" s="6" t="n">
        <v>3</v>
      </c>
      <c r="G122" s="6" t="inlineStr">
        <is>
          <t>To Do</t>
        </is>
      </c>
      <c r="H122" s="6" t="inlineStr">
        <is>
          <t>26/10</t>
        </is>
      </c>
      <c r="I122" s="6" t="inlineStr">
        <is>
          <t>T-091, T-092, T-234</t>
        </is>
      </c>
      <c r="J122" s="6" t="n"/>
      <c r="K122" s="7" t="n"/>
    </row>
    <row r="123" ht="30" customHeight="1">
      <c r="B123" s="6" t="inlineStr">
        <is>
          <t>T-094</t>
        </is>
      </c>
      <c r="C123" s="7" t="inlineStr">
        <is>
          <t>Probar la funcionalidad de HU-23 (la API con Postman y la pantalla web) contra cada condición final y aprobar su PR</t>
        </is>
      </c>
      <c r="D123" s="6" t="inlineStr">
        <is>
          <t>Pruebas</t>
        </is>
      </c>
      <c r="E123" s="6" t="inlineStr">
        <is>
          <t>Henry</t>
        </is>
      </c>
      <c r="F123" s="6" t="n">
        <v>1</v>
      </c>
      <c r="G123" s="6" t="inlineStr">
        <is>
          <t>To Do</t>
        </is>
      </c>
      <c r="H123" s="6" t="inlineStr">
        <is>
          <t>27/10</t>
        </is>
      </c>
      <c r="I123" s="6" t="inlineStr">
        <is>
          <t>T-090, T-091, T-092, T-093, T-233</t>
        </is>
      </c>
      <c r="J123" s="6" t="n"/>
      <c r="K123" s="7" t="inlineStr">
        <is>
          <t>alguien distinto del autor (T1, T5, T8)</t>
        </is>
      </c>
    </row>
    <row r="124" ht="30" customHeight="1">
      <c r="B124" s="8" t="inlineStr">
        <is>
          <t>T-095</t>
        </is>
      </c>
      <c r="C124" s="9" t="inlineStr">
        <is>
          <t>Aceptar HU-23 como Product Owner desde la interfaz y moverla a Done</t>
        </is>
      </c>
      <c r="D124" s="8" t="inlineStr">
        <is>
          <t>Aceptación</t>
        </is>
      </c>
      <c r="E124" s="8" t="inlineStr">
        <is>
          <t>Adiel</t>
        </is>
      </c>
      <c r="F124" s="8" t="n">
        <v>0.5</v>
      </c>
      <c r="G124" s="8" t="inlineStr">
        <is>
          <t>To Do</t>
        </is>
      </c>
      <c r="H124" s="8" t="inlineStr">
        <is>
          <t>27/10</t>
        </is>
      </c>
      <c r="I124" s="8" t="inlineStr">
        <is>
          <t>T-094</t>
        </is>
      </c>
      <c r="J124" s="8" t="n"/>
      <c r="K124" s="9" t="inlineStr">
        <is>
          <t>mueve la HU a Done</t>
        </is>
      </c>
    </row>
    <row r="125">
      <c r="B125" s="4" t="inlineStr">
        <is>
          <t>HU-24 · Consultar cuánto falta comprar   3 pts</t>
        </is>
      </c>
    </row>
    <row r="126" ht="18" customHeight="1">
      <c r="B126" s="5" t="inlineStr">
        <is>
          <t>Como residente de obra, quiero consultar cuánto falta comprar de cada insumo, para formular el siguiente requerimiento sobre una base cierta.</t>
        </is>
      </c>
    </row>
    <row r="127" ht="30" customHeight="1">
      <c r="B127" s="6" t="inlineStr">
        <is>
          <t>T-096</t>
        </is>
      </c>
      <c r="C127" s="7" t="inlineStr">
        <is>
          <t>Diseñar la interfaz de usuario de HU-24: pantalla 8 · Reposición</t>
        </is>
      </c>
      <c r="D127" s="6" t="inlineStr">
        <is>
          <t>Diseño UI</t>
        </is>
      </c>
      <c r="E127" s="6" t="inlineStr">
        <is>
          <t>Fernando</t>
        </is>
      </c>
      <c r="F127" s="6" t="n">
        <v>1</v>
      </c>
      <c r="G127" s="6" t="inlineStr">
        <is>
          <t>Done</t>
        </is>
      </c>
      <c r="H127" s="6" t="inlineStr">
        <is>
          <t>23/10</t>
        </is>
      </c>
      <c r="I127" s="6" t="n"/>
      <c r="J127" s="6" t="n"/>
      <c r="K127" s="7" t="inlineStr">
        <is>
          <t>mockup en el lienzo «SIGRO · Pantallas y diagramas del Sprint 1», WCAG AA</t>
        </is>
      </c>
    </row>
    <row r="128" ht="30" customHeight="1">
      <c r="B128" s="6" t="inlineStr">
        <is>
          <t>T-097</t>
        </is>
      </c>
      <c r="C128" s="7" t="inlineStr">
        <is>
          <t>Modelar la funcionalidad de HU-24 con el diagrama UML de secuencia de la consulta de lo que falta comprar</t>
        </is>
      </c>
      <c r="D128" s="6" t="inlineStr">
        <is>
          <t>Modelado UML</t>
        </is>
      </c>
      <c r="E128" s="6" t="inlineStr">
        <is>
          <t>Fernando</t>
        </is>
      </c>
      <c r="F128" s="6" t="n">
        <v>1</v>
      </c>
      <c r="G128" s="6" t="inlineStr">
        <is>
          <t>To Do</t>
        </is>
      </c>
      <c r="H128" s="6" t="inlineStr">
        <is>
          <t>24/10</t>
        </is>
      </c>
      <c r="I128" s="6" t="inlineStr">
        <is>
          <t>T-096</t>
        </is>
      </c>
      <c r="J128" s="6" t="n"/>
      <c r="K128" s="7" t="n"/>
    </row>
    <row r="129" ht="30" customHeight="1">
      <c r="B129" s="6" t="inlineStr">
        <is>
          <t>T-098</t>
        </is>
      </c>
      <c r="C129" s="7" t="inlineStr">
        <is>
          <t>Implementar las tablas asociadas a HU-24: vista de saldo por comprar (requerido − comprado)</t>
        </is>
      </c>
      <c r="D129" s="6" t="inlineStr">
        <is>
          <t>Base de datos</t>
        </is>
      </c>
      <c r="E129" s="6" t="inlineStr">
        <is>
          <t>Adiel</t>
        </is>
      </c>
      <c r="F129" s="6" t="n">
        <v>1</v>
      </c>
      <c r="G129" s="6" t="inlineStr">
        <is>
          <t>To Do</t>
        </is>
      </c>
      <c r="H129" s="6" t="inlineStr">
        <is>
          <t>24/10</t>
        </is>
      </c>
      <c r="I129" s="6" t="inlineStr">
        <is>
          <t>T-097</t>
        </is>
      </c>
      <c r="J129" s="6" t="n"/>
      <c r="K129" s="7" t="n"/>
    </row>
    <row r="130" ht="30" customHeight="1">
      <c r="B130" s="6" t="inlineStr">
        <is>
          <t>T-099</t>
        </is>
      </c>
      <c r="C130" s="7" t="inlineStr">
        <is>
          <t>Programar el back-end de HU-24 (entidad, repositorio, servicio y controlador): la consulta de lo que falta comprar por insumo</t>
        </is>
      </c>
      <c r="D130" s="6" t="inlineStr">
        <is>
          <t>Backend</t>
        </is>
      </c>
      <c r="E130" s="6" t="inlineStr">
        <is>
          <t>Adiel</t>
        </is>
      </c>
      <c r="F130" s="6" t="n">
        <v>2</v>
      </c>
      <c r="G130" s="6" t="inlineStr">
        <is>
          <t>To Do</t>
        </is>
      </c>
      <c r="H130" s="6" t="inlineStr">
        <is>
          <t>25/10</t>
        </is>
      </c>
      <c r="I130" s="6" t="inlineStr">
        <is>
          <t>T-098</t>
        </is>
      </c>
      <c r="J130" s="6" t="n"/>
      <c r="K130" s="7" t="n"/>
    </row>
    <row r="131" ht="30" customHeight="1">
      <c r="B131" s="6" t="inlineStr">
        <is>
          <t>T-100</t>
        </is>
      </c>
      <c r="C131" s="7" t="inlineStr">
        <is>
          <t>Programar la pantalla web «Saldo por comprar» con filtros y exportación CSV</t>
        </is>
      </c>
      <c r="D131" s="6" t="inlineStr">
        <is>
          <t>Front-end web</t>
        </is>
      </c>
      <c r="E131" s="6" t="inlineStr">
        <is>
          <t>Fernando</t>
        </is>
      </c>
      <c r="F131" s="6" t="n">
        <v>2</v>
      </c>
      <c r="G131" s="6" t="inlineStr">
        <is>
          <t>Done</t>
        </is>
      </c>
      <c r="H131" s="6" t="inlineStr">
        <is>
          <t>26/10</t>
        </is>
      </c>
      <c r="I131" s="6" t="n"/>
      <c r="J131" s="6" t="n"/>
      <c r="K131" s="7" t="inlineStr">
        <is>
          <t>pantalla hecha con datos simulados; falta conectarla a la API real</t>
        </is>
      </c>
    </row>
    <row r="132" ht="30" customHeight="1">
      <c r="B132" s="6" t="inlineStr">
        <is>
          <t>T-101</t>
        </is>
      </c>
      <c r="C132" s="7" t="inlineStr">
        <is>
          <t>Conectar la pantalla de saldo por comprar con la API real</t>
        </is>
      </c>
      <c r="D132" s="6" t="inlineStr">
        <is>
          <t>Conexión API</t>
        </is>
      </c>
      <c r="E132" s="6" t="inlineStr">
        <is>
          <t>Fernando</t>
        </is>
      </c>
      <c r="F132" s="6" t="n">
        <v>2</v>
      </c>
      <c r="G132" s="6" t="inlineStr">
        <is>
          <t>To Do</t>
        </is>
      </c>
      <c r="H132" s="6" t="inlineStr">
        <is>
          <t>26/10</t>
        </is>
      </c>
      <c r="I132" s="6" t="inlineStr">
        <is>
          <t>T-099, T-100, T-234</t>
        </is>
      </c>
      <c r="J132" s="6" t="n"/>
      <c r="K132" s="7" t="n"/>
    </row>
    <row r="133" ht="30" customHeight="1">
      <c r="B133" s="6" t="inlineStr">
        <is>
          <t>T-102</t>
        </is>
      </c>
      <c r="C133" s="7" t="inlineStr">
        <is>
          <t>Probar la funcionalidad de HU-24 (la API con Postman y la pantalla web) contra cada condición final y aprobar su PR</t>
        </is>
      </c>
      <c r="D133" s="6" t="inlineStr">
        <is>
          <t>Pruebas</t>
        </is>
      </c>
      <c r="E133" s="6" t="inlineStr">
        <is>
          <t>Henry</t>
        </is>
      </c>
      <c r="F133" s="6" t="n">
        <v>1</v>
      </c>
      <c r="G133" s="6" t="inlineStr">
        <is>
          <t>To Do</t>
        </is>
      </c>
      <c r="H133" s="6" t="inlineStr">
        <is>
          <t>27/10</t>
        </is>
      </c>
      <c r="I133" s="6" t="inlineStr">
        <is>
          <t>T-098, T-099, T-100, T-101, T-233</t>
        </is>
      </c>
      <c r="J133" s="6" t="n"/>
      <c r="K133" s="7" t="inlineStr">
        <is>
          <t>alguien distinto del autor (T1, T5, T8)</t>
        </is>
      </c>
    </row>
    <row r="134" ht="30" customHeight="1">
      <c r="B134" s="8" t="inlineStr">
        <is>
          <t>T-103</t>
        </is>
      </c>
      <c r="C134" s="9" t="inlineStr">
        <is>
          <t>Aceptar HU-24 como Product Owner desde la interfaz y moverla a Done</t>
        </is>
      </c>
      <c r="D134" s="8" t="inlineStr">
        <is>
          <t>Aceptación</t>
        </is>
      </c>
      <c r="E134" s="8" t="inlineStr">
        <is>
          <t>Adiel</t>
        </is>
      </c>
      <c r="F134" s="8" t="n">
        <v>0.5</v>
      </c>
      <c r="G134" s="8" t="inlineStr">
        <is>
          <t>To Do</t>
        </is>
      </c>
      <c r="H134" s="8" t="inlineStr">
        <is>
          <t>27/10</t>
        </is>
      </c>
      <c r="I134" s="8" t="inlineStr">
        <is>
          <t>T-102</t>
        </is>
      </c>
      <c r="J134" s="8" t="n"/>
      <c r="K134" s="9" t="inlineStr">
        <is>
          <t>mueve la HU a Done</t>
        </is>
      </c>
    </row>
    <row r="135">
      <c r="B135" s="4" t="inlineStr">
        <is>
          <t>HU-25 · Definir punto de reposición   5 pts</t>
        </is>
      </c>
    </row>
    <row r="136" ht="18" customHeight="1">
      <c r="B136" s="5" t="inlineStr">
        <is>
          <t>Como residente de obra, quiero definir para cada insumo su stock de seguridad y su punto de reposición, para saber cuándo reponer y con cuánto colchón frente a la demora del proveedor.</t>
        </is>
      </c>
    </row>
    <row r="137" ht="30" customHeight="1">
      <c r="B137" s="6" t="inlineStr">
        <is>
          <t>T-104</t>
        </is>
      </c>
      <c r="C137" s="7" t="inlineStr">
        <is>
          <t>Diseñar la interfaz de usuario de HU-25: pantalla 17 · Parámetros de reposición</t>
        </is>
      </c>
      <c r="D137" s="6" t="inlineStr">
        <is>
          <t>Diseño UI</t>
        </is>
      </c>
      <c r="E137" s="6" t="inlineStr">
        <is>
          <t>Fernando</t>
        </is>
      </c>
      <c r="F137" s="6" t="n">
        <v>1</v>
      </c>
      <c r="G137" s="6" t="inlineStr">
        <is>
          <t>Done</t>
        </is>
      </c>
      <c r="H137" s="6" t="inlineStr">
        <is>
          <t>23/10</t>
        </is>
      </c>
      <c r="I137" s="6" t="n"/>
      <c r="J137" s="6" t="n"/>
      <c r="K137" s="7" t="inlineStr">
        <is>
          <t>mockup en el lienzo «SIGRO · Pantallas y diagramas del Sprint 1», WCAG AA</t>
        </is>
      </c>
    </row>
    <row r="138" ht="30" customHeight="1">
      <c r="B138" s="6" t="inlineStr">
        <is>
          <t>T-105</t>
        </is>
      </c>
      <c r="C138" s="7" t="inlineStr">
        <is>
          <t>Modelar la funcionalidad de HU-25 con el diagrama UML de clases de los parámetros de reposición</t>
        </is>
      </c>
      <c r="D138" s="6" t="inlineStr">
        <is>
          <t>Modelado UML</t>
        </is>
      </c>
      <c r="E138" s="6" t="inlineStr">
        <is>
          <t>Fernando</t>
        </is>
      </c>
      <c r="F138" s="6" t="n">
        <v>1</v>
      </c>
      <c r="G138" s="6" t="inlineStr">
        <is>
          <t>To Do</t>
        </is>
      </c>
      <c r="H138" s="6" t="inlineStr">
        <is>
          <t>24/10</t>
        </is>
      </c>
      <c r="I138" s="6" t="inlineStr">
        <is>
          <t>T-104</t>
        </is>
      </c>
      <c r="J138" s="6" t="n"/>
      <c r="K138" s="7" t="n"/>
    </row>
    <row r="139" ht="30" customHeight="1">
      <c r="B139" s="6" t="inlineStr">
        <is>
          <t>T-106</t>
        </is>
      </c>
      <c r="C139" s="7" t="inlineStr">
        <is>
          <t>Implementar las tablas asociadas a HU-25: parametro_reposicion (con vigencias, nunca se pisa)</t>
        </is>
      </c>
      <c r="D139" s="6" t="inlineStr">
        <is>
          <t>Base de datos</t>
        </is>
      </c>
      <c r="E139" s="6" t="inlineStr">
        <is>
          <t>Adiel</t>
        </is>
      </c>
      <c r="F139" s="6" t="n">
        <v>1</v>
      </c>
      <c r="G139" s="6" t="inlineStr">
        <is>
          <t>To Do</t>
        </is>
      </c>
      <c r="H139" s="6" t="inlineStr">
        <is>
          <t>24/10</t>
        </is>
      </c>
      <c r="I139" s="6" t="inlineStr">
        <is>
          <t>T-105</t>
        </is>
      </c>
      <c r="J139" s="6" t="n"/>
      <c r="K139" s="7" t="n"/>
    </row>
    <row r="140" ht="30" customHeight="1">
      <c r="B140" s="6" t="inlineStr">
        <is>
          <t>T-107</t>
        </is>
      </c>
      <c r="C140" s="7" t="inlineStr">
        <is>
          <t>Programar el back-end de HU-25 (entidad, repositorio, servicio y controlador): el registro del stock de seguridad y del punto de reposición, con histórico</t>
        </is>
      </c>
      <c r="D140" s="6" t="inlineStr">
        <is>
          <t>Backend</t>
        </is>
      </c>
      <c r="E140" s="6" t="inlineStr">
        <is>
          <t>Adiel</t>
        </is>
      </c>
      <c r="F140" s="6" t="n">
        <v>4</v>
      </c>
      <c r="G140" s="6" t="inlineStr">
        <is>
          <t>To Do</t>
        </is>
      </c>
      <c r="H140" s="6" t="inlineStr">
        <is>
          <t>25/10</t>
        </is>
      </c>
      <c r="I140" s="6" t="inlineStr">
        <is>
          <t>T-106</t>
        </is>
      </c>
      <c r="J140" s="6" t="n"/>
      <c r="K140" s="7" t="n"/>
    </row>
    <row r="141" ht="30" customHeight="1">
      <c r="B141" s="6" t="inlineStr">
        <is>
          <t>T-108</t>
        </is>
      </c>
      <c r="C141" s="7" t="inlineStr">
        <is>
          <t>Programar el formulario web de parámetros de reposición</t>
        </is>
      </c>
      <c r="D141" s="6" t="inlineStr">
        <is>
          <t>Front-end web</t>
        </is>
      </c>
      <c r="E141" s="6" t="inlineStr">
        <is>
          <t>Fernando</t>
        </is>
      </c>
      <c r="F141" s="6" t="n">
        <v>4</v>
      </c>
      <c r="G141" s="6" t="inlineStr">
        <is>
          <t>To Do</t>
        </is>
      </c>
      <c r="H141" s="6" t="inlineStr">
        <is>
          <t>26/10</t>
        </is>
      </c>
      <c r="I141" s="6" t="inlineStr">
        <is>
          <t>T-104</t>
        </is>
      </c>
      <c r="J141" s="6" t="n"/>
      <c r="K141" s="7" t="n"/>
    </row>
    <row r="142" ht="30" customHeight="1">
      <c r="B142" s="6" t="inlineStr">
        <is>
          <t>T-109</t>
        </is>
      </c>
      <c r="C142" s="7" t="inlineStr">
        <is>
          <t>Probar la funcionalidad de HU-25 (la API con Postman y la pantalla web) contra cada condición final y aprobar su PR</t>
        </is>
      </c>
      <c r="D142" s="6" t="inlineStr">
        <is>
          <t>Pruebas</t>
        </is>
      </c>
      <c r="E142" s="6" t="inlineStr">
        <is>
          <t>Henry</t>
        </is>
      </c>
      <c r="F142" s="6" t="n">
        <v>1</v>
      </c>
      <c r="G142" s="6" t="inlineStr">
        <is>
          <t>To Do</t>
        </is>
      </c>
      <c r="H142" s="6" t="inlineStr">
        <is>
          <t>27/10</t>
        </is>
      </c>
      <c r="I142" s="6" t="inlineStr">
        <is>
          <t>T-106, T-107, T-108, T-233</t>
        </is>
      </c>
      <c r="J142" s="6" t="n"/>
      <c r="K142" s="7" t="inlineStr">
        <is>
          <t>alguien distinto del autor (T1, T5, T8)</t>
        </is>
      </c>
    </row>
    <row r="143" ht="30" customHeight="1">
      <c r="B143" s="8" t="inlineStr">
        <is>
          <t>T-110</t>
        </is>
      </c>
      <c r="C143" s="9" t="inlineStr">
        <is>
          <t>Aceptar HU-25 como Product Owner desde la interfaz y moverla a Done</t>
        </is>
      </c>
      <c r="D143" s="8" t="inlineStr">
        <is>
          <t>Aceptación</t>
        </is>
      </c>
      <c r="E143" s="8" t="inlineStr">
        <is>
          <t>Adiel</t>
        </is>
      </c>
      <c r="F143" s="8" t="n">
        <v>0.5</v>
      </c>
      <c r="G143" s="8" t="inlineStr">
        <is>
          <t>To Do</t>
        </is>
      </c>
      <c r="H143" s="8" t="inlineStr">
        <is>
          <t>27/10</t>
        </is>
      </c>
      <c r="I143" s="8" t="inlineStr">
        <is>
          <t>T-109</t>
        </is>
      </c>
      <c r="J143" s="8" t="n"/>
      <c r="K143" s="9" t="inlineStr">
        <is>
          <t>mueve la HU a Done</t>
        </is>
      </c>
    </row>
    <row r="144">
      <c r="B144" s="4" t="inlineStr">
        <is>
          <t>HU-26 · Avisar cuándo reponer   5 pts</t>
        </is>
      </c>
    </row>
    <row r="145" ht="18" customHeight="1">
      <c r="B145" s="5" t="inlineStr">
        <is>
          <t>Como residente de obra, quiero recibir un aviso cuando un insumo baje de su punto de reposición, para reponer antes de que la obra se detenga.</t>
        </is>
      </c>
    </row>
    <row r="146" ht="30" customHeight="1">
      <c r="B146" s="6" t="inlineStr">
        <is>
          <t>T-111</t>
        </is>
      </c>
      <c r="C146" s="7" t="inlineStr">
        <is>
          <t>Diseñar la interfaz de usuario de HU-26: pantalla 8 · Reposición y 5 · Consultar stock</t>
        </is>
      </c>
      <c r="D146" s="6" t="inlineStr">
        <is>
          <t>Diseño UI</t>
        </is>
      </c>
      <c r="E146" s="6" t="inlineStr">
        <is>
          <t>Fernando</t>
        </is>
      </c>
      <c r="F146" s="6" t="n">
        <v>1</v>
      </c>
      <c r="G146" s="6" t="inlineStr">
        <is>
          <t>Done</t>
        </is>
      </c>
      <c r="H146" s="6" t="inlineStr">
        <is>
          <t>23/10</t>
        </is>
      </c>
      <c r="I146" s="6" t="n"/>
      <c r="J146" s="6" t="n"/>
      <c r="K146" s="7" t="inlineStr">
        <is>
          <t>mockup en el lienzo «SIGRO · Pantallas y diagramas del Sprint 1», WCAG AA</t>
        </is>
      </c>
    </row>
    <row r="147" ht="30" customHeight="1">
      <c r="B147" s="6" t="inlineStr">
        <is>
          <t>T-112</t>
        </is>
      </c>
      <c r="C147" s="7" t="inlineStr">
        <is>
          <t>Modelar la funcionalidad de HU-26 con el diagrama UML de secuencia de la alerta de reposición con Notificaciones</t>
        </is>
      </c>
      <c r="D147" s="6" t="inlineStr">
        <is>
          <t>Modelado UML</t>
        </is>
      </c>
      <c r="E147" s="6" t="inlineStr">
        <is>
          <t>Fernando</t>
        </is>
      </c>
      <c r="F147" s="6" t="n">
        <v>1</v>
      </c>
      <c r="G147" s="6" t="inlineStr">
        <is>
          <t>To Do</t>
        </is>
      </c>
      <c r="H147" s="6" t="inlineStr">
        <is>
          <t>24/10</t>
        </is>
      </c>
      <c r="I147" s="6" t="inlineStr">
        <is>
          <t>T-111</t>
        </is>
      </c>
      <c r="J147" s="6" t="n"/>
      <c r="K147" s="7" t="n"/>
    </row>
    <row r="148" ht="30" customHeight="1">
      <c r="B148" s="6" t="inlineStr">
        <is>
          <t>T-113</t>
        </is>
      </c>
      <c r="C148" s="7" t="inlineStr">
        <is>
          <t>Implementar las tablas asociadas a HU-26: alerta_reposicion y outbox de Notificaciones</t>
        </is>
      </c>
      <c r="D148" s="6" t="inlineStr">
        <is>
          <t>Base de datos</t>
        </is>
      </c>
      <c r="E148" s="6" t="inlineStr">
        <is>
          <t>Adiel</t>
        </is>
      </c>
      <c r="F148" s="6" t="n">
        <v>1</v>
      </c>
      <c r="G148" s="6" t="inlineStr">
        <is>
          <t>To Do</t>
        </is>
      </c>
      <c r="H148" s="6" t="inlineStr">
        <is>
          <t>24/10</t>
        </is>
      </c>
      <c r="I148" s="6" t="inlineStr">
        <is>
          <t>T-112</t>
        </is>
      </c>
      <c r="J148" s="6" t="n"/>
      <c r="K148" s="7" t="n"/>
    </row>
    <row r="149" ht="30" customHeight="1">
      <c r="B149" s="6" t="inlineStr">
        <is>
          <t>T-114</t>
        </is>
      </c>
      <c r="C149" s="7" t="inlineStr">
        <is>
          <t>Programar el back-end de HU-26 (entidad, repositorio, servicio y controlador): el motor de alertas: una por insumo y marcada como atendida al comprar</t>
        </is>
      </c>
      <c r="D149" s="6" t="inlineStr">
        <is>
          <t>Backend</t>
        </is>
      </c>
      <c r="E149" s="6" t="inlineStr">
        <is>
          <t>Adiel</t>
        </is>
      </c>
      <c r="F149" s="6" t="n">
        <v>2</v>
      </c>
      <c r="G149" s="6" t="inlineStr">
        <is>
          <t>To Do</t>
        </is>
      </c>
      <c r="H149" s="6" t="inlineStr">
        <is>
          <t>25/10</t>
        </is>
      </c>
      <c r="I149" s="6" t="inlineStr">
        <is>
          <t>T-113</t>
        </is>
      </c>
      <c r="J149" s="6" t="n"/>
      <c r="K149" s="7" t="n"/>
    </row>
    <row r="150" ht="30" customHeight="1">
      <c r="B150" s="6" t="inlineStr">
        <is>
          <t>T-115</t>
        </is>
      </c>
      <c r="C150" s="7" t="inlineStr">
        <is>
          <t>Publicar la alerta en el microservicio de Notificaciones (outbox) para avisar al residente</t>
        </is>
      </c>
      <c r="D150" s="6" t="inlineStr">
        <is>
          <t>Integración</t>
        </is>
      </c>
      <c r="E150" s="6" t="inlineStr">
        <is>
          <t>Adiel</t>
        </is>
      </c>
      <c r="F150" s="6" t="n">
        <v>2</v>
      </c>
      <c r="G150" s="6" t="inlineStr">
        <is>
          <t>To Do</t>
        </is>
      </c>
      <c r="H150" s="6" t="inlineStr">
        <is>
          <t>25/10</t>
        </is>
      </c>
      <c r="I150" s="6" t="inlineStr">
        <is>
          <t>T-112</t>
        </is>
      </c>
      <c r="J150" s="6" t="n"/>
      <c r="K150" s="7" t="n"/>
    </row>
    <row r="151" ht="30" customHeight="1">
      <c r="B151" s="6" t="inlineStr">
        <is>
          <t>T-116</t>
        </is>
      </c>
      <c r="C151" s="7" t="inlineStr">
        <is>
          <t>Programar las alertas de reposición en la web</t>
        </is>
      </c>
      <c r="D151" s="6" t="inlineStr">
        <is>
          <t>Front-end web</t>
        </is>
      </c>
      <c r="E151" s="6" t="inlineStr">
        <is>
          <t>Fernando</t>
        </is>
      </c>
      <c r="F151" s="6" t="n">
        <v>2</v>
      </c>
      <c r="G151" s="6" t="inlineStr">
        <is>
          <t>Done</t>
        </is>
      </c>
      <c r="H151" s="6" t="inlineStr">
        <is>
          <t>26/10</t>
        </is>
      </c>
      <c r="I151" s="6" t="n"/>
      <c r="J151" s="6" t="n"/>
      <c r="K151" s="7" t="inlineStr">
        <is>
          <t>pantalla hecha con datos simulados; falta conectarla a la API real</t>
        </is>
      </c>
    </row>
    <row r="152" ht="30" customHeight="1">
      <c r="B152" s="6" t="inlineStr">
        <is>
          <t>T-117</t>
        </is>
      </c>
      <c r="C152" s="7" t="inlineStr">
        <is>
          <t>Conectar las alertas con la API real</t>
        </is>
      </c>
      <c r="D152" s="6" t="inlineStr">
        <is>
          <t>Conexión API</t>
        </is>
      </c>
      <c r="E152" s="6" t="inlineStr">
        <is>
          <t>Fernando</t>
        </is>
      </c>
      <c r="F152" s="6" t="n">
        <v>2</v>
      </c>
      <c r="G152" s="6" t="inlineStr">
        <is>
          <t>To Do</t>
        </is>
      </c>
      <c r="H152" s="6" t="inlineStr">
        <is>
          <t>26/10</t>
        </is>
      </c>
      <c r="I152" s="6" t="inlineStr">
        <is>
          <t>T-114, T-116, T-234</t>
        </is>
      </c>
      <c r="J152" s="6" t="n"/>
      <c r="K152" s="7" t="n"/>
    </row>
    <row r="153" ht="30" customHeight="1">
      <c r="B153" s="6" t="inlineStr">
        <is>
          <t>T-118</t>
        </is>
      </c>
      <c r="C153" s="7" t="inlineStr">
        <is>
          <t>Probar la funcionalidad de HU-26 (la API con Postman y la pantalla web) contra cada condición final y aprobar su PR</t>
        </is>
      </c>
      <c r="D153" s="6" t="inlineStr">
        <is>
          <t>Pruebas</t>
        </is>
      </c>
      <c r="E153" s="6" t="inlineStr">
        <is>
          <t>Henry</t>
        </is>
      </c>
      <c r="F153" s="6" t="n">
        <v>1</v>
      </c>
      <c r="G153" s="6" t="inlineStr">
        <is>
          <t>To Do</t>
        </is>
      </c>
      <c r="H153" s="6" t="inlineStr">
        <is>
          <t>27/10</t>
        </is>
      </c>
      <c r="I153" s="6" t="inlineStr">
        <is>
          <t>T-113, T-114, T-115, T-116, T-117, T-233</t>
        </is>
      </c>
      <c r="J153" s="6" t="n"/>
      <c r="K153" s="7" t="inlineStr">
        <is>
          <t>alguien distinto del autor (T1, T5, T8)</t>
        </is>
      </c>
    </row>
    <row r="154" ht="30" customHeight="1">
      <c r="B154" s="8" t="inlineStr">
        <is>
          <t>T-119</t>
        </is>
      </c>
      <c r="C154" s="9" t="inlineStr">
        <is>
          <t>Aceptar HU-26 como Product Owner desde la interfaz y moverla a Done</t>
        </is>
      </c>
      <c r="D154" s="8" t="inlineStr">
        <is>
          <t>Aceptación</t>
        </is>
      </c>
      <c r="E154" s="8" t="inlineStr">
        <is>
          <t>Adiel</t>
        </is>
      </c>
      <c r="F154" s="8" t="n">
        <v>0.5</v>
      </c>
      <c r="G154" s="8" t="inlineStr">
        <is>
          <t>To Do</t>
        </is>
      </c>
      <c r="H154" s="8" t="inlineStr">
        <is>
          <t>27/10</t>
        </is>
      </c>
      <c r="I154" s="8" t="inlineStr">
        <is>
          <t>T-118</t>
        </is>
      </c>
      <c r="J154" s="8" t="n"/>
      <c r="K154" s="9" t="inlineStr">
        <is>
          <t>mueve la HU a Done</t>
        </is>
      </c>
    </row>
    <row r="155">
      <c r="B155" s="4" t="inlineStr">
        <is>
          <t>HU-27 · Sugerir cuánto comprar   5 pts</t>
        </is>
      </c>
    </row>
    <row r="156" ht="18" customHeight="1">
      <c r="B156" s="5" t="inlineStr">
        <is>
          <t>Como residente de obra, quiero consultar cuánto conviene comprar de cada insumo, para tener una referencia para armar el pedido.</t>
        </is>
      </c>
    </row>
    <row r="157" ht="30" customHeight="1">
      <c r="B157" s="6" t="inlineStr">
        <is>
          <t>T-120</t>
        </is>
      </c>
      <c r="C157" s="7" t="inlineStr">
        <is>
          <t>Diseñar la interfaz de usuario de HU-27: pantalla 8 · Reposición</t>
        </is>
      </c>
      <c r="D157" s="6" t="inlineStr">
        <is>
          <t>Diseño UI</t>
        </is>
      </c>
      <c r="E157" s="6" t="inlineStr">
        <is>
          <t>Fernando</t>
        </is>
      </c>
      <c r="F157" s="6" t="n">
        <v>1</v>
      </c>
      <c r="G157" s="6" t="inlineStr">
        <is>
          <t>Done</t>
        </is>
      </c>
      <c r="H157" s="6" t="inlineStr">
        <is>
          <t>23/10</t>
        </is>
      </c>
      <c r="I157" s="6" t="n"/>
      <c r="J157" s="6" t="n"/>
      <c r="K157" s="7" t="inlineStr">
        <is>
          <t>mockup en el lienzo «SIGRO · Pantallas y diagramas del Sprint 1», WCAG AA</t>
        </is>
      </c>
    </row>
    <row r="158" ht="30" customHeight="1">
      <c r="B158" s="6" t="inlineStr">
        <is>
          <t>T-121</t>
        </is>
      </c>
      <c r="C158" s="7" t="inlineStr">
        <is>
          <t>Modelar la funcionalidad de HU-27 con el diagrama UML de actividades del cálculo de la sugerencia</t>
        </is>
      </c>
      <c r="D158" s="6" t="inlineStr">
        <is>
          <t>Modelado UML</t>
        </is>
      </c>
      <c r="E158" s="6" t="inlineStr">
        <is>
          <t>Fernando</t>
        </is>
      </c>
      <c r="F158" s="6" t="n">
        <v>1</v>
      </c>
      <c r="G158" s="6" t="inlineStr">
        <is>
          <t>To Do</t>
        </is>
      </c>
      <c r="H158" s="6" t="inlineStr">
        <is>
          <t>24/10</t>
        </is>
      </c>
      <c r="I158" s="6" t="inlineStr">
        <is>
          <t>T-120</t>
        </is>
      </c>
      <c r="J158" s="6" t="n"/>
      <c r="K158" s="7" t="n"/>
    </row>
    <row r="159" ht="30" customHeight="1">
      <c r="B159" s="6" t="inlineStr">
        <is>
          <t>T-122</t>
        </is>
      </c>
      <c r="C159" s="7" t="inlineStr">
        <is>
          <t>Implementar las tablas asociadas a HU-27: vista de sugerencia de compra</t>
        </is>
      </c>
      <c r="D159" s="6" t="inlineStr">
        <is>
          <t>Base de datos</t>
        </is>
      </c>
      <c r="E159" s="6" t="inlineStr">
        <is>
          <t>Adiel</t>
        </is>
      </c>
      <c r="F159" s="6" t="n">
        <v>1</v>
      </c>
      <c r="G159" s="6" t="inlineStr">
        <is>
          <t>To Do</t>
        </is>
      </c>
      <c r="H159" s="6" t="inlineStr">
        <is>
          <t>24/10</t>
        </is>
      </c>
      <c r="I159" s="6" t="inlineStr">
        <is>
          <t>T-121</t>
        </is>
      </c>
      <c r="J159" s="6" t="n"/>
      <c r="K159" s="7" t="n"/>
    </row>
    <row r="160" ht="30" customHeight="1">
      <c r="B160" s="6" t="inlineStr">
        <is>
          <t>T-123</t>
        </is>
      </c>
      <c r="C160" s="7" t="inlineStr">
        <is>
          <t>Programar el back-end de HU-27 (entidad, repositorio, servicio y controlador): el cálculo de la sugerencia de compra con su criterio</t>
        </is>
      </c>
      <c r="D160" s="6" t="inlineStr">
        <is>
          <t>Backend</t>
        </is>
      </c>
      <c r="E160" s="6" t="inlineStr">
        <is>
          <t>Adiel</t>
        </is>
      </c>
      <c r="F160" s="6" t="n">
        <v>3</v>
      </c>
      <c r="G160" s="6" t="inlineStr">
        <is>
          <t>To Do</t>
        </is>
      </c>
      <c r="H160" s="6" t="inlineStr">
        <is>
          <t>25/10</t>
        </is>
      </c>
      <c r="I160" s="6" t="inlineStr">
        <is>
          <t>T-122</t>
        </is>
      </c>
      <c r="J160" s="6" t="n"/>
      <c r="K160" s="7" t="n"/>
    </row>
    <row r="161" ht="30" customHeight="1">
      <c r="B161" s="6" t="inlineStr">
        <is>
          <t>T-124</t>
        </is>
      </c>
      <c r="C161" s="7" t="inlineStr">
        <is>
          <t>Programar la sugerencia editable dentro de la alerta</t>
        </is>
      </c>
      <c r="D161" s="6" t="inlineStr">
        <is>
          <t>Front-end web</t>
        </is>
      </c>
      <c r="E161" s="6" t="inlineStr">
        <is>
          <t>Fernando</t>
        </is>
      </c>
      <c r="F161" s="6" t="n">
        <v>3</v>
      </c>
      <c r="G161" s="6" t="inlineStr">
        <is>
          <t>Done</t>
        </is>
      </c>
      <c r="H161" s="6" t="inlineStr">
        <is>
          <t>26/10</t>
        </is>
      </c>
      <c r="I161" s="6" t="n"/>
      <c r="J161" s="6" t="n"/>
      <c r="K161" s="7" t="inlineStr">
        <is>
          <t>pantalla hecha con datos simulados; falta conectarla a la API real</t>
        </is>
      </c>
    </row>
    <row r="162" ht="30" customHeight="1">
      <c r="B162" s="6" t="inlineStr">
        <is>
          <t>T-125</t>
        </is>
      </c>
      <c r="C162" s="7" t="inlineStr">
        <is>
          <t>Conectar la sugerencia con la API real</t>
        </is>
      </c>
      <c r="D162" s="6" t="inlineStr">
        <is>
          <t>Conexión API</t>
        </is>
      </c>
      <c r="E162" s="6" t="inlineStr">
        <is>
          <t>Fernando</t>
        </is>
      </c>
      <c r="F162" s="6" t="n">
        <v>3</v>
      </c>
      <c r="G162" s="6" t="inlineStr">
        <is>
          <t>To Do</t>
        </is>
      </c>
      <c r="H162" s="6" t="inlineStr">
        <is>
          <t>26/10</t>
        </is>
      </c>
      <c r="I162" s="6" t="inlineStr">
        <is>
          <t>T-123, T-124, T-234</t>
        </is>
      </c>
      <c r="J162" s="6" t="n"/>
      <c r="K162" s="7" t="n"/>
    </row>
    <row r="163" ht="30" customHeight="1">
      <c r="B163" s="6" t="inlineStr">
        <is>
          <t>T-126</t>
        </is>
      </c>
      <c r="C163" s="7" t="inlineStr">
        <is>
          <t>Probar la funcionalidad de HU-27 (la API con Postman y la pantalla web) contra cada condición final y aprobar su PR</t>
        </is>
      </c>
      <c r="D163" s="6" t="inlineStr">
        <is>
          <t>Pruebas</t>
        </is>
      </c>
      <c r="E163" s="6" t="inlineStr">
        <is>
          <t>Henry</t>
        </is>
      </c>
      <c r="F163" s="6" t="n">
        <v>1</v>
      </c>
      <c r="G163" s="6" t="inlineStr">
        <is>
          <t>To Do</t>
        </is>
      </c>
      <c r="H163" s="6" t="inlineStr">
        <is>
          <t>27/10</t>
        </is>
      </c>
      <c r="I163" s="6" t="inlineStr">
        <is>
          <t>T-122, T-123, T-124, T-125, T-233</t>
        </is>
      </c>
      <c r="J163" s="6" t="n"/>
      <c r="K163" s="7" t="inlineStr">
        <is>
          <t>alguien distinto del autor (T1, T5, T8)</t>
        </is>
      </c>
    </row>
    <row r="164" ht="30" customHeight="1">
      <c r="B164" s="8" t="inlineStr">
        <is>
          <t>T-127</t>
        </is>
      </c>
      <c r="C164" s="9" t="inlineStr">
        <is>
          <t>Aceptar HU-27 como Product Owner desde la interfaz y moverla a Done</t>
        </is>
      </c>
      <c r="D164" s="8" t="inlineStr">
        <is>
          <t>Aceptación</t>
        </is>
      </c>
      <c r="E164" s="8" t="inlineStr">
        <is>
          <t>Adiel</t>
        </is>
      </c>
      <c r="F164" s="8" t="n">
        <v>0.5</v>
      </c>
      <c r="G164" s="8" t="inlineStr">
        <is>
          <t>To Do</t>
        </is>
      </c>
      <c r="H164" s="8" t="inlineStr">
        <is>
          <t>27/10</t>
        </is>
      </c>
      <c r="I164" s="8" t="inlineStr">
        <is>
          <t>T-126</t>
        </is>
      </c>
      <c r="J164" s="8" t="n"/>
      <c r="K164" s="9" t="inlineStr">
        <is>
          <t>mueve la HU a Done</t>
        </is>
      </c>
    </row>
    <row r="165">
      <c r="B165" s="4" t="inlineStr">
        <is>
          <t>HU-29 · Consultar proveedores   3 pts</t>
        </is>
      </c>
    </row>
    <row r="166" ht="18" customHeight="1">
      <c r="B166" s="5" t="inlineStr">
        <is>
          <t>Como residente de obra, quiero consultar la lista de proveedores, para elegir uno sin volver a escribir sus datos.</t>
        </is>
      </c>
    </row>
    <row r="167" ht="30" customHeight="1">
      <c r="B167" s="6" t="inlineStr">
        <is>
          <t>T-128</t>
        </is>
      </c>
      <c r="C167" s="7" t="inlineStr">
        <is>
          <t>Diseñar la interfaz de usuario de HU-29: pantalla 18 · Proveedores</t>
        </is>
      </c>
      <c r="D167" s="6" t="inlineStr">
        <is>
          <t>Diseño UI</t>
        </is>
      </c>
      <c r="E167" s="6" t="inlineStr">
        <is>
          <t>Fernando</t>
        </is>
      </c>
      <c r="F167" s="6" t="n">
        <v>1</v>
      </c>
      <c r="G167" s="6" t="inlineStr">
        <is>
          <t>Done</t>
        </is>
      </c>
      <c r="H167" s="6" t="inlineStr">
        <is>
          <t>23/10</t>
        </is>
      </c>
      <c r="I167" s="6" t="n"/>
      <c r="J167" s="6" t="n"/>
      <c r="K167" s="7" t="inlineStr">
        <is>
          <t>mockup en el lienzo «SIGRO · Pantallas y diagramas del Sprint 1», WCAG AA</t>
        </is>
      </c>
    </row>
    <row r="168" ht="30" customHeight="1">
      <c r="B168" s="6" t="inlineStr">
        <is>
          <t>T-129</t>
        </is>
      </c>
      <c r="C168" s="7" t="inlineStr">
        <is>
          <t>Modelar la funcionalidad de HU-29 con el diagrama UML de secuencia de la búsqueda de proveedores</t>
        </is>
      </c>
      <c r="D168" s="6" t="inlineStr">
        <is>
          <t>Modelado UML</t>
        </is>
      </c>
      <c r="E168" s="6" t="inlineStr">
        <is>
          <t>Henry</t>
        </is>
      </c>
      <c r="F168" s="6" t="n">
        <v>1</v>
      </c>
      <c r="G168" s="6" t="inlineStr">
        <is>
          <t>To Do</t>
        </is>
      </c>
      <c r="H168" s="6" t="inlineStr">
        <is>
          <t>24/10</t>
        </is>
      </c>
      <c r="I168" s="6" t="inlineStr">
        <is>
          <t>T-128</t>
        </is>
      </c>
      <c r="J168" s="6" t="n"/>
      <c r="K168" s="7" t="n"/>
    </row>
    <row r="169" ht="30" customHeight="1">
      <c r="B169" s="6" t="inlineStr">
        <is>
          <t>T-130</t>
        </is>
      </c>
      <c r="C169" s="7" t="inlineStr">
        <is>
          <t>Implementar las tablas asociadas a HU-29: proveedor (RUC o DNI único)</t>
        </is>
      </c>
      <c r="D169" s="6" t="inlineStr">
        <is>
          <t>Base de datos</t>
        </is>
      </c>
      <c r="E169" s="6" t="inlineStr">
        <is>
          <t>Adiel</t>
        </is>
      </c>
      <c r="F169" s="6" t="n">
        <v>1</v>
      </c>
      <c r="G169" s="6" t="inlineStr">
        <is>
          <t>Done</t>
        </is>
      </c>
      <c r="H169" s="6" t="inlineStr">
        <is>
          <t>24/10</t>
        </is>
      </c>
      <c r="I169" s="6" t="n"/>
      <c r="J169" s="6" t="n"/>
      <c r="K169" s="7" t="inlineStr">
        <is>
          <t>migraciones 0001–0006 de la API</t>
        </is>
      </c>
    </row>
    <row r="170" ht="30" customHeight="1">
      <c r="B170" s="6" t="inlineStr">
        <is>
          <t>T-131</t>
        </is>
      </c>
      <c r="C170" s="7" t="inlineStr">
        <is>
          <t>Programar el back-end de HU-29 (entidad, repositorio, servicio y controlador): la búsqueda de proveedores por razón social o RUC</t>
        </is>
      </c>
      <c r="D170" s="6" t="inlineStr">
        <is>
          <t>Backend</t>
        </is>
      </c>
      <c r="E170" s="6" t="inlineStr">
        <is>
          <t>Adiel</t>
        </is>
      </c>
      <c r="F170" s="6" t="n">
        <v>2</v>
      </c>
      <c r="G170" s="6" t="inlineStr">
        <is>
          <t>Done</t>
        </is>
      </c>
      <c r="H170" s="6" t="inlineStr">
        <is>
          <t>25/10</t>
        </is>
      </c>
      <c r="I170" s="6" t="n"/>
      <c r="J170" s="6" t="n"/>
      <c r="K170" s="7" t="inlineStr">
        <is>
          <t>hecho en la API de Adiel (PR #1 fusionado a main), con pruebas</t>
        </is>
      </c>
    </row>
    <row r="171" ht="30" customHeight="1">
      <c r="B171" s="6" t="inlineStr">
        <is>
          <t>T-132</t>
        </is>
      </c>
      <c r="C171" s="7" t="inlineStr">
        <is>
          <t>Programar la pantalla web de proveedores con los 626 reales</t>
        </is>
      </c>
      <c r="D171" s="6" t="inlineStr">
        <is>
          <t>Front-end web</t>
        </is>
      </c>
      <c r="E171" s="6" t="inlineStr">
        <is>
          <t>Fernando</t>
        </is>
      </c>
      <c r="F171" s="6" t="n">
        <v>2</v>
      </c>
      <c r="G171" s="6" t="inlineStr">
        <is>
          <t>Done</t>
        </is>
      </c>
      <c r="H171" s="6" t="inlineStr">
        <is>
          <t>26/10</t>
        </is>
      </c>
      <c r="I171" s="6" t="n"/>
      <c r="J171" s="6" t="n"/>
      <c r="K171" s="7" t="inlineStr">
        <is>
          <t>pantalla hecha con datos simulados; falta conectarla a la API real</t>
        </is>
      </c>
    </row>
    <row r="172" ht="30" customHeight="1">
      <c r="B172" s="6" t="inlineStr">
        <is>
          <t>T-133</t>
        </is>
      </c>
      <c r="C172" s="7" t="inlineStr">
        <is>
          <t>Conectar la pantalla de proveedores con la API real</t>
        </is>
      </c>
      <c r="D172" s="6" t="inlineStr">
        <is>
          <t>Conexión API</t>
        </is>
      </c>
      <c r="E172" s="6" t="inlineStr">
        <is>
          <t>Henry</t>
        </is>
      </c>
      <c r="F172" s="6" t="n">
        <v>2</v>
      </c>
      <c r="G172" s="6" t="inlineStr">
        <is>
          <t>To Do</t>
        </is>
      </c>
      <c r="H172" s="6" t="inlineStr">
        <is>
          <t>26/10</t>
        </is>
      </c>
      <c r="I172" s="6" t="inlineStr">
        <is>
          <t>T-131, T-132, T-234</t>
        </is>
      </c>
      <c r="J172" s="6" t="n"/>
      <c r="K172" s="7" t="n"/>
    </row>
    <row r="173" ht="30" customHeight="1">
      <c r="B173" s="6" t="inlineStr">
        <is>
          <t>T-134</t>
        </is>
      </c>
      <c r="C173" s="7" t="inlineStr">
        <is>
          <t>Probar la funcionalidad de HU-29 (la API con Postman y la pantalla web) contra cada condición final y aprobar su PR</t>
        </is>
      </c>
      <c r="D173" s="6" t="inlineStr">
        <is>
          <t>Pruebas</t>
        </is>
      </c>
      <c r="E173" s="6" t="inlineStr">
        <is>
          <t>Fernando</t>
        </is>
      </c>
      <c r="F173" s="6" t="n">
        <v>1</v>
      </c>
      <c r="G173" s="6" t="inlineStr">
        <is>
          <t>To Do</t>
        </is>
      </c>
      <c r="H173" s="6" t="inlineStr">
        <is>
          <t>27/10</t>
        </is>
      </c>
      <c r="I173" s="6" t="inlineStr">
        <is>
          <t>T-130, T-131, T-132, T-133, T-233</t>
        </is>
      </c>
      <c r="J173" s="6" t="n"/>
      <c r="K173" s="7" t="inlineStr">
        <is>
          <t>alguien distinto del autor (T1, T5, T8)</t>
        </is>
      </c>
    </row>
    <row r="174" ht="30" customHeight="1">
      <c r="B174" s="8" t="inlineStr">
        <is>
          <t>T-135</t>
        </is>
      </c>
      <c r="C174" s="9" t="inlineStr">
        <is>
          <t>Aceptar HU-29 como Product Owner desde la interfaz y moverla a Done</t>
        </is>
      </c>
      <c r="D174" s="8" t="inlineStr">
        <is>
          <t>Aceptación</t>
        </is>
      </c>
      <c r="E174" s="8" t="inlineStr">
        <is>
          <t>Adiel</t>
        </is>
      </c>
      <c r="F174" s="8" t="n">
        <v>0.5</v>
      </c>
      <c r="G174" s="8" t="inlineStr">
        <is>
          <t>To Do</t>
        </is>
      </c>
      <c r="H174" s="8" t="inlineStr">
        <is>
          <t>27/10</t>
        </is>
      </c>
      <c r="I174" s="8" t="inlineStr">
        <is>
          <t>T-134</t>
        </is>
      </c>
      <c r="J174" s="8" t="n"/>
      <c r="K174" s="9" t="inlineStr">
        <is>
          <t>mueve la HU a Done</t>
        </is>
      </c>
    </row>
    <row r="175">
      <c r="B175" s="4" t="inlineStr">
        <is>
          <t>HU-30 · Registrar proveedores   3 pts</t>
        </is>
      </c>
    </row>
    <row r="176" ht="18" customHeight="1">
      <c r="B176" s="5" t="inlineStr">
        <is>
          <t>Como residente de obra, quiero crear un proveedor desde el formulario de compra, para no interrumpir el registro cuando aún no existe.</t>
        </is>
      </c>
    </row>
    <row r="177" ht="30" customHeight="1">
      <c r="B177" s="6" t="inlineStr">
        <is>
          <t>T-136</t>
        </is>
      </c>
      <c r="C177" s="7" t="inlineStr">
        <is>
          <t>Diseñar la interfaz de usuario de HU-30: pantalla 12 · Registrar la compra</t>
        </is>
      </c>
      <c r="D177" s="6" t="inlineStr">
        <is>
          <t>Diseño UI</t>
        </is>
      </c>
      <c r="E177" s="6" t="inlineStr">
        <is>
          <t>Fernando</t>
        </is>
      </c>
      <c r="F177" s="6" t="n">
        <v>1</v>
      </c>
      <c r="G177" s="6" t="inlineStr">
        <is>
          <t>Done</t>
        </is>
      </c>
      <c r="H177" s="6" t="inlineStr">
        <is>
          <t>23/10</t>
        </is>
      </c>
      <c r="I177" s="6" t="n"/>
      <c r="J177" s="6" t="n"/>
      <c r="K177" s="7" t="inlineStr">
        <is>
          <t>mockup en el lienzo «SIGRO · Pantallas y diagramas del Sprint 1», WCAG AA</t>
        </is>
      </c>
    </row>
    <row r="178" ht="30" customHeight="1">
      <c r="B178" s="6" t="inlineStr">
        <is>
          <t>T-137</t>
        </is>
      </c>
      <c r="C178" s="7" t="inlineStr">
        <is>
          <t>Modelar la funcionalidad de HU-30 con el diagrama UML de secuencia del alta rápida de proveedor</t>
        </is>
      </c>
      <c r="D178" s="6" t="inlineStr">
        <is>
          <t>Modelado UML</t>
        </is>
      </c>
      <c r="E178" s="6" t="inlineStr">
        <is>
          <t>Henry</t>
        </is>
      </c>
      <c r="F178" s="6" t="n">
        <v>1</v>
      </c>
      <c r="G178" s="6" t="inlineStr">
        <is>
          <t>To Do</t>
        </is>
      </c>
      <c r="H178" s="6" t="inlineStr">
        <is>
          <t>24/10</t>
        </is>
      </c>
      <c r="I178" s="6" t="inlineStr">
        <is>
          <t>T-136</t>
        </is>
      </c>
      <c r="J178" s="6" t="n"/>
      <c r="K178" s="7" t="n"/>
    </row>
    <row r="179" ht="30" customHeight="1">
      <c r="B179" s="6" t="inlineStr">
        <is>
          <t>T-138</t>
        </is>
      </c>
      <c r="C179" s="7" t="inlineStr">
        <is>
          <t>Implementar las tablas asociadas a HU-30: proveedor</t>
        </is>
      </c>
      <c r="D179" s="6" t="inlineStr">
        <is>
          <t>Base de datos</t>
        </is>
      </c>
      <c r="E179" s="6" t="inlineStr">
        <is>
          <t>Adiel</t>
        </is>
      </c>
      <c r="F179" s="6" t="n">
        <v>1</v>
      </c>
      <c r="G179" s="6" t="inlineStr">
        <is>
          <t>Done</t>
        </is>
      </c>
      <c r="H179" s="6" t="inlineStr">
        <is>
          <t>24/10</t>
        </is>
      </c>
      <c r="I179" s="6" t="n"/>
      <c r="J179" s="6" t="n"/>
      <c r="K179" s="7" t="inlineStr">
        <is>
          <t>migraciones 0001–0006 de la API</t>
        </is>
      </c>
    </row>
    <row r="180" ht="30" customHeight="1">
      <c r="B180" s="6" t="inlineStr">
        <is>
          <t>T-139</t>
        </is>
      </c>
      <c r="C180" s="7" t="inlineStr">
        <is>
          <t>Programar el back-end de HU-30 (entidad, repositorio, servicio y controlador): el alta de proveedor rechazando RUC o DNI repetidos</t>
        </is>
      </c>
      <c r="D180" s="6" t="inlineStr">
        <is>
          <t>Backend</t>
        </is>
      </c>
      <c r="E180" s="6" t="inlineStr">
        <is>
          <t>Adiel</t>
        </is>
      </c>
      <c r="F180" s="6" t="n">
        <v>2</v>
      </c>
      <c r="G180" s="6" t="inlineStr">
        <is>
          <t>Done</t>
        </is>
      </c>
      <c r="H180" s="6" t="inlineStr">
        <is>
          <t>25/10</t>
        </is>
      </c>
      <c r="I180" s="6" t="n"/>
      <c r="J180" s="6" t="n"/>
      <c r="K180" s="7" t="inlineStr">
        <is>
          <t>hecho en la API de Adiel (PR #1 fusionado a main), con pruebas</t>
        </is>
      </c>
    </row>
    <row r="181" ht="30" customHeight="1">
      <c r="B181" s="6" t="inlineStr">
        <is>
          <t>T-140</t>
        </is>
      </c>
      <c r="C181" s="7" t="inlineStr">
        <is>
          <t>Programar el alta rápida de proveedor desde la compra</t>
        </is>
      </c>
      <c r="D181" s="6" t="inlineStr">
        <is>
          <t>Front-end web</t>
        </is>
      </c>
      <c r="E181" s="6" t="inlineStr">
        <is>
          <t>Fernando</t>
        </is>
      </c>
      <c r="F181" s="6" t="n">
        <v>2</v>
      </c>
      <c r="G181" s="6" t="inlineStr">
        <is>
          <t>Done</t>
        </is>
      </c>
      <c r="H181" s="6" t="inlineStr">
        <is>
          <t>26/10</t>
        </is>
      </c>
      <c r="I181" s="6" t="n"/>
      <c r="J181" s="6" t="n"/>
      <c r="K181" s="7" t="inlineStr">
        <is>
          <t>pantalla hecha con datos simulados; falta conectarla a la API real</t>
        </is>
      </c>
    </row>
    <row r="182" ht="30" customHeight="1">
      <c r="B182" s="6" t="inlineStr">
        <is>
          <t>T-141</t>
        </is>
      </c>
      <c r="C182" s="7" t="inlineStr">
        <is>
          <t>Conectar el alta de proveedor con la API real</t>
        </is>
      </c>
      <c r="D182" s="6" t="inlineStr">
        <is>
          <t>Conexión API</t>
        </is>
      </c>
      <c r="E182" s="6" t="inlineStr">
        <is>
          <t>Henry</t>
        </is>
      </c>
      <c r="F182" s="6" t="n">
        <v>2</v>
      </c>
      <c r="G182" s="6" t="inlineStr">
        <is>
          <t>To Do</t>
        </is>
      </c>
      <c r="H182" s="6" t="inlineStr">
        <is>
          <t>26/10</t>
        </is>
      </c>
      <c r="I182" s="6" t="inlineStr">
        <is>
          <t>T-139, T-140, T-234</t>
        </is>
      </c>
      <c r="J182" s="6" t="n"/>
      <c r="K182" s="7" t="n"/>
    </row>
    <row r="183" ht="30" customHeight="1">
      <c r="B183" s="6" t="inlineStr">
        <is>
          <t>T-142</t>
        </is>
      </c>
      <c r="C183" s="7" t="inlineStr">
        <is>
          <t>Probar la funcionalidad de HU-30 (la API con Postman y la pantalla web) contra cada condición final y aprobar su PR</t>
        </is>
      </c>
      <c r="D183" s="6" t="inlineStr">
        <is>
          <t>Pruebas</t>
        </is>
      </c>
      <c r="E183" s="6" t="inlineStr">
        <is>
          <t>Fernando</t>
        </is>
      </c>
      <c r="F183" s="6" t="n">
        <v>1</v>
      </c>
      <c r="G183" s="6" t="inlineStr">
        <is>
          <t>To Do</t>
        </is>
      </c>
      <c r="H183" s="6" t="inlineStr">
        <is>
          <t>27/10</t>
        </is>
      </c>
      <c r="I183" s="6" t="inlineStr">
        <is>
          <t>T-138, T-139, T-140, T-141, T-233</t>
        </is>
      </c>
      <c r="J183" s="6" t="n"/>
      <c r="K183" s="7" t="inlineStr">
        <is>
          <t>alguien distinto del autor (T1, T5, T8)</t>
        </is>
      </c>
    </row>
    <row r="184" ht="30" customHeight="1">
      <c r="B184" s="8" t="inlineStr">
        <is>
          <t>T-143</t>
        </is>
      </c>
      <c r="C184" s="9" t="inlineStr">
        <is>
          <t>Aceptar HU-30 como Product Owner desde la interfaz y moverla a Done</t>
        </is>
      </c>
      <c r="D184" s="8" t="inlineStr">
        <is>
          <t>Aceptación</t>
        </is>
      </c>
      <c r="E184" s="8" t="inlineStr">
        <is>
          <t>Adiel</t>
        </is>
      </c>
      <c r="F184" s="8" t="n">
        <v>0.5</v>
      </c>
      <c r="G184" s="8" t="inlineStr">
        <is>
          <t>To Do</t>
        </is>
      </c>
      <c r="H184" s="8" t="inlineStr">
        <is>
          <t>27/10</t>
        </is>
      </c>
      <c r="I184" s="8" t="inlineStr">
        <is>
          <t>T-142</t>
        </is>
      </c>
      <c r="J184" s="8" t="n"/>
      <c r="K184" s="9" t="inlineStr">
        <is>
          <t>mueve la HU a Done</t>
        </is>
      </c>
    </row>
    <row r="185">
      <c r="B185" s="4" t="inlineStr">
        <is>
          <t>HU-32 · Registrar compras   8 pts</t>
        </is>
      </c>
    </row>
    <row r="186" ht="18" customHeight="1">
      <c r="B186" s="5" t="inlineStr">
        <is>
          <t>Como residente de obra, quiero registrar la compra con proveedor, comprobante y productos, para dejar constancia de lo adquirido.</t>
        </is>
      </c>
    </row>
    <row r="187" ht="30" customHeight="1">
      <c r="B187" s="6" t="inlineStr">
        <is>
          <t>T-144</t>
        </is>
      </c>
      <c r="C187" s="7" t="inlineStr">
        <is>
          <t>Diseñar la interfaz de usuario de HU-32: pantalla 12 · Registrar la compra</t>
        </is>
      </c>
      <c r="D187" s="6" t="inlineStr">
        <is>
          <t>Diseño UI</t>
        </is>
      </c>
      <c r="E187" s="6" t="inlineStr">
        <is>
          <t>Fernando</t>
        </is>
      </c>
      <c r="F187" s="6" t="n">
        <v>1</v>
      </c>
      <c r="G187" s="6" t="inlineStr">
        <is>
          <t>Done</t>
        </is>
      </c>
      <c r="H187" s="6" t="inlineStr">
        <is>
          <t>23/10</t>
        </is>
      </c>
      <c r="I187" s="6" t="n"/>
      <c r="J187" s="6" t="n"/>
      <c r="K187" s="7" t="inlineStr">
        <is>
          <t>mockup en el lienzo «SIGRO · Pantallas y diagramas del Sprint 1», WCAG AA</t>
        </is>
      </c>
    </row>
    <row r="188" ht="30" customHeight="1">
      <c r="B188" s="6" t="inlineStr">
        <is>
          <t>T-145</t>
        </is>
      </c>
      <c r="C188" s="7" t="inlineStr">
        <is>
          <t>Modelar la funcionalidad de HU-32 con el diagrama UML de secuencia del registro de la compra</t>
        </is>
      </c>
      <c r="D188" s="6" t="inlineStr">
        <is>
          <t>Modelado UML</t>
        </is>
      </c>
      <c r="E188" s="6" t="inlineStr">
        <is>
          <t>Henry</t>
        </is>
      </c>
      <c r="F188" s="6" t="n">
        <v>1</v>
      </c>
      <c r="G188" s="6" t="inlineStr">
        <is>
          <t>To Do</t>
        </is>
      </c>
      <c r="H188" s="6" t="inlineStr">
        <is>
          <t>24/10</t>
        </is>
      </c>
      <c r="I188" s="6" t="inlineStr">
        <is>
          <t>T-144</t>
        </is>
      </c>
      <c r="J188" s="6" t="n"/>
      <c r="K188" s="7" t="n"/>
    </row>
    <row r="189" ht="30" customHeight="1">
      <c r="B189" s="6" t="inlineStr">
        <is>
          <t>T-146</t>
        </is>
      </c>
      <c r="C189" s="7" t="inlineStr">
        <is>
          <t>Implementar las tablas asociadas a HU-32: compra, compra_detalle</t>
        </is>
      </c>
      <c r="D189" s="6" t="inlineStr">
        <is>
          <t>Base de datos</t>
        </is>
      </c>
      <c r="E189" s="6" t="inlineStr">
        <is>
          <t>Adiel</t>
        </is>
      </c>
      <c r="F189" s="6" t="n">
        <v>1</v>
      </c>
      <c r="G189" s="6" t="inlineStr">
        <is>
          <t>Done</t>
        </is>
      </c>
      <c r="H189" s="6" t="inlineStr">
        <is>
          <t>24/10</t>
        </is>
      </c>
      <c r="I189" s="6" t="n"/>
      <c r="J189" s="6" t="n"/>
      <c r="K189" s="7" t="inlineStr">
        <is>
          <t>migraciones 0001–0006 de la API</t>
        </is>
      </c>
    </row>
    <row r="190" ht="30" customHeight="1">
      <c r="B190" s="6" t="inlineStr">
        <is>
          <t>T-147</t>
        </is>
      </c>
      <c r="C190" s="7" t="inlineStr">
        <is>
          <t>Programar el back-end de HU-32 (entidad, repositorio, servicio y controlador): el registro de compra: comprobante único, base, IGV y total, sin mover stock</t>
        </is>
      </c>
      <c r="D190" s="6" t="inlineStr">
        <is>
          <t>Backend</t>
        </is>
      </c>
      <c r="E190" s="6" t="inlineStr">
        <is>
          <t>Adiel</t>
        </is>
      </c>
      <c r="F190" s="6" t="n">
        <v>5</v>
      </c>
      <c r="G190" s="6" t="inlineStr">
        <is>
          <t>Done</t>
        </is>
      </c>
      <c r="H190" s="6" t="inlineStr">
        <is>
          <t>25/10</t>
        </is>
      </c>
      <c r="I190" s="6" t="n"/>
      <c r="J190" s="6" t="n"/>
      <c r="K190" s="7" t="inlineStr">
        <is>
          <t>hecho en la API de Adiel (PR #1 fusionado a main), con pruebas</t>
        </is>
      </c>
    </row>
    <row r="191" ht="30" customHeight="1">
      <c r="B191" s="6" t="inlineStr">
        <is>
          <t>T-148</t>
        </is>
      </c>
      <c r="C191" s="7" t="inlineStr">
        <is>
          <t>Programar la pantalla web de compras</t>
        </is>
      </c>
      <c r="D191" s="6" t="inlineStr">
        <is>
          <t>Front-end web</t>
        </is>
      </c>
      <c r="E191" s="6" t="inlineStr">
        <is>
          <t>Fernando</t>
        </is>
      </c>
      <c r="F191" s="6" t="n">
        <v>5</v>
      </c>
      <c r="G191" s="6" t="inlineStr">
        <is>
          <t>Done</t>
        </is>
      </c>
      <c r="H191" s="6" t="inlineStr">
        <is>
          <t>26/10</t>
        </is>
      </c>
      <c r="I191" s="6" t="n"/>
      <c r="J191" s="6" t="n"/>
      <c r="K191" s="7" t="inlineStr">
        <is>
          <t>pantalla hecha con datos simulados; falta conectarla a la API real</t>
        </is>
      </c>
    </row>
    <row r="192" ht="30" customHeight="1">
      <c r="B192" s="6" t="inlineStr">
        <is>
          <t>T-149</t>
        </is>
      </c>
      <c r="C192" s="7" t="inlineStr">
        <is>
          <t>Conectar la pantalla de compras con la API real</t>
        </is>
      </c>
      <c r="D192" s="6" t="inlineStr">
        <is>
          <t>Conexión API</t>
        </is>
      </c>
      <c r="E192" s="6" t="inlineStr">
        <is>
          <t>Henry</t>
        </is>
      </c>
      <c r="F192" s="6" t="n">
        <v>5</v>
      </c>
      <c r="G192" s="6" t="inlineStr">
        <is>
          <t>To Do</t>
        </is>
      </c>
      <c r="H192" s="6" t="inlineStr">
        <is>
          <t>26/10</t>
        </is>
      </c>
      <c r="I192" s="6" t="inlineStr">
        <is>
          <t>T-147, T-148, T-234</t>
        </is>
      </c>
      <c r="J192" s="6" t="n"/>
      <c r="K192" s="7" t="n"/>
    </row>
    <row r="193" ht="30" customHeight="1">
      <c r="B193" s="6" t="inlineStr">
        <is>
          <t>T-150</t>
        </is>
      </c>
      <c r="C193" s="7" t="inlineStr">
        <is>
          <t>Probar la funcionalidad de HU-32 (la API con Postman y la pantalla web) contra cada condición final y aprobar su PR</t>
        </is>
      </c>
      <c r="D193" s="6" t="inlineStr">
        <is>
          <t>Pruebas</t>
        </is>
      </c>
      <c r="E193" s="6" t="inlineStr">
        <is>
          <t>Fernando</t>
        </is>
      </c>
      <c r="F193" s="6" t="n">
        <v>1</v>
      </c>
      <c r="G193" s="6" t="inlineStr">
        <is>
          <t>To Do</t>
        </is>
      </c>
      <c r="H193" s="6" t="inlineStr">
        <is>
          <t>27/10</t>
        </is>
      </c>
      <c r="I193" s="6" t="inlineStr">
        <is>
          <t>T-146, T-147, T-148, T-149, T-233</t>
        </is>
      </c>
      <c r="J193" s="6" t="n"/>
      <c r="K193" s="7" t="inlineStr">
        <is>
          <t>alguien distinto del autor (T1, T5, T8)</t>
        </is>
      </c>
    </row>
    <row r="194" ht="30" customHeight="1">
      <c r="B194" s="8" t="inlineStr">
        <is>
          <t>T-151</t>
        </is>
      </c>
      <c r="C194" s="9" t="inlineStr">
        <is>
          <t>Aceptar HU-32 como Product Owner desde la interfaz y moverla a Done</t>
        </is>
      </c>
      <c r="D194" s="8" t="inlineStr">
        <is>
          <t>Aceptación</t>
        </is>
      </c>
      <c r="E194" s="8" t="inlineStr">
        <is>
          <t>Adiel</t>
        </is>
      </c>
      <c r="F194" s="8" t="n">
        <v>0.5</v>
      </c>
      <c r="G194" s="8" t="inlineStr">
        <is>
          <t>To Do</t>
        </is>
      </c>
      <c r="H194" s="8" t="inlineStr">
        <is>
          <t>27/10</t>
        </is>
      </c>
      <c r="I194" s="8" t="inlineStr">
        <is>
          <t>T-150</t>
        </is>
      </c>
      <c r="J194" s="8" t="n"/>
      <c r="K194" s="9" t="inlineStr">
        <is>
          <t>mueve la HU a Done</t>
        </is>
      </c>
    </row>
    <row r="195">
      <c r="B195" s="4" t="inlineStr">
        <is>
          <t>HU-35 · Recibir compras   8 pts</t>
        </is>
      </c>
    </row>
    <row r="196" ht="18" customHeight="1">
      <c r="B196" s="5" t="inlineStr">
        <is>
          <t>Como almacenero, quiero registrar la recepción total o parcial de una compra, para actualizar el stock solo con lo realmente recibido.</t>
        </is>
      </c>
    </row>
    <row r="197" ht="30" customHeight="1">
      <c r="B197" s="6" t="inlineStr">
        <is>
          <t>T-152</t>
        </is>
      </c>
      <c r="C197" s="7" t="inlineStr">
        <is>
          <t>Diseñar la interfaz de usuario de HU-35: pantalla 14 · Recepción de compra</t>
        </is>
      </c>
      <c r="D197" s="6" t="inlineStr">
        <is>
          <t>Diseño UI</t>
        </is>
      </c>
      <c r="E197" s="6" t="inlineStr">
        <is>
          <t>Fernando</t>
        </is>
      </c>
      <c r="F197" s="6" t="n">
        <v>1</v>
      </c>
      <c r="G197" s="6" t="inlineStr">
        <is>
          <t>Done</t>
        </is>
      </c>
      <c r="H197" s="6" t="inlineStr">
        <is>
          <t>23/10</t>
        </is>
      </c>
      <c r="I197" s="6" t="n"/>
      <c r="J197" s="6" t="n"/>
      <c r="K197" s="7" t="inlineStr">
        <is>
          <t>mockup en el lienzo «SIGRO · Pantallas y diagramas del Sprint 1», WCAG AA</t>
        </is>
      </c>
    </row>
    <row r="198" ht="30" customHeight="1">
      <c r="B198" s="6" t="inlineStr">
        <is>
          <t>T-153</t>
        </is>
      </c>
      <c r="C198" s="7" t="inlineStr">
        <is>
          <t>Modelar la funcionalidad de HU-35 con el diagrama UML de secuencia de la recepción y el costo promedio ponderado</t>
        </is>
      </c>
      <c r="D198" s="6" t="inlineStr">
        <is>
          <t>Modelado UML</t>
        </is>
      </c>
      <c r="E198" s="6" t="inlineStr">
        <is>
          <t>Fernando</t>
        </is>
      </c>
      <c r="F198" s="6" t="n">
        <v>1</v>
      </c>
      <c r="G198" s="6" t="inlineStr">
        <is>
          <t>Done</t>
        </is>
      </c>
      <c r="H198" s="6" t="inlineStr">
        <is>
          <t>24/10</t>
        </is>
      </c>
      <c r="I198" s="6" t="n"/>
      <c r="J198" s="6" t="n"/>
      <c r="K198" s="7" t="inlineStr">
        <is>
          <t>ya está en el lienzo</t>
        </is>
      </c>
    </row>
    <row r="199" ht="30" customHeight="1">
      <c r="B199" s="6" t="inlineStr">
        <is>
          <t>T-154</t>
        </is>
      </c>
      <c r="C199" s="7" t="inlineStr">
        <is>
          <t>Implementar las tablas asociadas a HU-35: recepcion, recepcion_detalle y su movimiento de ingreso</t>
        </is>
      </c>
      <c r="D199" s="6" t="inlineStr">
        <is>
          <t>Base de datos</t>
        </is>
      </c>
      <c r="E199" s="6" t="inlineStr">
        <is>
          <t>Adiel</t>
        </is>
      </c>
      <c r="F199" s="6" t="n">
        <v>1</v>
      </c>
      <c r="G199" s="6" t="inlineStr">
        <is>
          <t>To Do</t>
        </is>
      </c>
      <c r="H199" s="6" t="inlineStr">
        <is>
          <t>24/10</t>
        </is>
      </c>
      <c r="I199" s="6" t="inlineStr">
        <is>
          <t>T-153</t>
        </is>
      </c>
      <c r="J199" s="6" t="n"/>
      <c r="K199" s="7" t="n"/>
    </row>
    <row r="200" ht="30" customHeight="1">
      <c r="B200" s="6" t="inlineStr">
        <is>
          <t>T-155</t>
        </is>
      </c>
      <c r="C200" s="7" t="inlineStr">
        <is>
          <t>Programar el back-end de HU-35 (entidad, repositorio, servicio y controlador): la recepción total o parcial que genera el ingreso al kárdex</t>
        </is>
      </c>
      <c r="D200" s="6" t="inlineStr">
        <is>
          <t>Backend</t>
        </is>
      </c>
      <c r="E200" s="6" t="inlineStr">
        <is>
          <t>Adiel</t>
        </is>
      </c>
      <c r="F200" s="6" t="n">
        <v>4</v>
      </c>
      <c r="G200" s="6" t="inlineStr">
        <is>
          <t>To Do</t>
        </is>
      </c>
      <c r="H200" s="6" t="inlineStr">
        <is>
          <t>25/10</t>
        </is>
      </c>
      <c r="I200" s="6" t="inlineStr">
        <is>
          <t>T-154</t>
        </is>
      </c>
      <c r="J200" s="6" t="n"/>
      <c r="K200" s="7" t="n"/>
    </row>
    <row r="201" ht="30" customHeight="1">
      <c r="B201" s="6" t="inlineStr">
        <is>
          <t>T-156</t>
        </is>
      </c>
      <c r="C201" s="7" t="inlineStr">
        <is>
          <t>Programar el registro de recepción en la web (pedido, recibido, pendiente)</t>
        </is>
      </c>
      <c r="D201" s="6" t="inlineStr">
        <is>
          <t>Front-end web</t>
        </is>
      </c>
      <c r="E201" s="6" t="inlineStr">
        <is>
          <t>Fernando</t>
        </is>
      </c>
      <c r="F201" s="6" t="n">
        <v>4</v>
      </c>
      <c r="G201" s="6" t="inlineStr">
        <is>
          <t>Done</t>
        </is>
      </c>
      <c r="H201" s="6" t="inlineStr">
        <is>
          <t>26/10</t>
        </is>
      </c>
      <c r="I201" s="6" t="n"/>
      <c r="J201" s="6" t="n"/>
      <c r="K201" s="7" t="inlineStr">
        <is>
          <t>pantalla hecha con datos simulados; falta conectarla a la API real</t>
        </is>
      </c>
    </row>
    <row r="202" ht="30" customHeight="1">
      <c r="B202" s="6" t="inlineStr">
        <is>
          <t>T-157</t>
        </is>
      </c>
      <c r="C202" s="7" t="inlineStr">
        <is>
          <t>Programar la recepción de compras en la app del almacenero</t>
        </is>
      </c>
      <c r="D202" s="6" t="inlineStr">
        <is>
          <t>Front-end app</t>
        </is>
      </c>
      <c r="E202" s="6" t="inlineStr">
        <is>
          <t>Nicolás</t>
        </is>
      </c>
      <c r="F202" s="6" t="n">
        <v>4</v>
      </c>
      <c r="G202" s="6" t="inlineStr">
        <is>
          <t>To Do</t>
        </is>
      </c>
      <c r="H202" s="6" t="inlineStr">
        <is>
          <t>26/10</t>
        </is>
      </c>
      <c r="I202" s="6" t="inlineStr">
        <is>
          <t>T-152, T-235</t>
        </is>
      </c>
      <c r="J202" s="6" t="n"/>
      <c r="K202" s="7" t="n"/>
    </row>
    <row r="203" ht="30" customHeight="1">
      <c r="B203" s="6" t="inlineStr">
        <is>
          <t>T-158</t>
        </is>
      </c>
      <c r="C203" s="7" t="inlineStr">
        <is>
          <t>Conectar la recepción con la API real</t>
        </is>
      </c>
      <c r="D203" s="6" t="inlineStr">
        <is>
          <t>Conexión API</t>
        </is>
      </c>
      <c r="E203" s="6" t="inlineStr">
        <is>
          <t>Henry</t>
        </is>
      </c>
      <c r="F203" s="6" t="n">
        <v>4</v>
      </c>
      <c r="G203" s="6" t="inlineStr">
        <is>
          <t>To Do</t>
        </is>
      </c>
      <c r="H203" s="6" t="inlineStr">
        <is>
          <t>26/10</t>
        </is>
      </c>
      <c r="I203" s="6" t="inlineStr">
        <is>
          <t>T-155, T-156, T-234</t>
        </is>
      </c>
      <c r="J203" s="6" t="n"/>
      <c r="K203" s="7" t="n"/>
    </row>
    <row r="204" ht="30" customHeight="1">
      <c r="B204" s="6" t="inlineStr">
        <is>
          <t>T-159</t>
        </is>
      </c>
      <c r="C204" s="7" t="inlineStr">
        <is>
          <t>Probar la funcionalidad de HU-35 (la API con Postman, la pantalla web y la app en modo avión y al volver la señal) contra cada condición final y aprobar su PR</t>
        </is>
      </c>
      <c r="D204" s="6" t="inlineStr">
        <is>
          <t>Pruebas</t>
        </is>
      </c>
      <c r="E204" s="6" t="inlineStr">
        <is>
          <t>Fernando</t>
        </is>
      </c>
      <c r="F204" s="6" t="n">
        <v>1</v>
      </c>
      <c r="G204" s="6" t="inlineStr">
        <is>
          <t>To Do</t>
        </is>
      </c>
      <c r="H204" s="6" t="inlineStr">
        <is>
          <t>27/10</t>
        </is>
      </c>
      <c r="I204" s="6" t="inlineStr">
        <is>
          <t>T-154, T-155, T-156, T-157, T-158, T-233</t>
        </is>
      </c>
      <c r="J204" s="6" t="n"/>
      <c r="K204" s="7" t="inlineStr">
        <is>
          <t>alguien distinto del autor (T1, T5, T8)</t>
        </is>
      </c>
    </row>
    <row r="205" ht="30" customHeight="1">
      <c r="B205" s="8" t="inlineStr">
        <is>
          <t>T-160</t>
        </is>
      </c>
      <c r="C205" s="9" t="inlineStr">
        <is>
          <t>Aceptar HU-35 como Product Owner desde la interfaz y moverla a Done</t>
        </is>
      </c>
      <c r="D205" s="8" t="inlineStr">
        <is>
          <t>Aceptación</t>
        </is>
      </c>
      <c r="E205" s="8" t="inlineStr">
        <is>
          <t>Adiel</t>
        </is>
      </c>
      <c r="F205" s="8" t="n">
        <v>0.5</v>
      </c>
      <c r="G205" s="8" t="inlineStr">
        <is>
          <t>To Do</t>
        </is>
      </c>
      <c r="H205" s="8" t="inlineStr">
        <is>
          <t>27/10</t>
        </is>
      </c>
      <c r="I205" s="8" t="inlineStr">
        <is>
          <t>T-159</t>
        </is>
      </c>
      <c r="J205" s="8" t="n"/>
      <c r="K205" s="9" t="inlineStr">
        <is>
          <t>mueve la HU a Done</t>
        </is>
      </c>
    </row>
    <row r="206">
      <c r="B206" s="4" t="inlineStr">
        <is>
          <t>HU-37 · Registrar sin señal   8 pts</t>
        </is>
      </c>
    </row>
    <row r="207" ht="18" customHeight="1">
      <c r="B207" s="5" t="inlineStr">
        <is>
          <t>Como almacenero, quiero registrar un movimiento aunque el celular no tenga señal, para no interrumpir el trabajo en obra, donde la señal falla.</t>
        </is>
      </c>
    </row>
    <row r="208" ht="30" customHeight="1">
      <c r="B208" s="6" t="inlineStr">
        <is>
          <t>T-161</t>
        </is>
      </c>
      <c r="C208" s="7" t="inlineStr">
        <is>
          <t>Diseñar la interfaz de usuario de HU-37: pantalla 3 · Salida y 4 · Ingreso (banda sin señal)</t>
        </is>
      </c>
      <c r="D208" s="6" t="inlineStr">
        <is>
          <t>Diseño UI</t>
        </is>
      </c>
      <c r="E208" s="6" t="inlineStr">
        <is>
          <t>Fernando</t>
        </is>
      </c>
      <c r="F208" s="6" t="n">
        <v>1</v>
      </c>
      <c r="G208" s="6" t="inlineStr">
        <is>
          <t>Done</t>
        </is>
      </c>
      <c r="H208" s="6" t="inlineStr">
        <is>
          <t>23/10</t>
        </is>
      </c>
      <c r="I208" s="6" t="n"/>
      <c r="J208" s="6" t="n"/>
      <c r="K208" s="7" t="inlineStr">
        <is>
          <t>mockup en el lienzo «SIGRO · Pantallas y diagramas del Sprint 1», WCAG AA</t>
        </is>
      </c>
    </row>
    <row r="209" ht="30" customHeight="1">
      <c r="B209" s="6" t="inlineStr">
        <is>
          <t>T-162</t>
        </is>
      </c>
      <c r="C209" s="7" t="inlineStr">
        <is>
          <t>Modelar la funcionalidad de HU-37 con el diagrama UML de secuencia de la salida sin señal y su sincronización</t>
        </is>
      </c>
      <c r="D209" s="6" t="inlineStr">
        <is>
          <t>Modelado UML</t>
        </is>
      </c>
      <c r="E209" s="6" t="inlineStr">
        <is>
          <t>Fernando</t>
        </is>
      </c>
      <c r="F209" s="6" t="n">
        <v>1</v>
      </c>
      <c r="G209" s="6" t="inlineStr">
        <is>
          <t>Done</t>
        </is>
      </c>
      <c r="H209" s="6" t="inlineStr">
        <is>
          <t>24/10</t>
        </is>
      </c>
      <c r="I209" s="6" t="n"/>
      <c r="J209" s="6" t="n"/>
      <c r="K209" s="7" t="inlineStr">
        <is>
          <t>ya está en el lienzo</t>
        </is>
      </c>
    </row>
    <row r="210" ht="30" customHeight="1">
      <c r="B210" s="6" t="inlineStr">
        <is>
          <t>T-163</t>
        </is>
      </c>
      <c r="C210" s="7" t="inlineStr">
        <is>
          <t>Implementar las tablas asociadas a HU-37: cola local en Room (movimiento_pendiente) en el celular</t>
        </is>
      </c>
      <c r="D210" s="6" t="inlineStr">
        <is>
          <t>Base de datos</t>
        </is>
      </c>
      <c r="E210" s="6" t="inlineStr">
        <is>
          <t>Nicolás</t>
        </is>
      </c>
      <c r="F210" s="6" t="n">
        <v>1</v>
      </c>
      <c r="G210" s="6" t="inlineStr">
        <is>
          <t>To Do</t>
        </is>
      </c>
      <c r="H210" s="6" t="inlineStr">
        <is>
          <t>24/10</t>
        </is>
      </c>
      <c r="I210" s="6" t="inlineStr">
        <is>
          <t>T-162</t>
        </is>
      </c>
      <c r="J210" s="6" t="n"/>
      <c r="K210" s="7" t="n"/>
    </row>
    <row r="211" ht="30" customHeight="1">
      <c r="B211" s="6" t="inlineStr">
        <is>
          <t>T-164</t>
        </is>
      </c>
      <c r="C211" s="7" t="inlineStr">
        <is>
          <t>Programar la cola local (Room) con uuid_cliente y hora del celular, y mostrar «pendiente de enviar» en cada movimiento</t>
        </is>
      </c>
      <c r="D211" s="6" t="inlineStr">
        <is>
          <t>Front-end app</t>
        </is>
      </c>
      <c r="E211" s="6" t="inlineStr">
        <is>
          <t>Nicolás</t>
        </is>
      </c>
      <c r="F211" s="6" t="n">
        <v>14</v>
      </c>
      <c r="G211" s="6" t="inlineStr">
        <is>
          <t>To Do</t>
        </is>
      </c>
      <c r="H211" s="6" t="inlineStr">
        <is>
          <t>26/10</t>
        </is>
      </c>
      <c r="I211" s="6" t="inlineStr">
        <is>
          <t>T-161, T-235</t>
        </is>
      </c>
      <c r="J211" s="6" t="n"/>
      <c r="K211" s="7" t="n"/>
    </row>
    <row r="212" ht="30" customHeight="1">
      <c r="B212" s="6" t="inlineStr">
        <is>
          <t>T-165</t>
        </is>
      </c>
      <c r="C212" s="7" t="inlineStr">
        <is>
          <t>Probar la funcionalidad de HU-37 (la app en modo avión y al volver la señal) contra cada condición final y aprobar su PR</t>
        </is>
      </c>
      <c r="D212" s="6" t="inlineStr">
        <is>
          <t>Pruebas</t>
        </is>
      </c>
      <c r="E212" s="6" t="inlineStr">
        <is>
          <t>Henry</t>
        </is>
      </c>
      <c r="F212" s="6" t="n">
        <v>1</v>
      </c>
      <c r="G212" s="6" t="inlineStr">
        <is>
          <t>To Do</t>
        </is>
      </c>
      <c r="H212" s="6" t="inlineStr">
        <is>
          <t>27/10</t>
        </is>
      </c>
      <c r="I212" s="6" t="inlineStr">
        <is>
          <t>T-163, T-164, T-233</t>
        </is>
      </c>
      <c r="J212" s="6" t="n"/>
      <c r="K212" s="7" t="inlineStr">
        <is>
          <t>alguien distinto del autor (T1, T5, T8)</t>
        </is>
      </c>
    </row>
    <row r="213" ht="30" customHeight="1">
      <c r="B213" s="8" t="inlineStr">
        <is>
          <t>T-166</t>
        </is>
      </c>
      <c r="C213" s="9" t="inlineStr">
        <is>
          <t>Aceptar HU-37 como Product Owner desde la interfaz y moverla a Done</t>
        </is>
      </c>
      <c r="D213" s="8" t="inlineStr">
        <is>
          <t>Aceptación</t>
        </is>
      </c>
      <c r="E213" s="8" t="inlineStr">
        <is>
          <t>Adiel</t>
        </is>
      </c>
      <c r="F213" s="8" t="n">
        <v>0.5</v>
      </c>
      <c r="G213" s="8" t="inlineStr">
        <is>
          <t>To Do</t>
        </is>
      </c>
      <c r="H213" s="8" t="inlineStr">
        <is>
          <t>27/10</t>
        </is>
      </c>
      <c r="I213" s="8" t="inlineStr">
        <is>
          <t>T-165</t>
        </is>
      </c>
      <c r="J213" s="8" t="n"/>
      <c r="K213" s="9" t="inlineStr">
        <is>
          <t>mueve la HU a Done</t>
        </is>
      </c>
    </row>
    <row r="214">
      <c r="B214" s="4" t="inlineStr">
        <is>
          <t>HU-38 · Sincronizar pendientes   5 pts</t>
        </is>
      </c>
    </row>
    <row r="215" ht="18" customHeight="1">
      <c r="B215" s="5" t="inlineStr">
        <is>
          <t>Como almacenero, quiero enviar al servidor los movimientos que quedaron en cola, para que el saldo del sistema refleje lo que ya ocurrió en obra.</t>
        </is>
      </c>
    </row>
    <row r="216" ht="30" customHeight="1">
      <c r="B216" s="6" t="inlineStr">
        <is>
          <t>T-167</t>
        </is>
      </c>
      <c r="C216" s="7" t="inlineStr">
        <is>
          <t>Diseñar la interfaz de usuario de HU-38: pantalla 8b · Envíos pendientes y 2 · Mis obras</t>
        </is>
      </c>
      <c r="D216" s="6" t="inlineStr">
        <is>
          <t>Diseño UI</t>
        </is>
      </c>
      <c r="E216" s="6" t="inlineStr">
        <is>
          <t>Fernando</t>
        </is>
      </c>
      <c r="F216" s="6" t="n">
        <v>1</v>
      </c>
      <c r="G216" s="6" t="inlineStr">
        <is>
          <t>Done</t>
        </is>
      </c>
      <c r="H216" s="6" t="inlineStr">
        <is>
          <t>23/10</t>
        </is>
      </c>
      <c r="I216" s="6" t="n"/>
      <c r="J216" s="6" t="n"/>
      <c r="K216" s="7" t="inlineStr">
        <is>
          <t>mockup en el lienzo «SIGRO · Pantallas y diagramas del Sprint 1», WCAG AA</t>
        </is>
      </c>
    </row>
    <row r="217" ht="30" customHeight="1">
      <c r="B217" s="6" t="inlineStr">
        <is>
          <t>T-168</t>
        </is>
      </c>
      <c r="C217" s="7" t="inlineStr">
        <is>
          <t>Modelar la funcionalidad de HU-38 con el diagrama UML de secuencia de la salida sin señal y su sincronización</t>
        </is>
      </c>
      <c r="D217" s="6" t="inlineStr">
        <is>
          <t>Modelado UML</t>
        </is>
      </c>
      <c r="E217" s="6" t="inlineStr">
        <is>
          <t>Fernando</t>
        </is>
      </c>
      <c r="F217" s="6" t="n">
        <v>1</v>
      </c>
      <c r="G217" s="6" t="inlineStr">
        <is>
          <t>Done</t>
        </is>
      </c>
      <c r="H217" s="6" t="inlineStr">
        <is>
          <t>24/10</t>
        </is>
      </c>
      <c r="I217" s="6" t="n"/>
      <c r="J217" s="6" t="n"/>
      <c r="K217" s="7" t="inlineStr">
        <is>
          <t>ya está en el lienzo</t>
        </is>
      </c>
    </row>
    <row r="218" ht="30" customHeight="1">
      <c r="B218" s="6" t="inlineStr">
        <is>
          <t>T-169</t>
        </is>
      </c>
      <c r="C218" s="7" t="inlineStr">
        <is>
          <t>Implementar las tablas asociadas a HU-38: movimiento.uuid_cliente UNIQUE</t>
        </is>
      </c>
      <c r="D218" s="6" t="inlineStr">
        <is>
          <t>Base de datos</t>
        </is>
      </c>
      <c r="E218" s="6" t="inlineStr">
        <is>
          <t>Adiel</t>
        </is>
      </c>
      <c r="F218" s="6" t="n">
        <v>1</v>
      </c>
      <c r="G218" s="6" t="inlineStr">
        <is>
          <t>To Do</t>
        </is>
      </c>
      <c r="H218" s="6" t="inlineStr">
        <is>
          <t>24/10</t>
        </is>
      </c>
      <c r="I218" s="6" t="inlineStr">
        <is>
          <t>T-168</t>
        </is>
      </c>
      <c r="J218" s="6" t="n"/>
      <c r="K218" s="7" t="n"/>
    </row>
    <row r="219" ht="30" customHeight="1">
      <c r="B219" s="6" t="inlineStr">
        <is>
          <t>T-170</t>
        </is>
      </c>
      <c r="C219" s="7" t="inlineStr">
        <is>
          <t>Programar el back-end de HU-38 (entidad, repositorio, servicio y controlador): la idempotencia por uuid_cliente y devolver el motivo del rechazo</t>
        </is>
      </c>
      <c r="D219" s="6" t="inlineStr">
        <is>
          <t>Backend</t>
        </is>
      </c>
      <c r="E219" s="6" t="inlineStr">
        <is>
          <t>Adiel</t>
        </is>
      </c>
      <c r="F219" s="6" t="n">
        <v>4</v>
      </c>
      <c r="G219" s="6" t="inlineStr">
        <is>
          <t>To Do</t>
        </is>
      </c>
      <c r="H219" s="6" t="inlineStr">
        <is>
          <t>25/10</t>
        </is>
      </c>
      <c r="I219" s="6" t="inlineStr">
        <is>
          <t>T-169</t>
        </is>
      </c>
      <c r="J219" s="6" t="n"/>
      <c r="K219" s="7" t="n"/>
    </row>
    <row r="220" ht="30" customHeight="1">
      <c r="B220" s="6" t="inlineStr">
        <is>
          <t>T-171</t>
        </is>
      </c>
      <c r="C220" s="7" t="inlineStr">
        <is>
          <t>Implementar el índice único de uuid_cliente que vuelve idempotente el reenvío (HU-38)</t>
        </is>
      </c>
      <c r="D220" s="6" t="inlineStr">
        <is>
          <t>Triggers y funciones</t>
        </is>
      </c>
      <c r="E220" s="6" t="inlineStr">
        <is>
          <t>Adiel</t>
        </is>
      </c>
      <c r="F220" s="6" t="n">
        <v>1</v>
      </c>
      <c r="G220" s="6" t="inlineStr">
        <is>
          <t>To Do</t>
        </is>
      </c>
      <c r="H220" s="6" t="inlineStr">
        <is>
          <t>25/10</t>
        </is>
      </c>
      <c r="I220" s="6" t="inlineStr">
        <is>
          <t>T-169</t>
        </is>
      </c>
      <c r="J220" s="6" t="n"/>
      <c r="K220" s="7" t="n"/>
    </row>
    <row r="221" ht="30" customHeight="1">
      <c r="B221" s="6" t="inlineStr">
        <is>
          <t>T-172</t>
        </is>
      </c>
      <c r="C221" s="7" t="inlineStr">
        <is>
          <t>Programar el envío automático de pendientes al volver la señal (WorkManager)</t>
        </is>
      </c>
      <c r="D221" s="6" t="inlineStr">
        <is>
          <t>Front-end app</t>
        </is>
      </c>
      <c r="E221" s="6" t="inlineStr">
        <is>
          <t>Nicolás</t>
        </is>
      </c>
      <c r="F221" s="6" t="n">
        <v>4</v>
      </c>
      <c r="G221" s="6" t="inlineStr">
        <is>
          <t>To Do</t>
        </is>
      </c>
      <c r="H221" s="6" t="inlineStr">
        <is>
          <t>26/10</t>
        </is>
      </c>
      <c r="I221" s="6" t="inlineStr">
        <is>
          <t>T-167, T-235</t>
        </is>
      </c>
      <c r="J221" s="6" t="n"/>
      <c r="K221" s="7" t="n"/>
    </row>
    <row r="222" ht="30" customHeight="1">
      <c r="B222" s="6" t="inlineStr">
        <is>
          <t>T-173</t>
        </is>
      </c>
      <c r="C222" s="7" t="inlineStr">
        <is>
          <t>Probar la funcionalidad de HU-38 (la API con Postman y la app en modo avión y al volver la señal) contra cada condición final y aprobar su PR</t>
        </is>
      </c>
      <c r="D222" s="6" t="inlineStr">
        <is>
          <t>Pruebas</t>
        </is>
      </c>
      <c r="E222" s="6" t="inlineStr">
        <is>
          <t>Henry</t>
        </is>
      </c>
      <c r="F222" s="6" t="n">
        <v>1</v>
      </c>
      <c r="G222" s="6" t="inlineStr">
        <is>
          <t>To Do</t>
        </is>
      </c>
      <c r="H222" s="6" t="inlineStr">
        <is>
          <t>27/10</t>
        </is>
      </c>
      <c r="I222" s="6" t="inlineStr">
        <is>
          <t>T-169, T-170, T-171, T-172, T-233</t>
        </is>
      </c>
      <c r="J222" s="6" t="n"/>
      <c r="K222" s="7" t="inlineStr">
        <is>
          <t>alguien distinto del autor (T1, T5, T8)</t>
        </is>
      </c>
    </row>
    <row r="223" ht="30" customHeight="1">
      <c r="B223" s="8" t="inlineStr">
        <is>
          <t>T-174</t>
        </is>
      </c>
      <c r="C223" s="9" t="inlineStr">
        <is>
          <t>Aceptar HU-38 como Product Owner desde la interfaz y moverla a Done</t>
        </is>
      </c>
      <c r="D223" s="8" t="inlineStr">
        <is>
          <t>Aceptación</t>
        </is>
      </c>
      <c r="E223" s="8" t="inlineStr">
        <is>
          <t>Adiel</t>
        </is>
      </c>
      <c r="F223" s="8" t="n">
        <v>0.5</v>
      </c>
      <c r="G223" s="8" t="inlineStr">
        <is>
          <t>To Do</t>
        </is>
      </c>
      <c r="H223" s="8" t="inlineStr">
        <is>
          <t>27/10</t>
        </is>
      </c>
      <c r="I223" s="8" t="inlineStr">
        <is>
          <t>T-173</t>
        </is>
      </c>
      <c r="J223" s="8" t="n"/>
      <c r="K223" s="9" t="inlineStr">
        <is>
          <t>mueve la HU a Done</t>
        </is>
      </c>
    </row>
    <row r="224">
      <c r="B224" s="4" t="inlineStr">
        <is>
          <t>HU-40 · Registrar salidas de material   8 pts</t>
        </is>
      </c>
    </row>
    <row r="225" ht="18" customHeight="1">
      <c r="B225" s="5" t="inlineStr">
        <is>
          <t>Como almacenero, quiero registrar la salida con su motivo y quién retira el material, para saber en qué se usó y quién responde por él.</t>
        </is>
      </c>
    </row>
    <row r="226" ht="30" customHeight="1">
      <c r="B226" s="6" t="inlineStr">
        <is>
          <t>T-175</t>
        </is>
      </c>
      <c r="C226" s="7" t="inlineStr">
        <is>
          <t>Diseñar la interfaz de usuario de HU-40: pantalla 3 · Registrar salida</t>
        </is>
      </c>
      <c r="D226" s="6" t="inlineStr">
        <is>
          <t>Diseño UI</t>
        </is>
      </c>
      <c r="E226" s="6" t="inlineStr">
        <is>
          <t>Fernando</t>
        </is>
      </c>
      <c r="F226" s="6" t="n">
        <v>1</v>
      </c>
      <c r="G226" s="6" t="inlineStr">
        <is>
          <t>Done</t>
        </is>
      </c>
      <c r="H226" s="6" t="inlineStr">
        <is>
          <t>23/10</t>
        </is>
      </c>
      <c r="I226" s="6" t="n"/>
      <c r="J226" s="6" t="n"/>
      <c r="K226" s="7" t="inlineStr">
        <is>
          <t>mockup en el lienzo «SIGRO · Pantallas y diagramas del Sprint 1», WCAG AA</t>
        </is>
      </c>
    </row>
    <row r="227" ht="30" customHeight="1">
      <c r="B227" s="6" t="inlineStr">
        <is>
          <t>T-176</t>
        </is>
      </c>
      <c r="C227" s="7" t="inlineStr">
        <is>
          <t>Modelar la funcionalidad de HU-40 con el diagrama UML de secuencia de la salida sin señal y su sincronización</t>
        </is>
      </c>
      <c r="D227" s="6" t="inlineStr">
        <is>
          <t>Modelado UML</t>
        </is>
      </c>
      <c r="E227" s="6" t="inlineStr">
        <is>
          <t>Fernando</t>
        </is>
      </c>
      <c r="F227" s="6" t="n">
        <v>1</v>
      </c>
      <c r="G227" s="6" t="inlineStr">
        <is>
          <t>Done</t>
        </is>
      </c>
      <c r="H227" s="6" t="inlineStr">
        <is>
          <t>24/10</t>
        </is>
      </c>
      <c r="I227" s="6" t="n"/>
      <c r="J227" s="6" t="n"/>
      <c r="K227" s="7" t="inlineStr">
        <is>
          <t>ya está en el lienzo</t>
        </is>
      </c>
    </row>
    <row r="228" ht="30" customHeight="1">
      <c r="B228" s="6" t="inlineStr">
        <is>
          <t>T-177</t>
        </is>
      </c>
      <c r="C228" s="7" t="inlineStr">
        <is>
          <t>Implementar las tablas asociadas a HU-40: movimiento (append-only, costo_unitario congelado)</t>
        </is>
      </c>
      <c r="D228" s="6" t="inlineStr">
        <is>
          <t>Base de datos</t>
        </is>
      </c>
      <c r="E228" s="6" t="inlineStr">
        <is>
          <t>Adiel</t>
        </is>
      </c>
      <c r="F228" s="6" t="n">
        <v>1</v>
      </c>
      <c r="G228" s="6" t="inlineStr">
        <is>
          <t>To Do</t>
        </is>
      </c>
      <c r="H228" s="6" t="inlineStr">
        <is>
          <t>24/10</t>
        </is>
      </c>
      <c r="I228" s="6" t="inlineStr">
        <is>
          <t>T-176</t>
        </is>
      </c>
      <c r="J228" s="6" t="n"/>
      <c r="K228" s="7" t="n"/>
    </row>
    <row r="229" ht="30" customHeight="1">
      <c r="B229" s="6" t="inlineStr">
        <is>
          <t>T-178</t>
        </is>
      </c>
      <c r="C229" s="7" t="inlineStr">
        <is>
          <t>Programar el back-end de HU-40 (entidad, repositorio, servicio y controlador): la salida: rechazar si supera el saldo y congelar el costo promedio</t>
        </is>
      </c>
      <c r="D229" s="6" t="inlineStr">
        <is>
          <t>Backend</t>
        </is>
      </c>
      <c r="E229" s="6" t="inlineStr">
        <is>
          <t>Adiel</t>
        </is>
      </c>
      <c r="F229" s="6" t="n">
        <v>7</v>
      </c>
      <c r="G229" s="6" t="inlineStr">
        <is>
          <t>To Do</t>
        </is>
      </c>
      <c r="H229" s="6" t="inlineStr">
        <is>
          <t>25/10</t>
        </is>
      </c>
      <c r="I229" s="6" t="inlineStr">
        <is>
          <t>T-177</t>
        </is>
      </c>
      <c r="J229" s="6" t="n"/>
      <c r="K229" s="7" t="n"/>
    </row>
    <row r="230" ht="30" customHeight="1">
      <c r="B230" s="6" t="inlineStr">
        <is>
          <t>T-179</t>
        </is>
      </c>
      <c r="C230" s="7" t="inlineStr">
        <is>
          <t>Implementar el trigger que impide UPDATE y DELETE en movimiento y el que rechaza fechas fuera del plazo (HU-40)</t>
        </is>
      </c>
      <c r="D230" s="6" t="inlineStr">
        <is>
          <t>Triggers y funciones</t>
        </is>
      </c>
      <c r="E230" s="6" t="inlineStr">
        <is>
          <t>Adiel</t>
        </is>
      </c>
      <c r="F230" s="6" t="n">
        <v>1</v>
      </c>
      <c r="G230" s="6" t="inlineStr">
        <is>
          <t>To Do</t>
        </is>
      </c>
      <c r="H230" s="6" t="inlineStr">
        <is>
          <t>25/10</t>
        </is>
      </c>
      <c r="I230" s="6" t="inlineStr">
        <is>
          <t>T-177</t>
        </is>
      </c>
      <c r="J230" s="6" t="n"/>
      <c r="K230" s="7" t="n"/>
    </row>
    <row r="231" ht="30" customHeight="1">
      <c r="B231" s="6" t="inlineStr">
        <is>
          <t>T-180</t>
        </is>
      </c>
      <c r="C231" s="7" t="inlineStr">
        <is>
          <t>Programar la pantalla de salida en la app (insumo, cantidad, motivo, quién retira)</t>
        </is>
      </c>
      <c r="D231" s="6" t="inlineStr">
        <is>
          <t>Front-end app</t>
        </is>
      </c>
      <c r="E231" s="6" t="inlineStr">
        <is>
          <t>Nicolás</t>
        </is>
      </c>
      <c r="F231" s="6" t="n">
        <v>7</v>
      </c>
      <c r="G231" s="6" t="inlineStr">
        <is>
          <t>To Do</t>
        </is>
      </c>
      <c r="H231" s="6" t="inlineStr">
        <is>
          <t>26/10</t>
        </is>
      </c>
      <c r="I231" s="6" t="inlineStr">
        <is>
          <t>T-175, T-235</t>
        </is>
      </c>
      <c r="J231" s="6" t="n"/>
      <c r="K231" s="7" t="n"/>
    </row>
    <row r="232" ht="30" customHeight="1">
      <c r="B232" s="6" t="inlineStr">
        <is>
          <t>T-181</t>
        </is>
      </c>
      <c r="C232" s="7" t="inlineStr">
        <is>
          <t>Probar la funcionalidad de HU-40 (la API con Postman y la app en modo avión y al volver la señal) contra cada condición final y aprobar su PR</t>
        </is>
      </c>
      <c r="D232" s="6" t="inlineStr">
        <is>
          <t>Pruebas</t>
        </is>
      </c>
      <c r="E232" s="6" t="inlineStr">
        <is>
          <t>Henry</t>
        </is>
      </c>
      <c r="F232" s="6" t="n">
        <v>1</v>
      </c>
      <c r="G232" s="6" t="inlineStr">
        <is>
          <t>To Do</t>
        </is>
      </c>
      <c r="H232" s="6" t="inlineStr">
        <is>
          <t>27/10</t>
        </is>
      </c>
      <c r="I232" s="6" t="inlineStr">
        <is>
          <t>T-177, T-178, T-179, T-180, T-233</t>
        </is>
      </c>
      <c r="J232" s="6" t="n"/>
      <c r="K232" s="7" t="inlineStr">
        <is>
          <t>alguien distinto del autor (T1, T5, T8)</t>
        </is>
      </c>
    </row>
    <row r="233" ht="30" customHeight="1">
      <c r="B233" s="8" t="inlineStr">
        <is>
          <t>T-182</t>
        </is>
      </c>
      <c r="C233" s="9" t="inlineStr">
        <is>
          <t>Aceptar HU-40 como Product Owner desde la interfaz y moverla a Done</t>
        </is>
      </c>
      <c r="D233" s="8" t="inlineStr">
        <is>
          <t>Aceptación</t>
        </is>
      </c>
      <c r="E233" s="8" t="inlineStr">
        <is>
          <t>Adiel</t>
        </is>
      </c>
      <c r="F233" s="8" t="n">
        <v>0.5</v>
      </c>
      <c r="G233" s="8" t="inlineStr">
        <is>
          <t>To Do</t>
        </is>
      </c>
      <c r="H233" s="8" t="inlineStr">
        <is>
          <t>27/10</t>
        </is>
      </c>
      <c r="I233" s="8" t="inlineStr">
        <is>
          <t>T-181</t>
        </is>
      </c>
      <c r="J233" s="8" t="n"/>
      <c r="K233" s="9" t="inlineStr">
        <is>
          <t>mueve la HU a Done</t>
        </is>
      </c>
    </row>
    <row r="234">
      <c r="B234" s="4" t="inlineStr">
        <is>
          <t>HU-43 · Consultar stock   5 pts</t>
        </is>
      </c>
    </row>
    <row r="235" ht="18" customHeight="1">
      <c r="B235" s="5" t="inlineStr">
        <is>
          <t>Como residente de obra, quiero consultar el stock de cada insumo en cualquier momento, para programar la jornada sabiendo con qué cuento.</t>
        </is>
      </c>
    </row>
    <row r="236" ht="30" customHeight="1">
      <c r="B236" s="6" t="inlineStr">
        <is>
          <t>T-183</t>
        </is>
      </c>
      <c r="C236" s="7" t="inlineStr">
        <is>
          <t>Diseñar la interfaz de usuario de HU-43: pantalla 5 · Consultar stock y 15 · Kárdex</t>
        </is>
      </c>
      <c r="D236" s="6" t="inlineStr">
        <is>
          <t>Diseño UI</t>
        </is>
      </c>
      <c r="E236" s="6" t="inlineStr">
        <is>
          <t>Fernando</t>
        </is>
      </c>
      <c r="F236" s="6" t="n">
        <v>1</v>
      </c>
      <c r="G236" s="6" t="inlineStr">
        <is>
          <t>Done</t>
        </is>
      </c>
      <c r="H236" s="6" t="inlineStr">
        <is>
          <t>23/10</t>
        </is>
      </c>
      <c r="I236" s="6" t="n"/>
      <c r="J236" s="6" t="n"/>
      <c r="K236" s="7" t="inlineStr">
        <is>
          <t>mockup en el lienzo «SIGRO · Pantallas y diagramas del Sprint 1», WCAG AA</t>
        </is>
      </c>
    </row>
    <row r="237" ht="30" customHeight="1">
      <c r="B237" s="6" t="inlineStr">
        <is>
          <t>T-184</t>
        </is>
      </c>
      <c r="C237" s="7" t="inlineStr">
        <is>
          <t>Modelar la funcionalidad de HU-43 con el diagrama UML de secuencia del cálculo del stock desde el libro</t>
        </is>
      </c>
      <c r="D237" s="6" t="inlineStr">
        <is>
          <t>Modelado UML</t>
        </is>
      </c>
      <c r="E237" s="6" t="inlineStr">
        <is>
          <t>Nicolás</t>
        </is>
      </c>
      <c r="F237" s="6" t="n">
        <v>1</v>
      </c>
      <c r="G237" s="6" t="inlineStr">
        <is>
          <t>To Do</t>
        </is>
      </c>
      <c r="H237" s="6" t="inlineStr">
        <is>
          <t>24/10</t>
        </is>
      </c>
      <c r="I237" s="6" t="inlineStr">
        <is>
          <t>T-183</t>
        </is>
      </c>
      <c r="J237" s="6" t="n"/>
      <c r="K237" s="7" t="n"/>
    </row>
    <row r="238" ht="30" customHeight="1">
      <c r="B238" s="6" t="inlineStr">
        <is>
          <t>T-185</t>
        </is>
      </c>
      <c r="C238" s="7" t="inlineStr">
        <is>
          <t>Implementar las tablas asociadas a HU-43: vista de saldo derivada de movimiento</t>
        </is>
      </c>
      <c r="D238" s="6" t="inlineStr">
        <is>
          <t>Base de datos</t>
        </is>
      </c>
      <c r="E238" s="6" t="inlineStr">
        <is>
          <t>Adiel</t>
        </is>
      </c>
      <c r="F238" s="6" t="n">
        <v>1</v>
      </c>
      <c r="G238" s="6" t="inlineStr">
        <is>
          <t>To Do</t>
        </is>
      </c>
      <c r="H238" s="6" t="inlineStr">
        <is>
          <t>24/10</t>
        </is>
      </c>
      <c r="I238" s="6" t="inlineStr">
        <is>
          <t>T-184</t>
        </is>
      </c>
      <c r="J238" s="6" t="n"/>
      <c r="K238" s="7" t="n"/>
    </row>
    <row r="239" ht="30" customHeight="1">
      <c r="B239" s="6" t="inlineStr">
        <is>
          <t>T-186</t>
        </is>
      </c>
      <c r="C239" s="7" t="inlineStr">
        <is>
          <t>Programar el back-end de HU-43 (entidad, repositorio, servicio y controlador): el cálculo del stock desde el libro de movimientos, por almacén y consolidado</t>
        </is>
      </c>
      <c r="D239" s="6" t="inlineStr">
        <is>
          <t>Backend</t>
        </is>
      </c>
      <c r="E239" s="6" t="inlineStr">
        <is>
          <t>Adiel</t>
        </is>
      </c>
      <c r="F239" s="6" t="n">
        <v>2</v>
      </c>
      <c r="G239" s="6" t="inlineStr">
        <is>
          <t>To Do</t>
        </is>
      </c>
      <c r="H239" s="6" t="inlineStr">
        <is>
          <t>25/10</t>
        </is>
      </c>
      <c r="I239" s="6" t="inlineStr">
        <is>
          <t>T-185</t>
        </is>
      </c>
      <c r="J239" s="6" t="n"/>
      <c r="K239" s="7" t="n"/>
    </row>
    <row r="240" ht="30" customHeight="1">
      <c r="B240" s="6" t="inlineStr">
        <is>
          <t>T-187</t>
        </is>
      </c>
      <c r="C240" s="7" t="inlineStr">
        <is>
          <t>Implementar la función que calcula el saldo SUM(cantidad × signo) por almacén e insumo (HU-43)</t>
        </is>
      </c>
      <c r="D240" s="6" t="inlineStr">
        <is>
          <t>Triggers y funciones</t>
        </is>
      </c>
      <c r="E240" s="6" t="inlineStr">
        <is>
          <t>Adiel</t>
        </is>
      </c>
      <c r="F240" s="6" t="n">
        <v>1</v>
      </c>
      <c r="G240" s="6" t="inlineStr">
        <is>
          <t>To Do</t>
        </is>
      </c>
      <c r="H240" s="6" t="inlineStr">
        <is>
          <t>25/10</t>
        </is>
      </c>
      <c r="I240" s="6" t="inlineStr">
        <is>
          <t>T-185</t>
        </is>
      </c>
      <c r="J240" s="6" t="n"/>
      <c r="K240" s="7" t="n"/>
    </row>
    <row r="241" ht="30" customHeight="1">
      <c r="B241" s="6" t="inlineStr">
        <is>
          <t>T-188</t>
        </is>
      </c>
      <c r="C241" s="7" t="inlineStr">
        <is>
          <t>Programar la pantalla web de stock y kárdex</t>
        </is>
      </c>
      <c r="D241" s="6" t="inlineStr">
        <is>
          <t>Front-end web</t>
        </is>
      </c>
      <c r="E241" s="6" t="inlineStr">
        <is>
          <t>Fernando</t>
        </is>
      </c>
      <c r="F241" s="6" t="n">
        <v>2</v>
      </c>
      <c r="G241" s="6" t="inlineStr">
        <is>
          <t>Done</t>
        </is>
      </c>
      <c r="H241" s="6" t="inlineStr">
        <is>
          <t>26/10</t>
        </is>
      </c>
      <c r="I241" s="6" t="n"/>
      <c r="J241" s="6" t="n"/>
      <c r="K241" s="7" t="inlineStr">
        <is>
          <t>pantalla hecha con datos simulados; falta conectarla a la API real</t>
        </is>
      </c>
    </row>
    <row r="242" ht="30" customHeight="1">
      <c r="B242" s="6" t="inlineStr">
        <is>
          <t>T-189</t>
        </is>
      </c>
      <c r="C242" s="7" t="inlineStr">
        <is>
          <t>Programar la consulta de stock en la app</t>
        </is>
      </c>
      <c r="D242" s="6" t="inlineStr">
        <is>
          <t>Front-end app</t>
        </is>
      </c>
      <c r="E242" s="6" t="inlineStr">
        <is>
          <t>Nicolás</t>
        </is>
      </c>
      <c r="F242" s="6" t="n">
        <v>2</v>
      </c>
      <c r="G242" s="6" t="inlineStr">
        <is>
          <t>To Do</t>
        </is>
      </c>
      <c r="H242" s="6" t="inlineStr">
        <is>
          <t>26/10</t>
        </is>
      </c>
      <c r="I242" s="6" t="inlineStr">
        <is>
          <t>T-183, T-235</t>
        </is>
      </c>
      <c r="J242" s="6" t="n"/>
      <c r="K242" s="7" t="n"/>
    </row>
    <row r="243" ht="30" customHeight="1">
      <c r="B243" s="6" t="inlineStr">
        <is>
          <t>T-190</t>
        </is>
      </c>
      <c r="C243" s="7" t="inlineStr">
        <is>
          <t>Conectar la pantalla de stock y kárdex con la API real</t>
        </is>
      </c>
      <c r="D243" s="6" t="inlineStr">
        <is>
          <t>Conexión API</t>
        </is>
      </c>
      <c r="E243" s="6" t="inlineStr">
        <is>
          <t>Henry</t>
        </is>
      </c>
      <c r="F243" s="6" t="n">
        <v>2</v>
      </c>
      <c r="G243" s="6" t="inlineStr">
        <is>
          <t>To Do</t>
        </is>
      </c>
      <c r="H243" s="6" t="inlineStr">
        <is>
          <t>26/10</t>
        </is>
      </c>
      <c r="I243" s="6" t="inlineStr">
        <is>
          <t>T-186, T-188, T-234</t>
        </is>
      </c>
      <c r="J243" s="6" t="n"/>
      <c r="K243" s="7" t="n"/>
    </row>
    <row r="244" ht="30" customHeight="1">
      <c r="B244" s="6" t="inlineStr">
        <is>
          <t>T-191</t>
        </is>
      </c>
      <c r="C244" s="7" t="inlineStr">
        <is>
          <t>Probar la funcionalidad de HU-43 (la API con Postman, la pantalla web y la app) contra cada condición final y aprobar su PR</t>
        </is>
      </c>
      <c r="D244" s="6" t="inlineStr">
        <is>
          <t>Pruebas</t>
        </is>
      </c>
      <c r="E244" s="6" t="inlineStr">
        <is>
          <t>Fernando</t>
        </is>
      </c>
      <c r="F244" s="6" t="n">
        <v>1</v>
      </c>
      <c r="G244" s="6" t="inlineStr">
        <is>
          <t>To Do</t>
        </is>
      </c>
      <c r="H244" s="6" t="inlineStr">
        <is>
          <t>27/10</t>
        </is>
      </c>
      <c r="I244" s="6" t="inlineStr">
        <is>
          <t>T-185, T-186, T-187, T-188, T-189, T-190, T-233</t>
        </is>
      </c>
      <c r="J244" s="6" t="n"/>
      <c r="K244" s="7" t="inlineStr">
        <is>
          <t>alguien distinto del autor (T1, T5, T8)</t>
        </is>
      </c>
    </row>
    <row r="245" ht="30" customHeight="1">
      <c r="B245" s="8" t="inlineStr">
        <is>
          <t>T-192</t>
        </is>
      </c>
      <c r="C245" s="9" t="inlineStr">
        <is>
          <t>Aceptar HU-43 como Product Owner desde la interfaz y moverla a Done</t>
        </is>
      </c>
      <c r="D245" s="8" t="inlineStr">
        <is>
          <t>Aceptación</t>
        </is>
      </c>
      <c r="E245" s="8" t="inlineStr">
        <is>
          <t>Adiel</t>
        </is>
      </c>
      <c r="F245" s="8" t="n">
        <v>0.5</v>
      </c>
      <c r="G245" s="8" t="inlineStr">
        <is>
          <t>To Do</t>
        </is>
      </c>
      <c r="H245" s="8" t="inlineStr">
        <is>
          <t>27/10</t>
        </is>
      </c>
      <c r="I245" s="8" t="inlineStr">
        <is>
          <t>T-191</t>
        </is>
      </c>
      <c r="J245" s="8" t="n"/>
      <c r="K245" s="9" t="inlineStr">
        <is>
          <t>mueve la HU a Done</t>
        </is>
      </c>
    </row>
    <row r="246">
      <c r="B246" s="4" t="inlineStr">
        <is>
          <t>HU-45 · Corregir movimientos   5 pts</t>
        </is>
      </c>
    </row>
    <row r="247" ht="18" customHeight="1">
      <c r="B247" s="5" t="inlineStr">
        <is>
          <t>Como almacenero, quiero corregir un movimiento sin borrar el original, para conservar el rastro de lo registrado y lo corregido.</t>
        </is>
      </c>
    </row>
    <row r="248" ht="30" customHeight="1">
      <c r="B248" s="6" t="inlineStr">
        <is>
          <t>T-193</t>
        </is>
      </c>
      <c r="C248" s="7" t="inlineStr">
        <is>
          <t>Diseñar la interfaz de usuario de HU-45: pantalla 15 · Kárdex y 21 · Movimientos del día</t>
        </is>
      </c>
      <c r="D248" s="6" t="inlineStr">
        <is>
          <t>Diseño UI</t>
        </is>
      </c>
      <c r="E248" s="6" t="inlineStr">
        <is>
          <t>Fernando</t>
        </is>
      </c>
      <c r="F248" s="6" t="n">
        <v>1</v>
      </c>
      <c r="G248" s="6" t="inlineStr">
        <is>
          <t>Done</t>
        </is>
      </c>
      <c r="H248" s="6" t="inlineStr">
        <is>
          <t>23/10</t>
        </is>
      </c>
      <c r="I248" s="6" t="n"/>
      <c r="J248" s="6" t="n"/>
      <c r="K248" s="7" t="inlineStr">
        <is>
          <t>mockup en el lienzo «SIGRO · Pantallas y diagramas del Sprint 1», WCAG AA</t>
        </is>
      </c>
    </row>
    <row r="249" ht="30" customHeight="1">
      <c r="B249" s="6" t="inlineStr">
        <is>
          <t>T-194</t>
        </is>
      </c>
      <c r="C249" s="7" t="inlineStr">
        <is>
          <t>Modelar la funcionalidad de HU-45 con el diagrama UML de estados del movimiento (vigente → revertido)</t>
        </is>
      </c>
      <c r="D249" s="6" t="inlineStr">
        <is>
          <t>Modelado UML</t>
        </is>
      </c>
      <c r="E249" s="6" t="inlineStr">
        <is>
          <t>Henry</t>
        </is>
      </c>
      <c r="F249" s="6" t="n">
        <v>1</v>
      </c>
      <c r="G249" s="6" t="inlineStr">
        <is>
          <t>To Do</t>
        </is>
      </c>
      <c r="H249" s="6" t="inlineStr">
        <is>
          <t>24/10</t>
        </is>
      </c>
      <c r="I249" s="6" t="inlineStr">
        <is>
          <t>T-193</t>
        </is>
      </c>
      <c r="J249" s="6" t="n"/>
      <c r="K249" s="7" t="n"/>
    </row>
    <row r="250" ht="30" customHeight="1">
      <c r="B250" s="6" t="inlineStr">
        <is>
          <t>T-195</t>
        </is>
      </c>
      <c r="C250" s="7" t="inlineStr">
        <is>
          <t>Implementar las tablas asociadas a HU-45: movimiento.movimiento_origen_id (reverso)</t>
        </is>
      </c>
      <c r="D250" s="6" t="inlineStr">
        <is>
          <t>Base de datos</t>
        </is>
      </c>
      <c r="E250" s="6" t="inlineStr">
        <is>
          <t>Adiel</t>
        </is>
      </c>
      <c r="F250" s="6" t="n">
        <v>1</v>
      </c>
      <c r="G250" s="6" t="inlineStr">
        <is>
          <t>To Do</t>
        </is>
      </c>
      <c r="H250" s="6" t="inlineStr">
        <is>
          <t>24/10</t>
        </is>
      </c>
      <c r="I250" s="6" t="inlineStr">
        <is>
          <t>T-194</t>
        </is>
      </c>
      <c r="J250" s="6" t="n"/>
      <c r="K250" s="7" t="n"/>
    </row>
    <row r="251" ht="30" customHeight="1">
      <c r="B251" s="6" t="inlineStr">
        <is>
          <t>T-196</t>
        </is>
      </c>
      <c r="C251" s="7" t="inlineStr">
        <is>
          <t>Programar el back-end de HU-45 (entidad, repositorio, servicio y controlador): el reverso que apunta al original, sin UPDATE ni DELETE</t>
        </is>
      </c>
      <c r="D251" s="6" t="inlineStr">
        <is>
          <t>Backend</t>
        </is>
      </c>
      <c r="E251" s="6" t="inlineStr">
        <is>
          <t>Adiel</t>
        </is>
      </c>
      <c r="F251" s="6" t="n">
        <v>3</v>
      </c>
      <c r="G251" s="6" t="inlineStr">
        <is>
          <t>To Do</t>
        </is>
      </c>
      <c r="H251" s="6" t="inlineStr">
        <is>
          <t>25/10</t>
        </is>
      </c>
      <c r="I251" s="6" t="inlineStr">
        <is>
          <t>T-195</t>
        </is>
      </c>
      <c r="J251" s="6" t="n"/>
      <c r="K251" s="7" t="n"/>
    </row>
    <row r="252" ht="30" customHeight="1">
      <c r="B252" s="6" t="inlineStr">
        <is>
          <t>T-197</t>
        </is>
      </c>
      <c r="C252" s="7" t="inlineStr">
        <is>
          <t>Programar la corrección con reverso desde el kárdex web</t>
        </is>
      </c>
      <c r="D252" s="6" t="inlineStr">
        <is>
          <t>Front-end web</t>
        </is>
      </c>
      <c r="E252" s="6" t="inlineStr">
        <is>
          <t>Fernando</t>
        </is>
      </c>
      <c r="F252" s="6" t="n">
        <v>3</v>
      </c>
      <c r="G252" s="6" t="inlineStr">
        <is>
          <t>Done</t>
        </is>
      </c>
      <c r="H252" s="6" t="inlineStr">
        <is>
          <t>26/10</t>
        </is>
      </c>
      <c r="I252" s="6" t="n"/>
      <c r="J252" s="6" t="n"/>
      <c r="K252" s="7" t="inlineStr">
        <is>
          <t>pantalla hecha con datos simulados; falta conectarla a la API real</t>
        </is>
      </c>
    </row>
    <row r="253" ht="30" customHeight="1">
      <c r="B253" s="6" t="inlineStr">
        <is>
          <t>T-198</t>
        </is>
      </c>
      <c r="C253" s="7" t="inlineStr">
        <is>
          <t>Conectar el reverso con la API real</t>
        </is>
      </c>
      <c r="D253" s="6" t="inlineStr">
        <is>
          <t>Conexión API</t>
        </is>
      </c>
      <c r="E253" s="6" t="inlineStr">
        <is>
          <t>Henry</t>
        </is>
      </c>
      <c r="F253" s="6" t="n">
        <v>3</v>
      </c>
      <c r="G253" s="6" t="inlineStr">
        <is>
          <t>To Do</t>
        </is>
      </c>
      <c r="H253" s="6" t="inlineStr">
        <is>
          <t>26/10</t>
        </is>
      </c>
      <c r="I253" s="6" t="inlineStr">
        <is>
          <t>T-196, T-197, T-234</t>
        </is>
      </c>
      <c r="J253" s="6" t="n"/>
      <c r="K253" s="7" t="n"/>
    </row>
    <row r="254" ht="30" customHeight="1">
      <c r="B254" s="6" t="inlineStr">
        <is>
          <t>T-199</t>
        </is>
      </c>
      <c r="C254" s="7" t="inlineStr">
        <is>
          <t>Probar la funcionalidad de HU-45 (la API con Postman y la pantalla web) contra cada condición final y aprobar su PR</t>
        </is>
      </c>
      <c r="D254" s="6" t="inlineStr">
        <is>
          <t>Pruebas</t>
        </is>
      </c>
      <c r="E254" s="6" t="inlineStr">
        <is>
          <t>Fernando</t>
        </is>
      </c>
      <c r="F254" s="6" t="n">
        <v>1</v>
      </c>
      <c r="G254" s="6" t="inlineStr">
        <is>
          <t>To Do</t>
        </is>
      </c>
      <c r="H254" s="6" t="inlineStr">
        <is>
          <t>27/10</t>
        </is>
      </c>
      <c r="I254" s="6" t="inlineStr">
        <is>
          <t>T-195, T-196, T-197, T-198, T-233</t>
        </is>
      </c>
      <c r="J254" s="6" t="n"/>
      <c r="K254" s="7" t="inlineStr">
        <is>
          <t>alguien distinto del autor (T1, T5, T8)</t>
        </is>
      </c>
    </row>
    <row r="255" ht="30" customHeight="1">
      <c r="B255" s="8" t="inlineStr">
        <is>
          <t>T-200</t>
        </is>
      </c>
      <c r="C255" s="9" t="inlineStr">
        <is>
          <t>Aceptar HU-45 como Product Owner desde la interfaz y moverla a Done</t>
        </is>
      </c>
      <c r="D255" s="8" t="inlineStr">
        <is>
          <t>Aceptación</t>
        </is>
      </c>
      <c r="E255" s="8" t="inlineStr">
        <is>
          <t>Adiel</t>
        </is>
      </c>
      <c r="F255" s="8" t="n">
        <v>0.5</v>
      </c>
      <c r="G255" s="8" t="inlineStr">
        <is>
          <t>To Do</t>
        </is>
      </c>
      <c r="H255" s="8" t="inlineStr">
        <is>
          <t>27/10</t>
        </is>
      </c>
      <c r="I255" s="8" t="inlineStr">
        <is>
          <t>T-199</t>
        </is>
      </c>
      <c r="J255" s="8" t="n"/>
      <c r="K255" s="9" t="inlineStr">
        <is>
          <t>mueve la HU a Done</t>
        </is>
      </c>
    </row>
    <row r="256">
      <c r="B256" s="4" t="inlineStr">
        <is>
          <t>HU-55 · Valorizar salidas   8 pts</t>
        </is>
      </c>
    </row>
    <row r="257" ht="18" customHeight="1">
      <c r="B257" s="5" t="inlineStr">
        <is>
          <t>Como gerente, quiero consultar cada salida valorizada al costo promedio ponderado, para conocer el costo de lo que se consumió.</t>
        </is>
      </c>
    </row>
    <row r="258" ht="30" customHeight="1">
      <c r="B258" s="6" t="inlineStr">
        <is>
          <t>T-201</t>
        </is>
      </c>
      <c r="C258" s="7" t="inlineStr">
        <is>
          <t>Diseñar la interfaz de usuario de HU-55: pantalla 3 · Registrar salida y 13 · Tablero</t>
        </is>
      </c>
      <c r="D258" s="6" t="inlineStr">
        <is>
          <t>Diseño UI</t>
        </is>
      </c>
      <c r="E258" s="6" t="inlineStr">
        <is>
          <t>Fernando</t>
        </is>
      </c>
      <c r="F258" s="6" t="n">
        <v>1</v>
      </c>
      <c r="G258" s="6" t="inlineStr">
        <is>
          <t>Done</t>
        </is>
      </c>
      <c r="H258" s="6" t="inlineStr">
        <is>
          <t>23/10</t>
        </is>
      </c>
      <c r="I258" s="6" t="n"/>
      <c r="J258" s="6" t="n"/>
      <c r="K258" s="7" t="inlineStr">
        <is>
          <t>mockup en el lienzo «SIGRO · Pantallas y diagramas del Sprint 1», WCAG AA</t>
        </is>
      </c>
    </row>
    <row r="259" ht="30" customHeight="1">
      <c r="B259" s="6" t="inlineStr">
        <is>
          <t>T-202</t>
        </is>
      </c>
      <c r="C259" s="7" t="inlineStr">
        <is>
          <t>Modelar la funcionalidad de HU-55 con el diagrama UML de secuencia de la recepción y el costo promedio ponderado</t>
        </is>
      </c>
      <c r="D259" s="6" t="inlineStr">
        <is>
          <t>Modelado UML</t>
        </is>
      </c>
      <c r="E259" s="6" t="inlineStr">
        <is>
          <t>Fernando</t>
        </is>
      </c>
      <c r="F259" s="6" t="n">
        <v>1</v>
      </c>
      <c r="G259" s="6" t="inlineStr">
        <is>
          <t>Done</t>
        </is>
      </c>
      <c r="H259" s="6" t="inlineStr">
        <is>
          <t>24/10</t>
        </is>
      </c>
      <c r="I259" s="6" t="n"/>
      <c r="J259" s="6" t="n"/>
      <c r="K259" s="7" t="inlineStr">
        <is>
          <t>ya está en el lienzo</t>
        </is>
      </c>
    </row>
    <row r="260" ht="30" customHeight="1">
      <c r="B260" s="6" t="inlineStr">
        <is>
          <t>T-203</t>
        </is>
      </c>
      <c r="C260" s="7" t="inlineStr">
        <is>
          <t>Implementar las tablas asociadas a HU-55: costo_promedio por insumo y almacén</t>
        </is>
      </c>
      <c r="D260" s="6" t="inlineStr">
        <is>
          <t>Base de datos</t>
        </is>
      </c>
      <c r="E260" s="6" t="inlineStr">
        <is>
          <t>Adiel</t>
        </is>
      </c>
      <c r="F260" s="6" t="n">
        <v>1</v>
      </c>
      <c r="G260" s="6" t="inlineStr">
        <is>
          <t>To Do</t>
        </is>
      </c>
      <c r="H260" s="6" t="inlineStr">
        <is>
          <t>24/10</t>
        </is>
      </c>
      <c r="I260" s="6" t="inlineStr">
        <is>
          <t>T-202</t>
        </is>
      </c>
      <c r="J260" s="6" t="n"/>
      <c r="K260" s="7" t="n"/>
    </row>
    <row r="261" ht="30" customHeight="1">
      <c r="B261" s="6" t="inlineStr">
        <is>
          <t>T-204</t>
        </is>
      </c>
      <c r="C261" s="7" t="inlineStr">
        <is>
          <t>Programar el back-end de HU-55 (entidad, repositorio, servicio y controlador): el costo promedio ponderado congelado en cada salida, sin IGV de factura (NIC 2)</t>
        </is>
      </c>
      <c r="D261" s="6" t="inlineStr">
        <is>
          <t>Backend</t>
        </is>
      </c>
      <c r="E261" s="6" t="inlineStr">
        <is>
          <t>Adiel</t>
        </is>
      </c>
      <c r="F261" s="6" t="n">
        <v>7</v>
      </c>
      <c r="G261" s="6" t="inlineStr">
        <is>
          <t>To Do</t>
        </is>
      </c>
      <c r="H261" s="6" t="inlineStr">
        <is>
          <t>25/10</t>
        </is>
      </c>
      <c r="I261" s="6" t="inlineStr">
        <is>
          <t>T-203</t>
        </is>
      </c>
      <c r="J261" s="6" t="n"/>
      <c r="K261" s="7" t="n"/>
    </row>
    <row r="262" ht="30" customHeight="1">
      <c r="B262" s="6" t="inlineStr">
        <is>
          <t>T-205</t>
        </is>
      </c>
      <c r="C262" s="7" t="inlineStr">
        <is>
          <t>Implementar la función que recalcula el costo promedio ponderado en cada ingreso (HU-55)</t>
        </is>
      </c>
      <c r="D262" s="6" t="inlineStr">
        <is>
          <t>Triggers y funciones</t>
        </is>
      </c>
      <c r="E262" s="6" t="inlineStr">
        <is>
          <t>Adiel</t>
        </is>
      </c>
      <c r="F262" s="6" t="n">
        <v>1</v>
      </c>
      <c r="G262" s="6" t="inlineStr">
        <is>
          <t>To Do</t>
        </is>
      </c>
      <c r="H262" s="6" t="inlineStr">
        <is>
          <t>25/10</t>
        </is>
      </c>
      <c r="I262" s="6" t="inlineStr">
        <is>
          <t>T-203</t>
        </is>
      </c>
      <c r="J262" s="6" t="n"/>
      <c r="K262" s="7" t="n"/>
    </row>
    <row r="263" ht="30" customHeight="1">
      <c r="B263" s="6" t="inlineStr">
        <is>
          <t>T-206</t>
        </is>
      </c>
      <c r="C263" s="7" t="inlineStr">
        <is>
          <t>Mostrar la salida valorizada en el kárdex y en el reporte web</t>
        </is>
      </c>
      <c r="D263" s="6" t="inlineStr">
        <is>
          <t>Front-end web</t>
        </is>
      </c>
      <c r="E263" s="6" t="inlineStr">
        <is>
          <t>Henry</t>
        </is>
      </c>
      <c r="F263" s="6" t="n">
        <v>7</v>
      </c>
      <c r="G263" s="6" t="inlineStr">
        <is>
          <t>To Do</t>
        </is>
      </c>
      <c r="H263" s="6" t="inlineStr">
        <is>
          <t>26/10</t>
        </is>
      </c>
      <c r="I263" s="6" t="inlineStr">
        <is>
          <t>T-201</t>
        </is>
      </c>
      <c r="J263" s="6" t="n"/>
      <c r="K263" s="7" t="n"/>
    </row>
    <row r="264" ht="30" customHeight="1">
      <c r="B264" s="6" t="inlineStr">
        <is>
          <t>T-207</t>
        </is>
      </c>
      <c r="C264" s="7" t="inlineStr">
        <is>
          <t>Probar la funcionalidad de HU-55 (la API con Postman y la pantalla web) contra cada condición final y aprobar su PR</t>
        </is>
      </c>
      <c r="D264" s="6" t="inlineStr">
        <is>
          <t>Pruebas</t>
        </is>
      </c>
      <c r="E264" s="6" t="inlineStr">
        <is>
          <t>Fernando</t>
        </is>
      </c>
      <c r="F264" s="6" t="n">
        <v>1</v>
      </c>
      <c r="G264" s="6" t="inlineStr">
        <is>
          <t>To Do</t>
        </is>
      </c>
      <c r="H264" s="6" t="inlineStr">
        <is>
          <t>27/10</t>
        </is>
      </c>
      <c r="I264" s="6" t="inlineStr">
        <is>
          <t>T-203, T-204, T-205, T-206, T-233</t>
        </is>
      </c>
      <c r="J264" s="6" t="n"/>
      <c r="K264" s="7" t="inlineStr">
        <is>
          <t>alguien distinto del autor (T1, T5, T8)</t>
        </is>
      </c>
    </row>
    <row r="265" ht="30" customHeight="1">
      <c r="B265" s="8" t="inlineStr">
        <is>
          <t>T-208</t>
        </is>
      </c>
      <c r="C265" s="9" t="inlineStr">
        <is>
          <t>Aceptar HU-55 como Product Owner desde la interfaz y moverla a Done</t>
        </is>
      </c>
      <c r="D265" s="8" t="inlineStr">
        <is>
          <t>Aceptación</t>
        </is>
      </c>
      <c r="E265" s="8" t="inlineStr">
        <is>
          <t>Adiel</t>
        </is>
      </c>
      <c r="F265" s="8" t="n">
        <v>0.5</v>
      </c>
      <c r="G265" s="8" t="inlineStr">
        <is>
          <t>To Do</t>
        </is>
      </c>
      <c r="H265" s="8" t="inlineStr">
        <is>
          <t>27/10</t>
        </is>
      </c>
      <c r="I265" s="8" t="inlineStr">
        <is>
          <t>T-207</t>
        </is>
      </c>
      <c r="J265" s="8" t="n"/>
      <c r="K265" s="9" t="inlineStr">
        <is>
          <t>mueve la HU a Done</t>
        </is>
      </c>
    </row>
    <row r="266">
      <c r="B266" s="4" t="inlineStr">
        <is>
          <t>HU-57 · Comparar consumo vs. lo planificado   8 pts</t>
        </is>
      </c>
    </row>
    <row r="267" ht="18" customHeight="1">
      <c r="B267" s="5" t="inlineStr">
        <is>
          <t>Como gerente, quiero comparar el consumo valorizado de cada insumo contra lo que se planificó para la obra, para detectar la desviación de costo mientras la obra corre.</t>
        </is>
      </c>
    </row>
    <row r="268" ht="30" customHeight="1">
      <c r="B268" s="6" t="inlineStr">
        <is>
          <t>T-209</t>
        </is>
      </c>
      <c r="C268" s="7" t="inlineStr">
        <is>
          <t>Diseñar la interfaz de usuario de HU-57: pantalla 13 · Gasto en recursos</t>
        </is>
      </c>
      <c r="D268" s="6" t="inlineStr">
        <is>
          <t>Diseño UI</t>
        </is>
      </c>
      <c r="E268" s="6" t="inlineStr">
        <is>
          <t>Fernando</t>
        </is>
      </c>
      <c r="F268" s="6" t="n">
        <v>1</v>
      </c>
      <c r="G268" s="6" t="inlineStr">
        <is>
          <t>Done</t>
        </is>
      </c>
      <c r="H268" s="6" t="inlineStr">
        <is>
          <t>23/10</t>
        </is>
      </c>
      <c r="I268" s="6" t="n"/>
      <c r="J268" s="6" t="n"/>
      <c r="K268" s="7" t="inlineStr">
        <is>
          <t>mockup en el lienzo «SIGRO · Pantallas y diagramas del Sprint 1», WCAG AA</t>
        </is>
      </c>
    </row>
    <row r="269" ht="30" customHeight="1">
      <c r="B269" s="6" t="inlineStr">
        <is>
          <t>T-210</t>
        </is>
      </c>
      <c r="C269" s="7" t="inlineStr">
        <is>
          <t>Modelar la funcionalidad de HU-57 con el diagrama UML de actividades de la comparación contra lo planificado</t>
        </is>
      </c>
      <c r="D269" s="6" t="inlineStr">
        <is>
          <t>Modelado UML</t>
        </is>
      </c>
      <c r="E269" s="6" t="inlineStr">
        <is>
          <t>Henry</t>
        </is>
      </c>
      <c r="F269" s="6" t="n">
        <v>1</v>
      </c>
      <c r="G269" s="6" t="inlineStr">
        <is>
          <t>To Do</t>
        </is>
      </c>
      <c r="H269" s="6" t="inlineStr">
        <is>
          <t>24/10</t>
        </is>
      </c>
      <c r="I269" s="6" t="inlineStr">
        <is>
          <t>T-209</t>
        </is>
      </c>
      <c r="J269" s="6" t="n"/>
      <c r="K269" s="7" t="n"/>
    </row>
    <row r="270" ht="30" customHeight="1">
      <c r="B270" s="6" t="inlineStr">
        <is>
          <t>T-211</t>
        </is>
      </c>
      <c r="C270" s="7" t="inlineStr">
        <is>
          <t>Implementar las tablas asociadas a HU-57: vista de desviación contra requerimiento</t>
        </is>
      </c>
      <c r="D270" s="6" t="inlineStr">
        <is>
          <t>Base de datos</t>
        </is>
      </c>
      <c r="E270" s="6" t="inlineStr">
        <is>
          <t>Adiel</t>
        </is>
      </c>
      <c r="F270" s="6" t="n">
        <v>1</v>
      </c>
      <c r="G270" s="6" t="inlineStr">
        <is>
          <t>To Do</t>
        </is>
      </c>
      <c r="H270" s="6" t="inlineStr">
        <is>
          <t>24/10</t>
        </is>
      </c>
      <c r="I270" s="6" t="inlineStr">
        <is>
          <t>T-210</t>
        </is>
      </c>
      <c r="J270" s="6" t="n"/>
      <c r="K270" s="7" t="n"/>
    </row>
    <row r="271" ht="30" customHeight="1">
      <c r="B271" s="6" t="inlineStr">
        <is>
          <t>T-212</t>
        </is>
      </c>
      <c r="C271" s="7" t="inlineStr">
        <is>
          <t>Programar el back-end de HU-57 (entidad, repositorio, servicio y controlador): la comparación del consumo contra lo planificado en el S10</t>
        </is>
      </c>
      <c r="D271" s="6" t="inlineStr">
        <is>
          <t>Backend</t>
        </is>
      </c>
      <c r="E271" s="6" t="inlineStr">
        <is>
          <t>Adiel</t>
        </is>
      </c>
      <c r="F271" s="6" t="n">
        <v>5</v>
      </c>
      <c r="G271" s="6" t="inlineStr">
        <is>
          <t>To Do</t>
        </is>
      </c>
      <c r="H271" s="6" t="inlineStr">
        <is>
          <t>25/10</t>
        </is>
      </c>
      <c r="I271" s="6" t="inlineStr">
        <is>
          <t>T-211</t>
        </is>
      </c>
      <c r="J271" s="6" t="n"/>
      <c r="K271" s="7" t="n"/>
    </row>
    <row r="272" ht="30" customHeight="1">
      <c r="B272" s="6" t="inlineStr">
        <is>
          <t>T-213</t>
        </is>
      </c>
      <c r="C272" s="7" t="inlineStr">
        <is>
          <t>Programar la pantalla web «Gasto en recursos» con la desviación</t>
        </is>
      </c>
      <c r="D272" s="6" t="inlineStr">
        <is>
          <t>Front-end web</t>
        </is>
      </c>
      <c r="E272" s="6" t="inlineStr">
        <is>
          <t>Fernando</t>
        </is>
      </c>
      <c r="F272" s="6" t="n">
        <v>5</v>
      </c>
      <c r="G272" s="6" t="inlineStr">
        <is>
          <t>Done</t>
        </is>
      </c>
      <c r="H272" s="6" t="inlineStr">
        <is>
          <t>26/10</t>
        </is>
      </c>
      <c r="I272" s="6" t="n"/>
      <c r="J272" s="6" t="n"/>
      <c r="K272" s="7" t="inlineStr">
        <is>
          <t>pantalla hecha con datos simulados; falta conectarla a la API real</t>
        </is>
      </c>
    </row>
    <row r="273" ht="30" customHeight="1">
      <c r="B273" s="6" t="inlineStr">
        <is>
          <t>T-214</t>
        </is>
      </c>
      <c r="C273" s="7" t="inlineStr">
        <is>
          <t>Conectar la pantalla de desviación con la API real</t>
        </is>
      </c>
      <c r="D273" s="6" t="inlineStr">
        <is>
          <t>Conexión API</t>
        </is>
      </c>
      <c r="E273" s="6" t="inlineStr">
        <is>
          <t>Henry</t>
        </is>
      </c>
      <c r="F273" s="6" t="n">
        <v>5</v>
      </c>
      <c r="G273" s="6" t="inlineStr">
        <is>
          <t>To Do</t>
        </is>
      </c>
      <c r="H273" s="6" t="inlineStr">
        <is>
          <t>26/10</t>
        </is>
      </c>
      <c r="I273" s="6" t="inlineStr">
        <is>
          <t>T-212, T-213, T-234</t>
        </is>
      </c>
      <c r="J273" s="6" t="n"/>
      <c r="K273" s="7" t="n"/>
    </row>
    <row r="274" ht="30" customHeight="1">
      <c r="B274" s="6" t="inlineStr">
        <is>
          <t>T-215</t>
        </is>
      </c>
      <c r="C274" s="7" t="inlineStr">
        <is>
          <t>Probar la funcionalidad de HU-57 (la API con Postman y la pantalla web) contra cada condición final y aprobar su PR</t>
        </is>
      </c>
      <c r="D274" s="6" t="inlineStr">
        <is>
          <t>Pruebas</t>
        </is>
      </c>
      <c r="E274" s="6" t="inlineStr">
        <is>
          <t>Fernando</t>
        </is>
      </c>
      <c r="F274" s="6" t="n">
        <v>1</v>
      </c>
      <c r="G274" s="6" t="inlineStr">
        <is>
          <t>To Do</t>
        </is>
      </c>
      <c r="H274" s="6" t="inlineStr">
        <is>
          <t>27/10</t>
        </is>
      </c>
      <c r="I274" s="6" t="inlineStr">
        <is>
          <t>T-211, T-212, T-213, T-214, T-233</t>
        </is>
      </c>
      <c r="J274" s="6" t="n"/>
      <c r="K274" s="7" t="inlineStr">
        <is>
          <t>alguien distinto del autor (T1, T5, T8)</t>
        </is>
      </c>
    </row>
    <row r="275" ht="30" customHeight="1">
      <c r="B275" s="8" t="inlineStr">
        <is>
          <t>T-216</t>
        </is>
      </c>
      <c r="C275" s="9" t="inlineStr">
        <is>
          <t>Aceptar HU-57 como Product Owner desde la interfaz y moverla a Done</t>
        </is>
      </c>
      <c r="D275" s="8" t="inlineStr">
        <is>
          <t>Aceptación</t>
        </is>
      </c>
      <c r="E275" s="8" t="inlineStr">
        <is>
          <t>Adiel</t>
        </is>
      </c>
      <c r="F275" s="8" t="n">
        <v>0.5</v>
      </c>
      <c r="G275" s="8" t="inlineStr">
        <is>
          <t>To Do</t>
        </is>
      </c>
      <c r="H275" s="8" t="inlineStr">
        <is>
          <t>27/10</t>
        </is>
      </c>
      <c r="I275" s="8" t="inlineStr">
        <is>
          <t>T-215</t>
        </is>
      </c>
      <c r="J275" s="8" t="n"/>
      <c r="K275" s="9" t="inlineStr">
        <is>
          <t>mueve la HU a Done</t>
        </is>
      </c>
    </row>
    <row r="276">
      <c r="B276" s="4" t="inlineStr">
        <is>
          <t>HU-62 · Registrar trabajadores   3 pts</t>
        </is>
      </c>
    </row>
    <row r="277" ht="18" customHeight="1">
      <c r="B277" s="5" t="inlineStr">
        <is>
          <t>Como almacenero, quiero registrar a cada trabajador de la obra con su categoría y su cuadrilla, para saber quiénes componen la mano de obra de esa obra.</t>
        </is>
      </c>
    </row>
    <row r="278" ht="30" customHeight="1">
      <c r="B278" s="6" t="inlineStr">
        <is>
          <t>T-217</t>
        </is>
      </c>
      <c r="C278" s="7" t="inlineStr">
        <is>
          <t>Diseñar la interfaz de usuario de HU-62: pantalla 6 · Registrar trabajador</t>
        </is>
      </c>
      <c r="D278" s="6" t="inlineStr">
        <is>
          <t>Diseño UI</t>
        </is>
      </c>
      <c r="E278" s="6" t="inlineStr">
        <is>
          <t>Fernando</t>
        </is>
      </c>
      <c r="F278" s="6" t="n">
        <v>1</v>
      </c>
      <c r="G278" s="6" t="inlineStr">
        <is>
          <t>Done</t>
        </is>
      </c>
      <c r="H278" s="6" t="inlineStr">
        <is>
          <t>23/10</t>
        </is>
      </c>
      <c r="I278" s="6" t="n"/>
      <c r="J278" s="6" t="n"/>
      <c r="K278" s="7" t="inlineStr">
        <is>
          <t>mockup en el lienzo «SIGRO · Pantallas y diagramas del Sprint 1», WCAG AA</t>
        </is>
      </c>
    </row>
    <row r="279" ht="30" customHeight="1">
      <c r="B279" s="6" t="inlineStr">
        <is>
          <t>T-218</t>
        </is>
      </c>
      <c r="C279" s="7" t="inlineStr">
        <is>
          <t>Modelar la funcionalidad de HU-62 con el diagrama UML de secuencia del registro con consulta de DNI</t>
        </is>
      </c>
      <c r="D279" s="6" t="inlineStr">
        <is>
          <t>Modelado UML</t>
        </is>
      </c>
      <c r="E279" s="6" t="inlineStr">
        <is>
          <t>Nicolás</t>
        </is>
      </c>
      <c r="F279" s="6" t="n">
        <v>1</v>
      </c>
      <c r="G279" s="6" t="inlineStr">
        <is>
          <t>To Do</t>
        </is>
      </c>
      <c r="H279" s="6" t="inlineStr">
        <is>
          <t>24/10</t>
        </is>
      </c>
      <c r="I279" s="6" t="inlineStr">
        <is>
          <t>T-217</t>
        </is>
      </c>
      <c r="J279" s="6" t="n"/>
      <c r="K279" s="7" t="n"/>
    </row>
    <row r="280" ht="30" customHeight="1">
      <c r="B280" s="6" t="inlineStr">
        <is>
          <t>T-219</t>
        </is>
      </c>
      <c r="C280" s="7" t="inlineStr">
        <is>
          <t>Implementar las tablas asociadas a HU-62: trabajador (único por obra, baja con fecha)</t>
        </is>
      </c>
      <c r="D280" s="6" t="inlineStr">
        <is>
          <t>Base de datos</t>
        </is>
      </c>
      <c r="E280" s="6" t="inlineStr">
        <is>
          <t>Adiel</t>
        </is>
      </c>
      <c r="F280" s="6" t="n">
        <v>1</v>
      </c>
      <c r="G280" s="6" t="inlineStr">
        <is>
          <t>Done</t>
        </is>
      </c>
      <c r="H280" s="6" t="inlineStr">
        <is>
          <t>24/10</t>
        </is>
      </c>
      <c r="I280" s="6" t="n"/>
      <c r="J280" s="6" t="n"/>
      <c r="K280" s="7" t="inlineStr">
        <is>
          <t>migraciones 0001–0006 de la API</t>
        </is>
      </c>
    </row>
    <row r="281" ht="30" customHeight="1">
      <c r="B281" s="6" t="inlineStr">
        <is>
          <t>T-220</t>
        </is>
      </c>
      <c r="C281" s="7" t="inlineStr">
        <is>
          <t>Programar el back-end de HU-62 (entidad, repositorio, servicio y controlador): el registro de trabajadores: único por obra y baja con fecha</t>
        </is>
      </c>
      <c r="D281" s="6" t="inlineStr">
        <is>
          <t>Backend</t>
        </is>
      </c>
      <c r="E281" s="6" t="inlineStr">
        <is>
          <t>Adiel</t>
        </is>
      </c>
      <c r="F281" s="6" t="n">
        <v>2</v>
      </c>
      <c r="G281" s="6" t="inlineStr">
        <is>
          <t>Done</t>
        </is>
      </c>
      <c r="H281" s="6" t="inlineStr">
        <is>
          <t>25/10</t>
        </is>
      </c>
      <c r="I281" s="6" t="n"/>
      <c r="J281" s="6" t="n"/>
      <c r="K281" s="7" t="inlineStr">
        <is>
          <t>hecho en la API de Adiel (PR #1 fusionado a main), con pruebas</t>
        </is>
      </c>
    </row>
    <row r="282" ht="30" customHeight="1">
      <c r="B282" s="6" t="inlineStr">
        <is>
          <t>T-221</t>
        </is>
      </c>
      <c r="C282" s="7" t="inlineStr">
        <is>
          <t>Programar la consulta de DNI en RENIEC desde el microservicio — integración con RENIEC (DNI) vía Factiliza</t>
        </is>
      </c>
      <c r="D282" s="6" t="inlineStr">
        <is>
          <t>Integración</t>
        </is>
      </c>
      <c r="E282" s="6" t="inlineStr">
        <is>
          <t>Fernando</t>
        </is>
      </c>
      <c r="F282" s="6" t="n">
        <v>2</v>
      </c>
      <c r="G282" s="6" t="inlineStr">
        <is>
          <t>Done</t>
        </is>
      </c>
      <c r="H282" s="6" t="inlineStr">
        <is>
          <t>25/10</t>
        </is>
      </c>
      <c r="I282" s="6" t="n"/>
      <c r="J282" s="6" t="n"/>
      <c r="K282" s="7" t="inlineStr">
        <is>
          <t>probado con Factiliza</t>
        </is>
      </c>
    </row>
    <row r="283" ht="30" customHeight="1">
      <c r="B283" s="6" t="inlineStr">
        <is>
          <t>T-222</t>
        </is>
      </c>
      <c r="C283" s="7" t="inlineStr">
        <is>
          <t>Programar en la app el registro de trabajadores con consulta de DNI</t>
        </is>
      </c>
      <c r="D283" s="6" t="inlineStr">
        <is>
          <t>Front-end app</t>
        </is>
      </c>
      <c r="E283" s="6" t="inlineStr">
        <is>
          <t>Nicolás</t>
        </is>
      </c>
      <c r="F283" s="6" t="n">
        <v>2</v>
      </c>
      <c r="G283" s="6" t="inlineStr">
        <is>
          <t>To Do</t>
        </is>
      </c>
      <c r="H283" s="6" t="inlineStr">
        <is>
          <t>26/10</t>
        </is>
      </c>
      <c r="I283" s="6" t="inlineStr">
        <is>
          <t>T-217, T-235</t>
        </is>
      </c>
      <c r="J283" s="6" t="n"/>
      <c r="K283" s="7" t="n"/>
    </row>
    <row r="284" ht="30" customHeight="1">
      <c r="B284" s="6" t="inlineStr">
        <is>
          <t>T-223</t>
        </is>
      </c>
      <c r="C284" s="7" t="inlineStr">
        <is>
          <t>Probar la funcionalidad de HU-62 (la API con Postman y la app) contra cada condición final y aprobar su PR</t>
        </is>
      </c>
      <c r="D284" s="6" t="inlineStr">
        <is>
          <t>Pruebas</t>
        </is>
      </c>
      <c r="E284" s="6" t="inlineStr">
        <is>
          <t>Henry</t>
        </is>
      </c>
      <c r="F284" s="6" t="n">
        <v>1</v>
      </c>
      <c r="G284" s="6" t="inlineStr">
        <is>
          <t>To Do</t>
        </is>
      </c>
      <c r="H284" s="6" t="inlineStr">
        <is>
          <t>27/10</t>
        </is>
      </c>
      <c r="I284" s="6" t="inlineStr">
        <is>
          <t>T-219, T-220, T-221, T-222, T-233</t>
        </is>
      </c>
      <c r="J284" s="6" t="n"/>
      <c r="K284" s="7" t="inlineStr">
        <is>
          <t>alguien distinto del autor (T1, T5, T8)</t>
        </is>
      </c>
    </row>
    <row r="285" ht="30" customHeight="1">
      <c r="B285" s="8" t="inlineStr">
        <is>
          <t>T-224</t>
        </is>
      </c>
      <c r="C285" s="9" t="inlineStr">
        <is>
          <t>Aceptar HU-62 como Product Owner desde la interfaz y moverla a Done</t>
        </is>
      </c>
      <c r="D285" s="8" t="inlineStr">
        <is>
          <t>Aceptación</t>
        </is>
      </c>
      <c r="E285" s="8" t="inlineStr">
        <is>
          <t>Adiel</t>
        </is>
      </c>
      <c r="F285" s="8" t="n">
        <v>0.5</v>
      </c>
      <c r="G285" s="8" t="inlineStr">
        <is>
          <t>To Do</t>
        </is>
      </c>
      <c r="H285" s="8" t="inlineStr">
        <is>
          <t>27/10</t>
        </is>
      </c>
      <c r="I285" s="8" t="inlineStr">
        <is>
          <t>T-223</t>
        </is>
      </c>
      <c r="J285" s="8" t="n"/>
      <c r="K285" s="9" t="inlineStr">
        <is>
          <t>mueve la HU a Done</t>
        </is>
      </c>
    </row>
    <row r="286">
      <c r="B286" s="4" t="inlineStr">
        <is>
          <t>HU-63 · Tomar asistencia   5 pts</t>
        </is>
      </c>
    </row>
    <row r="287" ht="18" customHeight="1">
      <c r="B287" s="5" t="inlineStr">
        <is>
          <t>Como almacenero, quiero registrar la asistencia y las horas trabajadas de cada jornada, para tener el tareo de la obra en el sistema y no en un cuaderno.</t>
        </is>
      </c>
    </row>
    <row r="288" ht="30" customHeight="1">
      <c r="B288" s="6" t="inlineStr">
        <is>
          <t>T-225</t>
        </is>
      </c>
      <c r="C288" s="7" t="inlineStr">
        <is>
          <t>Diseñar la interfaz de usuario de HU-63: pantalla 7 · Asistencia de la jornada</t>
        </is>
      </c>
      <c r="D288" s="6" t="inlineStr">
        <is>
          <t>Diseño UI</t>
        </is>
      </c>
      <c r="E288" s="6" t="inlineStr">
        <is>
          <t>Fernando</t>
        </is>
      </c>
      <c r="F288" s="6" t="n">
        <v>1</v>
      </c>
      <c r="G288" s="6" t="inlineStr">
        <is>
          <t>Done</t>
        </is>
      </c>
      <c r="H288" s="6" t="inlineStr">
        <is>
          <t>23/10</t>
        </is>
      </c>
      <c r="I288" s="6" t="n"/>
      <c r="J288" s="6" t="n"/>
      <c r="K288" s="7" t="inlineStr">
        <is>
          <t>mockup en el lienzo «SIGRO · Pantallas y diagramas del Sprint 1», WCAG AA</t>
        </is>
      </c>
    </row>
    <row r="289" ht="30" customHeight="1">
      <c r="B289" s="6" t="inlineStr">
        <is>
          <t>T-226</t>
        </is>
      </c>
      <c r="C289" s="7" t="inlineStr">
        <is>
          <t>Modelar la funcionalidad de HU-63 con el diagrama UML de actividades de la toma de asistencia</t>
        </is>
      </c>
      <c r="D289" s="6" t="inlineStr">
        <is>
          <t>Modelado UML</t>
        </is>
      </c>
      <c r="E289" s="6" t="inlineStr">
        <is>
          <t>Nicolás</t>
        </is>
      </c>
      <c r="F289" s="6" t="n">
        <v>1</v>
      </c>
      <c r="G289" s="6" t="inlineStr">
        <is>
          <t>To Do</t>
        </is>
      </c>
      <c r="H289" s="6" t="inlineStr">
        <is>
          <t>24/10</t>
        </is>
      </c>
      <c r="I289" s="6" t="inlineStr">
        <is>
          <t>T-225</t>
        </is>
      </c>
      <c r="J289" s="6" t="n"/>
      <c r="K289" s="7" t="n"/>
    </row>
    <row r="290" ht="30" customHeight="1">
      <c r="B290" s="6" t="inlineStr">
        <is>
          <t>T-227</t>
        </is>
      </c>
      <c r="C290" s="7" t="inlineStr">
        <is>
          <t>Implementar las tablas asociadas a HU-63: jornada (UNIQUE trabajador + fecha entre las vigentes)</t>
        </is>
      </c>
      <c r="D290" s="6" t="inlineStr">
        <is>
          <t>Base de datos</t>
        </is>
      </c>
      <c r="E290" s="6" t="inlineStr">
        <is>
          <t>Adiel</t>
        </is>
      </c>
      <c r="F290" s="6" t="n">
        <v>1</v>
      </c>
      <c r="G290" s="6" t="inlineStr">
        <is>
          <t>Done</t>
        </is>
      </c>
      <c r="H290" s="6" t="inlineStr">
        <is>
          <t>24/10</t>
        </is>
      </c>
      <c r="I290" s="6" t="n"/>
      <c r="J290" s="6" t="n"/>
      <c r="K290" s="7" t="inlineStr">
        <is>
          <t>migraciones 0001–0006 de la API</t>
        </is>
      </c>
    </row>
    <row r="291" ht="30" customHeight="1">
      <c r="B291" s="6" t="inlineStr">
        <is>
          <t>T-228</t>
        </is>
      </c>
      <c r="C291" s="7" t="inlineStr">
        <is>
          <t>Programar el back-end de HU-63 (entidad, repositorio, servicio y controlador): la asistencia: una jornada por trabajador y fecha, corrección sin borrar</t>
        </is>
      </c>
      <c r="D291" s="6" t="inlineStr">
        <is>
          <t>Backend</t>
        </is>
      </c>
      <c r="E291" s="6" t="inlineStr">
        <is>
          <t>Adiel</t>
        </is>
      </c>
      <c r="F291" s="6" t="n">
        <v>4</v>
      </c>
      <c r="G291" s="6" t="inlineStr">
        <is>
          <t>Done</t>
        </is>
      </c>
      <c r="H291" s="6" t="inlineStr">
        <is>
          <t>25/10</t>
        </is>
      </c>
      <c r="I291" s="6" t="n"/>
      <c r="J291" s="6" t="n"/>
      <c r="K291" s="7" t="inlineStr">
        <is>
          <t>tareo hecho en la API de Adiel; confirmar criterios</t>
        </is>
      </c>
    </row>
    <row r="292" ht="30" customHeight="1">
      <c r="B292" s="6" t="inlineStr">
        <is>
          <t>T-229</t>
        </is>
      </c>
      <c r="C292" s="7" t="inlineStr">
        <is>
          <t>Implementar el índice único parcial (trabajador, fecha) entre las jornadas vigentes (HU-63)</t>
        </is>
      </c>
      <c r="D292" s="6" t="inlineStr">
        <is>
          <t>Triggers y funciones</t>
        </is>
      </c>
      <c r="E292" s="6" t="inlineStr">
        <is>
          <t>Adiel</t>
        </is>
      </c>
      <c r="F292" s="6" t="n">
        <v>1</v>
      </c>
      <c r="G292" s="6" t="inlineStr">
        <is>
          <t>Done</t>
        </is>
      </c>
      <c r="H292" s="6" t="inlineStr">
        <is>
          <t>25/10</t>
        </is>
      </c>
      <c r="I292" s="6" t="n"/>
      <c r="J292" s="6" t="n"/>
      <c r="K292" s="7" t="n"/>
    </row>
    <row r="293" ht="30" customHeight="1">
      <c r="B293" s="6" t="inlineStr">
        <is>
          <t>T-230</t>
        </is>
      </c>
      <c r="C293" s="7" t="inlineStr">
        <is>
          <t>Programar la pantalla de asistencia del día en la app (horas normales y extra)</t>
        </is>
      </c>
      <c r="D293" s="6" t="inlineStr">
        <is>
          <t>Front-end app</t>
        </is>
      </c>
      <c r="E293" s="6" t="inlineStr">
        <is>
          <t>Nicolás</t>
        </is>
      </c>
      <c r="F293" s="6" t="n">
        <v>4</v>
      </c>
      <c r="G293" s="6" t="inlineStr">
        <is>
          <t>To Do</t>
        </is>
      </c>
      <c r="H293" s="6" t="inlineStr">
        <is>
          <t>26/10</t>
        </is>
      </c>
      <c r="I293" s="6" t="inlineStr">
        <is>
          <t>T-225, T-235</t>
        </is>
      </c>
      <c r="J293" s="6" t="n"/>
      <c r="K293" s="7" t="n"/>
    </row>
    <row r="294" ht="30" customHeight="1">
      <c r="B294" s="6" t="inlineStr">
        <is>
          <t>T-231</t>
        </is>
      </c>
      <c r="C294" s="7" t="inlineStr">
        <is>
          <t>Probar la funcionalidad de HU-63 (la API con Postman y la app en modo avión y al volver la señal) contra cada condición final y aprobar su PR</t>
        </is>
      </c>
      <c r="D294" s="6" t="inlineStr">
        <is>
          <t>Pruebas</t>
        </is>
      </c>
      <c r="E294" s="6" t="inlineStr">
        <is>
          <t>Henry</t>
        </is>
      </c>
      <c r="F294" s="6" t="n">
        <v>1</v>
      </c>
      <c r="G294" s="6" t="inlineStr">
        <is>
          <t>To Do</t>
        </is>
      </c>
      <c r="H294" s="6" t="inlineStr">
        <is>
          <t>27/10</t>
        </is>
      </c>
      <c r="I294" s="6" t="inlineStr">
        <is>
          <t>T-227, T-228, T-229, T-230, T-233</t>
        </is>
      </c>
      <c r="J294" s="6" t="n"/>
      <c r="K294" s="7" t="inlineStr">
        <is>
          <t>alguien distinto del autor (T1, T5, T8)</t>
        </is>
      </c>
    </row>
    <row r="295" ht="30" customHeight="1">
      <c r="B295" s="8" t="inlineStr">
        <is>
          <t>T-232</t>
        </is>
      </c>
      <c r="C295" s="9" t="inlineStr">
        <is>
          <t>Aceptar HU-63 como Product Owner desde la interfaz y moverla a Done</t>
        </is>
      </c>
      <c r="D295" s="8" t="inlineStr">
        <is>
          <t>Aceptación</t>
        </is>
      </c>
      <c r="E295" s="8" t="inlineStr">
        <is>
          <t>Adiel</t>
        </is>
      </c>
      <c r="F295" s="8" t="n">
        <v>0.5</v>
      </c>
      <c r="G295" s="8" t="inlineStr">
        <is>
          <t>To Do</t>
        </is>
      </c>
      <c r="H295" s="8" t="inlineStr">
        <is>
          <t>27/10</t>
        </is>
      </c>
      <c r="I295" s="8" t="inlineStr">
        <is>
          <t>T-231</t>
        </is>
      </c>
      <c r="J295" s="8" t="n"/>
      <c r="K295" s="9" t="inlineStr">
        <is>
          <t>mueve la HU a Done</t>
        </is>
      </c>
    </row>
    <row r="296">
      <c r="B296" s="4" t="inlineStr">
        <is>
          <t xml:space="preserve">Tareas transversales (sin ellas ninguna HU llega a Done)   </t>
        </is>
      </c>
    </row>
    <row r="297" ht="30" customHeight="1">
      <c r="B297" s="6" t="inlineStr">
        <is>
          <t>T-233</t>
        </is>
      </c>
      <c r="C297" s="7" t="inlineStr">
        <is>
          <t>Desplegar el ambiente de pruebas (API, base de datos y web) que exige el T8 de la DoD</t>
        </is>
      </c>
      <c r="D297" s="6" t="inlineStr">
        <is>
          <t>DevOps</t>
        </is>
      </c>
      <c r="E297" s="6" t="inlineStr">
        <is>
          <t>Fernando</t>
        </is>
      </c>
      <c r="F297" s="6" t="n">
        <v>6</v>
      </c>
      <c r="G297" s="6" t="inlineStr">
        <is>
          <t>To Do</t>
        </is>
      </c>
      <c r="H297" s="6" t="inlineStr">
        <is>
          <t>24/10</t>
        </is>
      </c>
      <c r="I297" s="6" t="n"/>
      <c r="J297" s="6" t="n"/>
      <c r="K297" s="7" t="inlineStr">
        <is>
          <t>sin esto ninguna HU puede quedar Done</t>
        </is>
      </c>
    </row>
    <row r="298" ht="30" customHeight="1">
      <c r="B298" s="6" t="inlineStr">
        <is>
          <t>T-234</t>
        </is>
      </c>
      <c r="C298" s="7" t="inlineStr">
        <is>
          <t>Programar el ClienteHttp para que la web hable con la API real (snake_case ↔ camelCase, errores {codigo, mensaje})</t>
        </is>
      </c>
      <c r="D298" s="6" t="inlineStr">
        <is>
          <t>Web</t>
        </is>
      </c>
      <c r="E298" s="6" t="inlineStr">
        <is>
          <t>Henry</t>
        </is>
      </c>
      <c r="F298" s="6" t="n">
        <v>4</v>
      </c>
      <c r="G298" s="6" t="inlineStr">
        <is>
          <t>To Do</t>
        </is>
      </c>
      <c r="H298" s="6" t="inlineStr">
        <is>
          <t>26/10</t>
        </is>
      </c>
      <c r="I298" s="6" t="n"/>
      <c r="J298" s="6" t="n"/>
      <c r="K298" s="7" t="inlineStr">
        <is>
          <t>desbloquea todas las tareas «Conectar…»</t>
        </is>
      </c>
    </row>
    <row r="299" ht="30" customHeight="1">
      <c r="B299" s="6" t="inlineStr">
        <is>
          <t>T-235</t>
        </is>
      </c>
      <c r="C299" s="7" t="inlineStr">
        <is>
          <t>Crear el proyecto base de la app: Compose, Room, WorkManager y cliente de la API</t>
        </is>
      </c>
      <c r="D299" s="6" t="inlineStr">
        <is>
          <t>Android</t>
        </is>
      </c>
      <c r="E299" s="6" t="inlineStr">
        <is>
          <t>Nicolás</t>
        </is>
      </c>
      <c r="F299" s="6" t="n">
        <v>6</v>
      </c>
      <c r="G299" s="6" t="inlineStr">
        <is>
          <t>To Do</t>
        </is>
      </c>
      <c r="H299" s="6" t="inlineStr">
        <is>
          <t>26/10</t>
        </is>
      </c>
      <c r="I299" s="6" t="n"/>
      <c r="J299" s="6" t="n"/>
      <c r="K299" s="7" t="inlineStr">
        <is>
          <t>desbloquea todas las tareas Android</t>
        </is>
      </c>
    </row>
    <row r="300" ht="30" customHeight="1">
      <c r="B300" s="6" t="inlineStr">
        <is>
          <t>T-236</t>
        </is>
      </c>
      <c r="C300" s="7" t="inlineStr">
        <is>
          <t>Cargar en la base las semillas de los 626 proveedores reales</t>
        </is>
      </c>
      <c r="D300" s="6" t="inlineStr">
        <is>
          <t>Backend</t>
        </is>
      </c>
      <c r="E300" s="6" t="inlineStr">
        <is>
          <t>Adiel</t>
        </is>
      </c>
      <c r="F300" s="6" t="n">
        <v>1</v>
      </c>
      <c r="G300" s="6" t="inlineStr">
        <is>
          <t>To Do</t>
        </is>
      </c>
      <c r="H300" s="6" t="inlineStr">
        <is>
          <t>25/10</t>
        </is>
      </c>
      <c r="I300" s="6" t="n"/>
      <c r="J300" s="6" t="n"/>
      <c r="K300" s="7" t="n"/>
    </row>
    <row r="301" ht="30" customHeight="1">
      <c r="B301" s="6" t="inlineStr">
        <is>
          <t>T-237</t>
        </is>
      </c>
      <c r="C301" s="7" t="inlineStr">
        <is>
          <t>Configurar las pruebas automáticas en cada PR con GitHub Actions</t>
        </is>
      </c>
      <c r="D301" s="6" t="inlineStr">
        <is>
          <t>DevOps</t>
        </is>
      </c>
      <c r="E301" s="6" t="inlineStr">
        <is>
          <t>Adiel</t>
        </is>
      </c>
      <c r="F301" s="6" t="n">
        <v>3</v>
      </c>
      <c r="G301" s="6" t="inlineStr">
        <is>
          <t>To Do</t>
        </is>
      </c>
      <c r="H301" s="6" t="inlineStr">
        <is>
          <t>24/10</t>
        </is>
      </c>
      <c r="I301" s="6" t="n"/>
      <c r="J301" s="6" t="n"/>
      <c r="K301" s="7" t="inlineStr">
        <is>
          <t>T5 de la DoD</t>
        </is>
      </c>
    </row>
    <row r="302" ht="30" customHeight="1">
      <c r="B302" s="6" t="inlineStr">
        <is>
          <t>T-238</t>
        </is>
      </c>
      <c r="C302" s="7" t="inlineStr">
        <is>
          <t>Poner el repositorio en privado e invitar al docente como lector</t>
        </is>
      </c>
      <c r="D302" s="6" t="inlineStr">
        <is>
          <t>Scrum</t>
        </is>
      </c>
      <c r="E302" s="6" t="inlineStr">
        <is>
          <t>Fernando</t>
        </is>
      </c>
      <c r="F302" s="6" t="n">
        <v>0.5</v>
      </c>
      <c r="G302" s="6" t="inlineStr">
        <is>
          <t>To Do</t>
        </is>
      </c>
      <c r="H302" s="6" t="inlineStr">
        <is>
          <t>23/10</t>
        </is>
      </c>
      <c r="I302" s="6" t="n"/>
      <c r="J302" s="6" t="n"/>
      <c r="K302" s="7" t="inlineStr">
        <is>
          <t>hoy está público</t>
        </is>
      </c>
    </row>
    <row r="303" ht="30" customHeight="1">
      <c r="B303" s="6" t="inlineStr">
        <is>
          <t>T-239</t>
        </is>
      </c>
      <c r="C303" s="7" t="inlineStr">
        <is>
          <t>Armar el tablero en GitHub Projects con las plantillas de DoR y DoD</t>
        </is>
      </c>
      <c r="D303" s="6" t="inlineStr">
        <is>
          <t>Scrum</t>
        </is>
      </c>
      <c r="E303" s="6" t="inlineStr">
        <is>
          <t>Fernando</t>
        </is>
      </c>
      <c r="F303" s="6" t="n">
        <v>2</v>
      </c>
      <c r="G303" s="6" t="inlineStr">
        <is>
          <t>Doing</t>
        </is>
      </c>
      <c r="H303" s="6" t="inlineStr">
        <is>
          <t>23/10</t>
        </is>
      </c>
      <c r="I303" s="6" t="n"/>
      <c r="J303" s="6" t="n"/>
      <c r="K303" s="7" t="n"/>
    </row>
    <row r="304" ht="30" customHeight="1">
      <c r="B304" s="6" t="inlineStr">
        <is>
          <t>T-240</t>
        </is>
      </c>
      <c r="C304" s="7" t="inlineStr">
        <is>
          <t>Facilitar el Daily Scrum de 15 minutos cada día, registrarlo y actualizar el burndown</t>
        </is>
      </c>
      <c r="D304" s="6" t="inlineStr">
        <is>
          <t>Scrum</t>
        </is>
      </c>
      <c r="E304" s="6" t="inlineStr">
        <is>
          <t>Fernando</t>
        </is>
      </c>
      <c r="F304" s="6" t="n">
        <v>2</v>
      </c>
      <c r="G304" s="6" t="inlineStr">
        <is>
          <t>Doing</t>
        </is>
      </c>
      <c r="H304" s="6" t="inlineStr">
        <is>
          <t>27/10</t>
        </is>
      </c>
      <c r="I304" s="6" t="n"/>
      <c r="J304" s="6" t="n"/>
      <c r="K304" s="7" t="inlineStr">
        <is>
          <t>hasta el 28/10</t>
        </is>
      </c>
    </row>
    <row r="305" ht="30" customHeight="1">
      <c r="B305" s="6" t="inlineStr">
        <is>
          <t>T-241</t>
        </is>
      </c>
      <c r="C305" s="7" t="inlineStr">
        <is>
          <t>Simplificar los textos de cada pantalla web: título y una línea, con ayuda «?» bajo demanda</t>
        </is>
      </c>
      <c r="D305" s="6" t="inlineStr">
        <is>
          <t>UX</t>
        </is>
      </c>
      <c r="E305" s="6" t="inlineStr">
        <is>
          <t>Fernando</t>
        </is>
      </c>
      <c r="F305" s="6" t="n">
        <v>3</v>
      </c>
      <c r="G305" s="6" t="inlineStr">
        <is>
          <t>To Do</t>
        </is>
      </c>
      <c r="H305" s="6" t="inlineStr">
        <is>
          <t>26/10</t>
        </is>
      </c>
      <c r="I305" s="6" t="n"/>
      <c r="J305" s="6" t="n"/>
      <c r="K305" s="7" t="inlineStr">
        <is>
          <t>observación de Fernando: hoy hay demasiado texto</t>
        </is>
      </c>
    </row>
    <row r="306" ht="30" customHeight="1">
      <c r="B306" s="6" t="inlineStr">
        <is>
          <t>T-242</t>
        </is>
      </c>
      <c r="C306" s="7" t="inlineStr">
        <is>
          <t>Validar las pantallas con el cliente (Pool) en una sesión corta y registrar sus observaciones</t>
        </is>
      </c>
      <c r="D306" s="6" t="inlineStr">
        <is>
          <t>UX</t>
        </is>
      </c>
      <c r="E306" s="6" t="inlineStr">
        <is>
          <t>Fernando</t>
        </is>
      </c>
      <c r="F306" s="6" t="n">
        <v>1.5</v>
      </c>
      <c r="G306" s="6" t="inlineStr">
        <is>
          <t>To Do</t>
        </is>
      </c>
      <c r="H306" s="6" t="inlineStr">
        <is>
          <t>26/10</t>
        </is>
      </c>
      <c r="I306" s="6" t="n"/>
      <c r="J306" s="6" t="n"/>
      <c r="K306" s="7" t="inlineStr">
        <is>
          <t>que lo use quien lo va a usar</t>
        </is>
      </c>
    </row>
    <row r="307" ht="30" customHeight="1">
      <c r="B307" s="6" t="inlineStr">
        <is>
          <t>T-243</t>
        </is>
      </c>
      <c r="C307" s="7" t="inlineStr">
        <is>
          <t>Revisar la app con guantes y al sol: botones grandes, una acción por pantalla, contraste AA</t>
        </is>
      </c>
      <c r="D307" s="6" t="inlineStr">
        <is>
          <t>UX</t>
        </is>
      </c>
      <c r="E307" s="6" t="inlineStr">
        <is>
          <t>Nicolás</t>
        </is>
      </c>
      <c r="F307" s="6" t="n">
        <v>2</v>
      </c>
      <c r="G307" s="6" t="inlineStr">
        <is>
          <t>To Do</t>
        </is>
      </c>
      <c r="H307" s="6" t="inlineStr">
        <is>
          <t>26/10</t>
        </is>
      </c>
      <c r="I307" s="6" t="n"/>
      <c r="J307" s="6" t="n"/>
      <c r="K307" s="7" t="inlineStr">
        <is>
          <t>el almacenero trabaja en obra</t>
        </is>
      </c>
    </row>
    <row r="308" ht="30" customHeight="1">
      <c r="B308" s="6" t="inlineStr">
        <is>
          <t>T-244</t>
        </is>
      </c>
      <c r="C308" s="7" t="inlineStr">
        <is>
          <t>Modelar los 3 diagramas de casos de uso y los 3 de secuencia (importación S10, salida sin señal, recepción y costo promedio)</t>
        </is>
      </c>
      <c r="D308" s="6" t="inlineStr">
        <is>
          <t>Modelado UML</t>
        </is>
      </c>
      <c r="E308" s="6" t="inlineStr">
        <is>
          <t>Fernando</t>
        </is>
      </c>
      <c r="F308" s="6" t="n">
        <v>2</v>
      </c>
      <c r="G308" s="6" t="inlineStr">
        <is>
          <t>Done</t>
        </is>
      </c>
      <c r="H308" s="6" t="inlineStr">
        <is>
          <t>24/10</t>
        </is>
      </c>
      <c r="I308" s="6" t="n"/>
      <c r="J308" s="6" t="n"/>
      <c r="K308" s="7" t="inlineStr">
        <is>
          <t>en el lienzo; cubren HU-07, 35, 37, 38, 40 y 55</t>
        </is>
      </c>
    </row>
    <row r="309" ht="30" customHeight="1">
      <c r="B309" s="6" t="inlineStr">
        <is>
          <t>T-245</t>
        </is>
      </c>
      <c r="C309" s="7" t="inlineStr">
        <is>
          <t>Dibujar los diagramas de actividades del negocio y de estados</t>
        </is>
      </c>
      <c r="D309" s="6" t="inlineStr">
        <is>
          <t>Modelado UML</t>
        </is>
      </c>
      <c r="E309" s="6" t="inlineStr">
        <is>
          <t>Nicolás</t>
        </is>
      </c>
      <c r="F309" s="6" t="n">
        <v>2</v>
      </c>
      <c r="G309" s="6" t="inlineStr">
        <is>
          <t>Done</t>
        </is>
      </c>
      <c r="H309" s="6" t="inlineStr">
        <is>
          <t>24/10</t>
        </is>
      </c>
      <c r="I309" s="6" t="n"/>
      <c r="J309" s="6" t="n"/>
      <c r="K309" s="7" t="inlineStr">
        <is>
          <t>14 hojas: A1–A4 y E1–E3 (22/10)</t>
        </is>
      </c>
    </row>
    <row r="310" ht="30" customHeight="1">
      <c r="B310" s="6" t="inlineStr">
        <is>
          <t>T-246</t>
        </is>
      </c>
      <c r="C310" s="7" t="inlineStr">
        <is>
          <t>Dibujar la arquitectura en las cuatro vistas del C4 a partir del diagrama de microservicios</t>
        </is>
      </c>
      <c r="D310" s="6" t="inlineStr">
        <is>
          <t>Modelado UML</t>
        </is>
      </c>
      <c r="E310" s="6" t="inlineStr">
        <is>
          <t>Nicolás</t>
        </is>
      </c>
      <c r="F310" s="6" t="n">
        <v>4</v>
      </c>
      <c r="G310" s="6" t="inlineStr">
        <is>
          <t>To Do</t>
        </is>
      </c>
      <c r="H310" s="6" t="inlineStr">
        <is>
          <t>24/10</t>
        </is>
      </c>
      <c r="I310" s="6" t="n"/>
      <c r="J310" s="6" t="n"/>
      <c r="K310" s="7" t="inlineStr">
        <is>
          <t>parte de api/docs/diagrama-microservicios.png</t>
        </is>
      </c>
    </row>
    <row r="311" ht="30" customHeight="1">
      <c r="B311" s="6" t="inlineStr">
        <is>
          <t>T-247</t>
        </is>
      </c>
      <c r="C311" s="7" t="inlineStr">
        <is>
          <t>Preparar la demo de la Sprint Review: una compra que cruza recepción, salida y costo de punta a punta</t>
        </is>
      </c>
      <c r="D311" s="6" t="inlineStr">
        <is>
          <t>Review</t>
        </is>
      </c>
      <c r="E311" s="6" t="inlineStr">
        <is>
          <t>Fernando</t>
        </is>
      </c>
      <c r="F311" s="6" t="n">
        <v>2</v>
      </c>
      <c r="G311" s="6" t="inlineStr">
        <is>
          <t>To Do</t>
        </is>
      </c>
      <c r="H311" s="6" t="inlineStr">
        <is>
          <t>27/10</t>
        </is>
      </c>
      <c r="I311" s="6" t="n"/>
      <c r="J311" s="6" t="n"/>
      <c r="K311" s="7" t="n"/>
    </row>
  </sheetData>
  <mergeCells count="59">
    <mergeCell ref="B186:K186"/>
    <mergeCell ref="B257:K257"/>
    <mergeCell ref="B246:K246"/>
    <mergeCell ref="B49:K49"/>
    <mergeCell ref="B68:K68"/>
    <mergeCell ref="B6:K6"/>
    <mergeCell ref="B266:K266"/>
    <mergeCell ref="B256:K256"/>
    <mergeCell ref="B207:K207"/>
    <mergeCell ref="B76:K76"/>
    <mergeCell ref="B234:K234"/>
    <mergeCell ref="B206:K206"/>
    <mergeCell ref="B296:K296"/>
    <mergeCell ref="B277:K277"/>
    <mergeCell ref="B97:K97"/>
    <mergeCell ref="B135:K135"/>
    <mergeCell ref="B286:K286"/>
    <mergeCell ref="B126:K126"/>
    <mergeCell ref="B106:K106"/>
    <mergeCell ref="B144:K144"/>
    <mergeCell ref="B7:K7"/>
    <mergeCell ref="B224:K224"/>
    <mergeCell ref="B156:K156"/>
    <mergeCell ref="B125:K125"/>
    <mergeCell ref="B185:K185"/>
    <mergeCell ref="B165:K165"/>
    <mergeCell ref="B59:K59"/>
    <mergeCell ref="B215:K215"/>
    <mergeCell ref="B115:K115"/>
    <mergeCell ref="B155:K155"/>
    <mergeCell ref="B276:K276"/>
    <mergeCell ref="B214:K214"/>
    <mergeCell ref="B18:K18"/>
    <mergeCell ref="B27:K27"/>
    <mergeCell ref="B58:K58"/>
    <mergeCell ref="B96:K96"/>
    <mergeCell ref="B105:K105"/>
    <mergeCell ref="B247:K247"/>
    <mergeCell ref="B176:K176"/>
    <mergeCell ref="B39:K39"/>
    <mergeCell ref="B77:K77"/>
    <mergeCell ref="B235:K235"/>
    <mergeCell ref="B48:K48"/>
    <mergeCell ref="B86:K86"/>
    <mergeCell ref="B195:K195"/>
    <mergeCell ref="B136:K136"/>
    <mergeCell ref="B67:K67"/>
    <mergeCell ref="B287:K287"/>
    <mergeCell ref="B225:K225"/>
    <mergeCell ref="B145:K145"/>
    <mergeCell ref="B17:K17"/>
    <mergeCell ref="B175:K175"/>
    <mergeCell ref="B166:K166"/>
    <mergeCell ref="B116:K116"/>
    <mergeCell ref="B267:K267"/>
    <mergeCell ref="B87:K87"/>
    <mergeCell ref="B38:K38"/>
    <mergeCell ref="B196:K196"/>
    <mergeCell ref="B28:K28"/>
  </mergeCells>
  <conditionalFormatting sqref="G6:G311">
    <cfRule type="expression" priority="1" dxfId="0">
      <formula>$G6="Done"</formula>
    </cfRule>
    <cfRule type="expression" priority="2" dxfId="1">
      <formula>$G6="Doing"</formula>
    </cfRule>
  </conditionalFormatting>
  <conditionalFormatting sqref="J6:J311">
    <cfRule type="expression" priority="3" dxfId="2">
      <formula>$J6="No"</formula>
    </cfRule>
  </conditionalFormatting>
  <dataValidations count="1">
    <dataValidation sqref="J8 J9 J10 J11 J12 J13 J14 J15 J16 J19 J20 J21 J22 J23 J24 J25 J26 J29 J30 J31 J32 J33 J34 J35 J36 J37 J40 J41 J42 J43 J44 J45 J46 J47 J50 J51 J52 J53 J54 J55 J56 J57 J60 J61 J62 J63 J64 J65 J66 J69 J70 J71 J72 J73 J74 J75 J78 J79 J80 J81 J82 J83 J84 J85 J88 J89 J90 J91 J92 J93 J94 J95 J98 J99 J100 J101 J102 J103 J104 J107 J108 J109 J110 J111 J112 J113 J114 J117 J118 J119 J120 J121 J122 J123 J124 J127 J128 J129 J130 J131 J132 J133 J134 J137 J138 J139 J140 J141 J142 J143 J146 J147 J148 J149 J150 J151 J152 J153 J154 J157 J158 J159 J160 J161 J162 J163 J164 J167 J168 J169 J170 J171 J172 J173 J174 J177 J178 J179 J180 J181 J182 J183 J184 J187 J188 J189 J190 J191 J192 J193 J194 J197 J198 J199 J200 J201 J202 J203 J204 J205 J208 J209 J210 J211 J212 J213 J216 J217 J218 J219 J220 J221 J222 J223 J226 J227 J228 J229 J230 J231 J232 J233 J236 J237 J238 J239 J240 J241 J242 J243 J244 J245 J248 J249 J250 J251 J252 J253 J254 J255 J258 J259 J260 J261 J262 J263 J264 J265 J268 J269 J270 J271 J272 J273 J274 J275 J278 J279 J280 J281 J282 J283 J284 J285 J288 J289 J290 J291 J292 J293 J294 J295 J297 J298 J299 J300 J301 J302 J303 J304 J305 J306 J307 J308 J309 J310 J311" showDropDown="0" showInputMessage="0" showErrorMessage="0" allowBlank="1" type="list">
      <formula1>"Sí,No"</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L2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7" customWidth="1" min="2" max="2"/>
    <col width="7" customWidth="1" min="3" max="3"/>
    <col width="26" customWidth="1" min="4" max="4"/>
    <col width="12" customWidth="1" min="5" max="5"/>
    <col width="62" customWidth="1" min="6" max="6"/>
    <col width="11" customWidth="1" min="7" max="7"/>
    <col width="7" customWidth="1" min="8" max="8"/>
    <col width="9" customWidth="1" min="9" max="9"/>
    <col width="10" customWidth="1" min="10" max="10"/>
    <col width="40" customWidth="1" min="11" max="11"/>
    <col width="18" customWidth="1" min="12" max="12"/>
  </cols>
  <sheetData>
    <row r="2">
      <c r="B2" s="1" t="inlineStr">
        <is>
          <t>SIGRO · Sprint 1 · Tablero Scrum (15 al 28 de octubre)</t>
        </is>
      </c>
    </row>
    <row r="3">
      <c r="B3" s="2" t="inlineStr">
        <is>
          <t>Cada HU se parte en tareas. To Do → Doing solo si la HU cumple la DoR (L1–L12). Doing → Done solo con la DoD (T1–T10 + condiciones finales). Meta: el lunes 27/10 (penúltimo día) todo en Done; el martes 28 es la Review.</t>
        </is>
      </c>
    </row>
    <row r="5">
      <c r="B5" s="3" t="inlineStr">
        <is>
          <t>ID</t>
        </is>
      </c>
      <c r="C5" s="3" t="inlineStr">
        <is>
          <t>HU</t>
        </is>
      </c>
      <c r="D5" s="3" t="inlineStr">
        <is>
          <t>Historia</t>
        </is>
      </c>
      <c r="E5" s="3" t="inlineStr">
        <is>
          <t>Fase / área</t>
        </is>
      </c>
      <c r="F5" s="3" t="inlineStr">
        <is>
          <t>Tarea</t>
        </is>
      </c>
      <c r="G5" s="3" t="inlineStr">
        <is>
          <t>Responsable</t>
        </is>
      </c>
      <c r="H5" s="3" t="inlineStr">
        <is>
          <t>Horas</t>
        </is>
      </c>
      <c r="I5" s="3" t="inlineStr">
        <is>
          <t>Estado</t>
        </is>
      </c>
      <c r="J5" s="3" t="inlineStr">
        <is>
          <t>Fecha límite</t>
        </is>
      </c>
      <c r="K5" s="3" t="inlineStr">
        <is>
          <t>Evidencia / nota</t>
        </is>
      </c>
      <c r="L5" s="3" t="inlineStr">
        <is>
          <t>Depende de</t>
        </is>
      </c>
    </row>
    <row r="6">
      <c r="B6" s="6" t="inlineStr">
        <is>
          <t>T-001</t>
        </is>
      </c>
      <c r="C6" s="6" t="inlineStr">
        <is>
          <t>HU-01</t>
        </is>
      </c>
      <c r="D6" s="7" t="inlineStr">
        <is>
          <t>Crear proyecto</t>
        </is>
      </c>
      <c r="E6" s="6" t="inlineStr">
        <is>
          <t>Diseño UI</t>
        </is>
      </c>
      <c r="F6" s="7" t="inlineStr">
        <is>
          <t>Diseñar la interfaz de usuario de HU-01: pantalla 9 · Crear la obra</t>
        </is>
      </c>
      <c r="G6" s="6" t="inlineStr">
        <is>
          <t>Fernando</t>
        </is>
      </c>
      <c r="H6" s="6" t="n">
        <v>1</v>
      </c>
      <c r="I6" s="6" t="inlineStr">
        <is>
          <t>Done</t>
        </is>
      </c>
      <c r="J6" s="6" t="inlineStr">
        <is>
          <t>23/10</t>
        </is>
      </c>
      <c r="K6" s="7" t="inlineStr">
        <is>
          <t>mockup en el lienzo «SIGRO · Pantallas y diagramas del Sprint 1», WCAG AA</t>
        </is>
      </c>
      <c r="L6" s="7" t="inlineStr"/>
    </row>
    <row r="7">
      <c r="B7" s="6" t="inlineStr">
        <is>
          <t>T-002</t>
        </is>
      </c>
      <c r="C7" s="6" t="inlineStr">
        <is>
          <t>HU-01</t>
        </is>
      </c>
      <c r="D7" s="7" t="inlineStr">
        <is>
          <t>Crear proyecto</t>
        </is>
      </c>
      <c r="E7" s="6" t="inlineStr">
        <is>
          <t>Modelado UML</t>
        </is>
      </c>
      <c r="F7" s="7" t="inlineStr">
        <is>
          <t>Modelar la funcionalidad de HU-01 con el diagrama UML de estados de la obra (en ejecución → ampliada → cerrada)</t>
        </is>
      </c>
      <c r="G7" s="6" t="inlineStr">
        <is>
          <t>Fernando</t>
        </is>
      </c>
      <c r="H7" s="6" t="n">
        <v>1</v>
      </c>
      <c r="I7" s="6" t="inlineStr">
        <is>
          <t>To Do</t>
        </is>
      </c>
      <c r="J7" s="6" t="inlineStr">
        <is>
          <t>24/10</t>
        </is>
      </c>
      <c r="K7" s="7" t="inlineStr"/>
      <c r="L7" s="7" t="inlineStr">
        <is>
          <t>T-001</t>
        </is>
      </c>
    </row>
    <row r="8">
      <c r="B8" s="6" t="inlineStr">
        <is>
          <t>T-003</t>
        </is>
      </c>
      <c r="C8" s="6" t="inlineStr">
        <is>
          <t>HU-01</t>
        </is>
      </c>
      <c r="D8" s="7" t="inlineStr">
        <is>
          <t>Crear proyecto</t>
        </is>
      </c>
      <c r="E8" s="6" t="inlineStr">
        <is>
          <t>Base de datos</t>
        </is>
      </c>
      <c r="F8" s="7" t="inlineStr">
        <is>
          <t>Implementar las tablas asociadas a HU-01: proyecto, proyecto_plazo_historial</t>
        </is>
      </c>
      <c r="G8" s="6" t="inlineStr">
        <is>
          <t>Adiel</t>
        </is>
      </c>
      <c r="H8" s="6" t="n">
        <v>1</v>
      </c>
      <c r="I8" s="6" t="inlineStr">
        <is>
          <t>Done</t>
        </is>
      </c>
      <c r="J8" s="6" t="inlineStr">
        <is>
          <t>24/10</t>
        </is>
      </c>
      <c r="K8" s="7" t="inlineStr">
        <is>
          <t>migraciones 0001–0006 de la API</t>
        </is>
      </c>
      <c r="L8" s="7" t="inlineStr"/>
    </row>
    <row r="9">
      <c r="B9" s="6" t="inlineStr">
        <is>
          <t>T-004</t>
        </is>
      </c>
      <c r="C9" s="6" t="inlineStr">
        <is>
          <t>HU-01</t>
        </is>
      </c>
      <c r="D9" s="7" t="inlineStr">
        <is>
          <t>Crear proyecto</t>
        </is>
      </c>
      <c r="E9" s="6" t="inlineStr">
        <is>
          <t>Backend</t>
        </is>
      </c>
      <c r="F9" s="7" t="inlineStr">
        <is>
          <t>Programar el back-end de HU-01 (entidad, repositorio, servicio y controlador): el endpoint para crear la obra, validando nombre y plazo obligatorios, fin ≥ inicio y estado inicial «en ejecución»</t>
        </is>
      </c>
      <c r="G9" s="6" t="inlineStr">
        <is>
          <t>Adiel</t>
        </is>
      </c>
      <c r="H9" s="6" t="n">
        <v>2</v>
      </c>
      <c r="I9" s="6" t="inlineStr">
        <is>
          <t>Done</t>
        </is>
      </c>
      <c r="J9" s="6" t="inlineStr">
        <is>
          <t>25/10</t>
        </is>
      </c>
      <c r="K9" s="7" t="inlineStr">
        <is>
          <t>hecho en la API de Adiel (PR #1 fusionado a main), con pruebas</t>
        </is>
      </c>
      <c r="L9" s="7" t="inlineStr"/>
    </row>
    <row r="10">
      <c r="B10" s="6" t="inlineStr">
        <is>
          <t>T-005</t>
        </is>
      </c>
      <c r="C10" s="6" t="inlineStr">
        <is>
          <t>HU-01</t>
        </is>
      </c>
      <c r="D10" s="7" t="inlineStr">
        <is>
          <t>Crear proyecto</t>
        </is>
      </c>
      <c r="E10" s="6" t="inlineStr">
        <is>
          <t>Triggers y funciones</t>
        </is>
      </c>
      <c r="F10" s="7" t="inlineStr">
        <is>
          <t>Implementar el CHECK de fecha de fin ≥ inicio en proyecto (HU-01)</t>
        </is>
      </c>
      <c r="G10" s="6" t="inlineStr">
        <is>
          <t>Adiel</t>
        </is>
      </c>
      <c r="H10" s="6" t="n">
        <v>1</v>
      </c>
      <c r="I10" s="6" t="inlineStr">
        <is>
          <t>To Do</t>
        </is>
      </c>
      <c r="J10" s="6" t="inlineStr">
        <is>
          <t>25/10</t>
        </is>
      </c>
      <c r="K10" s="7" t="inlineStr"/>
      <c r="L10" s="7" t="inlineStr">
        <is>
          <t>T-003</t>
        </is>
      </c>
    </row>
    <row r="11">
      <c r="B11" s="6" t="inlineStr">
        <is>
          <t>T-006</t>
        </is>
      </c>
      <c r="C11" s="6" t="inlineStr">
        <is>
          <t>HU-01</t>
        </is>
      </c>
      <c r="D11" s="7" t="inlineStr">
        <is>
          <t>Crear proyecto</t>
        </is>
      </c>
      <c r="E11" s="6" t="inlineStr">
        <is>
          <t>Front-end web</t>
        </is>
      </c>
      <c r="F11" s="7" t="inlineStr">
        <is>
          <t>Programar la pantalla web para crear la obra</t>
        </is>
      </c>
      <c r="G11" s="6" t="inlineStr">
        <is>
          <t>Fernando</t>
        </is>
      </c>
      <c r="H11" s="6" t="n">
        <v>2</v>
      </c>
      <c r="I11" s="6" t="inlineStr">
        <is>
          <t>Done</t>
        </is>
      </c>
      <c r="J11" s="6" t="inlineStr">
        <is>
          <t>26/10</t>
        </is>
      </c>
      <c r="K11" s="7" t="inlineStr">
        <is>
          <t>pantalla hecha con datos simulados; falta conectarla a la API real</t>
        </is>
      </c>
      <c r="L11" s="7" t="inlineStr"/>
    </row>
    <row r="12">
      <c r="B12" s="6" t="inlineStr">
        <is>
          <t>T-007</t>
        </is>
      </c>
      <c r="C12" s="6" t="inlineStr">
        <is>
          <t>HU-01</t>
        </is>
      </c>
      <c r="D12" s="7" t="inlineStr">
        <is>
          <t>Crear proyecto</t>
        </is>
      </c>
      <c r="E12" s="6" t="inlineStr">
        <is>
          <t>Conexión API</t>
        </is>
      </c>
      <c r="F12" s="7" t="inlineStr">
        <is>
          <t>Conectar la pantalla «Crear la obra» con el endpoint real de la API</t>
        </is>
      </c>
      <c r="G12" s="6" t="inlineStr">
        <is>
          <t>Fernando</t>
        </is>
      </c>
      <c r="H12" s="6" t="n">
        <v>2</v>
      </c>
      <c r="I12" s="6" t="inlineStr">
        <is>
          <t>To Do</t>
        </is>
      </c>
      <c r="J12" s="6" t="inlineStr">
        <is>
          <t>26/10</t>
        </is>
      </c>
      <c r="K12" s="7" t="inlineStr"/>
      <c r="L12" s="7" t="inlineStr">
        <is>
          <t>T-004, T-006, T-234</t>
        </is>
      </c>
    </row>
    <row r="13">
      <c r="B13" s="6" t="inlineStr">
        <is>
          <t>T-008</t>
        </is>
      </c>
      <c r="C13" s="6" t="inlineStr">
        <is>
          <t>HU-01</t>
        </is>
      </c>
      <c r="D13" s="7" t="inlineStr">
        <is>
          <t>Crear proyecto</t>
        </is>
      </c>
      <c r="E13" s="6" t="inlineStr">
        <is>
          <t>Pruebas</t>
        </is>
      </c>
      <c r="F13" s="7" t="inlineStr">
        <is>
          <t>Probar la funcionalidad de HU-01 (la API con Postman y la pantalla web) contra cada condición final y aprobar su PR</t>
        </is>
      </c>
      <c r="G13" s="6" t="inlineStr">
        <is>
          <t>Henry</t>
        </is>
      </c>
      <c r="H13" s="6" t="n">
        <v>1</v>
      </c>
      <c r="I13" s="6" t="inlineStr">
        <is>
          <t>To Do</t>
        </is>
      </c>
      <c r="J13" s="6" t="inlineStr">
        <is>
          <t>27/10</t>
        </is>
      </c>
      <c r="K13" s="7" t="inlineStr">
        <is>
          <t>alguien distinto del autor (T1, T5, T8)</t>
        </is>
      </c>
      <c r="L13" s="7" t="inlineStr">
        <is>
          <t>T-003, T-004, T-005, T-006, T-007, T-233</t>
        </is>
      </c>
    </row>
    <row r="14">
      <c r="B14" s="8" t="inlineStr">
        <is>
          <t>T-009</t>
        </is>
      </c>
      <c r="C14" s="8" t="inlineStr">
        <is>
          <t>HU-01</t>
        </is>
      </c>
      <c r="D14" s="9" t="inlineStr">
        <is>
          <t>Crear proyecto</t>
        </is>
      </c>
      <c r="E14" s="8" t="inlineStr">
        <is>
          <t>Aceptación</t>
        </is>
      </c>
      <c r="F14" s="9" t="inlineStr">
        <is>
          <t>Aceptar HU-01 como Product Owner desde la interfaz y moverla a Done</t>
        </is>
      </c>
      <c r="G14" s="8" t="inlineStr">
        <is>
          <t>Adiel</t>
        </is>
      </c>
      <c r="H14" s="8" t="n">
        <v>0.5</v>
      </c>
      <c r="I14" s="8" t="inlineStr">
        <is>
          <t>To Do</t>
        </is>
      </c>
      <c r="J14" s="8" t="inlineStr">
        <is>
          <t>27/10</t>
        </is>
      </c>
      <c r="K14" s="9" t="inlineStr">
        <is>
          <t>mueve la HU a Done</t>
        </is>
      </c>
      <c r="L14" s="9" t="inlineStr">
        <is>
          <t>T-008</t>
        </is>
      </c>
    </row>
    <row r="15">
      <c r="B15" s="6" t="inlineStr">
        <is>
          <t>T-010</t>
        </is>
      </c>
      <c r="C15" s="6" t="inlineStr">
        <is>
          <t>HU-03</t>
        </is>
      </c>
      <c r="D15" s="7" t="inlineStr">
        <is>
          <t>Reportar la obra en semanas</t>
        </is>
      </c>
      <c r="E15" s="6" t="inlineStr">
        <is>
          <t>Diseño UI</t>
        </is>
      </c>
      <c r="F15" s="7" t="inlineStr">
        <is>
          <t>Diseñar la interfaz de usuario de HU-03: pantalla 9 · Crear la obra y 22 · Detalle de la obra</t>
        </is>
      </c>
      <c r="G15" s="6" t="inlineStr">
        <is>
          <t>Fernando</t>
        </is>
      </c>
      <c r="H15" s="6" t="n">
        <v>1</v>
      </c>
      <c r="I15" s="6" t="inlineStr">
        <is>
          <t>Done</t>
        </is>
      </c>
      <c r="J15" s="6" t="inlineStr">
        <is>
          <t>23/10</t>
        </is>
      </c>
      <c r="K15" s="7" t="inlineStr">
        <is>
          <t>mockup en el lienzo «SIGRO · Pantallas y diagramas del Sprint 1», WCAG AA</t>
        </is>
      </c>
      <c r="L15" s="7" t="inlineStr"/>
    </row>
    <row r="16">
      <c r="B16" s="6" t="inlineStr">
        <is>
          <t>T-011</t>
        </is>
      </c>
      <c r="C16" s="6" t="inlineStr">
        <is>
          <t>HU-03</t>
        </is>
      </c>
      <c r="D16" s="7" t="inlineStr">
        <is>
          <t>Reportar la obra en semanas</t>
        </is>
      </c>
      <c r="E16" s="6" t="inlineStr">
        <is>
          <t>Modelado UML</t>
        </is>
      </c>
      <c r="F16" s="7" t="inlineStr">
        <is>
          <t>Modelar la funcionalidad de HU-03 con el diagrama UML de actividades de la generación de semanas</t>
        </is>
      </c>
      <c r="G16" s="6" t="inlineStr">
        <is>
          <t>Fernando</t>
        </is>
      </c>
      <c r="H16" s="6" t="n">
        <v>1</v>
      </c>
      <c r="I16" s="6" t="inlineStr">
        <is>
          <t>To Do</t>
        </is>
      </c>
      <c r="J16" s="6" t="inlineStr">
        <is>
          <t>24/10</t>
        </is>
      </c>
      <c r="K16" s="7" t="inlineStr"/>
      <c r="L16" s="7" t="inlineStr">
        <is>
          <t>T-010</t>
        </is>
      </c>
    </row>
    <row r="17">
      <c r="B17" s="6" t="inlineStr">
        <is>
          <t>T-012</t>
        </is>
      </c>
      <c r="C17" s="6" t="inlineStr">
        <is>
          <t>HU-03</t>
        </is>
      </c>
      <c r="D17" s="7" t="inlineStr">
        <is>
          <t>Reportar la obra en semanas</t>
        </is>
      </c>
      <c r="E17" s="6" t="inlineStr">
        <is>
          <t>Base de datos</t>
        </is>
      </c>
      <c r="F17" s="7" t="inlineStr">
        <is>
          <t>Implementar las tablas asociadas a HU-03: periodo</t>
        </is>
      </c>
      <c r="G17" s="6" t="inlineStr">
        <is>
          <t>Adiel</t>
        </is>
      </c>
      <c r="H17" s="6" t="n">
        <v>1</v>
      </c>
      <c r="I17" s="6" t="inlineStr">
        <is>
          <t>Done</t>
        </is>
      </c>
      <c r="J17" s="6" t="inlineStr">
        <is>
          <t>24/10</t>
        </is>
      </c>
      <c r="K17" s="7" t="inlineStr">
        <is>
          <t>migraciones 0001–0006 de la API</t>
        </is>
      </c>
      <c r="L17" s="7" t="inlineStr"/>
    </row>
    <row r="18">
      <c r="B18" s="6" t="inlineStr">
        <is>
          <t>T-013</t>
        </is>
      </c>
      <c r="C18" s="6" t="inlineStr">
        <is>
          <t>HU-03</t>
        </is>
      </c>
      <c r="D18" s="7" t="inlineStr">
        <is>
          <t>Reportar la obra en semanas</t>
        </is>
      </c>
      <c r="E18" s="6" t="inlineStr">
        <is>
          <t>Backend</t>
        </is>
      </c>
      <c r="F18" s="7" t="inlineStr">
        <is>
          <t>Programar el back-end de HU-03 (entidad, repositorio, servicio y controlador): la generación automática de semanas al crear la obra y al ampliar el plazo, con sus pruebas</t>
        </is>
      </c>
      <c r="G18" s="6" t="inlineStr">
        <is>
          <t>Adiel</t>
        </is>
      </c>
      <c r="H18" s="6" t="n">
        <v>2</v>
      </c>
      <c r="I18" s="6" t="inlineStr">
        <is>
          <t>Done</t>
        </is>
      </c>
      <c r="J18" s="6" t="inlineStr">
        <is>
          <t>25/10</t>
        </is>
      </c>
      <c r="K18" s="7" t="inlineStr">
        <is>
          <t>en la API: GET /obras/{id}/periodos y POST /obras/{id}/ampliar-plazo</t>
        </is>
      </c>
      <c r="L18" s="7" t="inlineStr"/>
    </row>
    <row r="19">
      <c r="B19" s="6" t="inlineStr">
        <is>
          <t>T-014</t>
        </is>
      </c>
      <c r="C19" s="6" t="inlineStr">
        <is>
          <t>HU-03</t>
        </is>
      </c>
      <c r="D19" s="7" t="inlineStr">
        <is>
          <t>Reportar la obra en semanas</t>
        </is>
      </c>
      <c r="E19" s="6" t="inlineStr">
        <is>
          <t>Front-end web</t>
        </is>
      </c>
      <c r="F19" s="7" t="inlineStr">
        <is>
          <t>Programar la tira de semanas en la web (cerrada, en curso, por venir)</t>
        </is>
      </c>
      <c r="G19" s="6" t="inlineStr">
        <is>
          <t>Fernando</t>
        </is>
      </c>
      <c r="H19" s="6" t="n">
        <v>2</v>
      </c>
      <c r="I19" s="6" t="inlineStr">
        <is>
          <t>Done</t>
        </is>
      </c>
      <c r="J19" s="6" t="inlineStr">
        <is>
          <t>26/10</t>
        </is>
      </c>
      <c r="K19" s="7" t="inlineStr">
        <is>
          <t>pantalla hecha con datos simulados; falta conectarla a la API real</t>
        </is>
      </c>
      <c r="L19" s="7" t="inlineStr"/>
    </row>
    <row r="20">
      <c r="B20" s="6" t="inlineStr">
        <is>
          <t>T-015</t>
        </is>
      </c>
      <c r="C20" s="6" t="inlineStr">
        <is>
          <t>HU-03</t>
        </is>
      </c>
      <c r="D20" s="7" t="inlineStr">
        <is>
          <t>Reportar la obra en semanas</t>
        </is>
      </c>
      <c r="E20" s="6" t="inlineStr">
        <is>
          <t>Conexión API</t>
        </is>
      </c>
      <c r="F20" s="7" t="inlineStr">
        <is>
          <t>Conectar la tira de semanas con la API real</t>
        </is>
      </c>
      <c r="G20" s="6" t="inlineStr">
        <is>
          <t>Fernando</t>
        </is>
      </c>
      <c r="H20" s="6" t="n">
        <v>2</v>
      </c>
      <c r="I20" s="6" t="inlineStr">
        <is>
          <t>To Do</t>
        </is>
      </c>
      <c r="J20" s="6" t="inlineStr">
        <is>
          <t>26/10</t>
        </is>
      </c>
      <c r="K20" s="7" t="inlineStr"/>
      <c r="L20" s="7" t="inlineStr">
        <is>
          <t>T-013, T-014, T-234</t>
        </is>
      </c>
    </row>
    <row r="21">
      <c r="B21" s="6" t="inlineStr">
        <is>
          <t>T-016</t>
        </is>
      </c>
      <c r="C21" s="6" t="inlineStr">
        <is>
          <t>HU-03</t>
        </is>
      </c>
      <c r="D21" s="7" t="inlineStr">
        <is>
          <t>Reportar la obra en semanas</t>
        </is>
      </c>
      <c r="E21" s="6" t="inlineStr">
        <is>
          <t>Pruebas</t>
        </is>
      </c>
      <c r="F21" s="7" t="inlineStr">
        <is>
          <t>Probar la funcionalidad de HU-03 (la API con Postman y la pantalla web) contra cada condición final y aprobar su PR</t>
        </is>
      </c>
      <c r="G21" s="6" t="inlineStr">
        <is>
          <t>Henry</t>
        </is>
      </c>
      <c r="H21" s="6" t="n">
        <v>1</v>
      </c>
      <c r="I21" s="6" t="inlineStr">
        <is>
          <t>To Do</t>
        </is>
      </c>
      <c r="J21" s="6" t="inlineStr">
        <is>
          <t>27/10</t>
        </is>
      </c>
      <c r="K21" s="7" t="inlineStr">
        <is>
          <t>alguien distinto del autor (T1, T5, T8)</t>
        </is>
      </c>
      <c r="L21" s="7" t="inlineStr">
        <is>
          <t>T-012, T-013, T-014, T-015, T-233</t>
        </is>
      </c>
    </row>
    <row r="22">
      <c r="B22" s="8" t="inlineStr">
        <is>
          <t>T-017</t>
        </is>
      </c>
      <c r="C22" s="8" t="inlineStr">
        <is>
          <t>HU-03</t>
        </is>
      </c>
      <c r="D22" s="9" t="inlineStr">
        <is>
          <t>Reportar la obra en semanas</t>
        </is>
      </c>
      <c r="E22" s="8" t="inlineStr">
        <is>
          <t>Aceptación</t>
        </is>
      </c>
      <c r="F22" s="9" t="inlineStr">
        <is>
          <t>Aceptar HU-03 como Product Owner desde la interfaz y moverla a Done</t>
        </is>
      </c>
      <c r="G22" s="8" t="inlineStr">
        <is>
          <t>Adiel</t>
        </is>
      </c>
      <c r="H22" s="8" t="n">
        <v>0.5</v>
      </c>
      <c r="I22" s="8" t="inlineStr">
        <is>
          <t>To Do</t>
        </is>
      </c>
      <c r="J22" s="8" t="inlineStr">
        <is>
          <t>27/10</t>
        </is>
      </c>
      <c r="K22" s="9" t="inlineStr">
        <is>
          <t>mueve la HU a Done</t>
        </is>
      </c>
      <c r="L22" s="9" t="inlineStr">
        <is>
          <t>T-016</t>
        </is>
      </c>
    </row>
    <row r="23">
      <c r="B23" s="6" t="inlineStr">
        <is>
          <t>T-018</t>
        </is>
      </c>
      <c r="C23" s="6" t="inlineStr">
        <is>
          <t>HU-07</t>
        </is>
      </c>
      <c r="D23" s="7" t="inlineStr">
        <is>
          <t>Importar catálogo de insumos del S10</t>
        </is>
      </c>
      <c r="E23" s="6" t="inlineStr">
        <is>
          <t>Diseño UI</t>
        </is>
      </c>
      <c r="F23" s="7" t="inlineStr">
        <is>
          <t>Diseñar la interfaz de usuario de HU-07: pantalla 11 · Importar el catálogo del S10</t>
        </is>
      </c>
      <c r="G23" s="6" t="inlineStr">
        <is>
          <t>Fernando</t>
        </is>
      </c>
      <c r="H23" s="6" t="n">
        <v>1</v>
      </c>
      <c r="I23" s="6" t="inlineStr">
        <is>
          <t>Done</t>
        </is>
      </c>
      <c r="J23" s="6" t="inlineStr">
        <is>
          <t>23/10</t>
        </is>
      </c>
      <c r="K23" s="7" t="inlineStr">
        <is>
          <t>mockup en el lienzo «SIGRO · Pantallas y diagramas del Sprint 1», WCAG AA</t>
        </is>
      </c>
      <c r="L23" s="7" t="inlineStr"/>
    </row>
    <row r="24">
      <c r="B24" s="6" t="inlineStr">
        <is>
          <t>T-019</t>
        </is>
      </c>
      <c r="C24" s="6" t="inlineStr">
        <is>
          <t>HU-07</t>
        </is>
      </c>
      <c r="D24" s="7" t="inlineStr">
        <is>
          <t>Importar catálogo de insumos del S10</t>
        </is>
      </c>
      <c r="E24" s="6" t="inlineStr">
        <is>
          <t>Modelado UML</t>
        </is>
      </c>
      <c r="F24" s="7" t="inlineStr">
        <is>
          <t>Modelar la funcionalidad de HU-07 con el diagrama UML de secuencia de la importación del S10 por el microservicio</t>
        </is>
      </c>
      <c r="G24" s="6" t="inlineStr">
        <is>
          <t>Fernando</t>
        </is>
      </c>
      <c r="H24" s="6" t="n">
        <v>1</v>
      </c>
      <c r="I24" s="6" t="inlineStr">
        <is>
          <t>Done</t>
        </is>
      </c>
      <c r="J24" s="6" t="inlineStr">
        <is>
          <t>24/10</t>
        </is>
      </c>
      <c r="K24" s="7" t="inlineStr">
        <is>
          <t>ya está en el lienzo</t>
        </is>
      </c>
      <c r="L24" s="7" t="inlineStr"/>
    </row>
    <row r="25">
      <c r="B25" s="6" t="inlineStr">
        <is>
          <t>T-020</t>
        </is>
      </c>
      <c r="C25" s="6" t="inlineStr">
        <is>
          <t>HU-07</t>
        </is>
      </c>
      <c r="D25" s="7" t="inlineStr">
        <is>
          <t>Importar catálogo de insumos del S10</t>
        </is>
      </c>
      <c r="E25" s="6" t="inlineStr">
        <is>
          <t>Base de datos</t>
        </is>
      </c>
      <c r="F25" s="7" t="inlineStr">
        <is>
          <t>Implementar las tablas asociadas a HU-07: insumo (crear/actualizar por código)</t>
        </is>
      </c>
      <c r="G25" s="6" t="inlineStr">
        <is>
          <t>Adiel</t>
        </is>
      </c>
      <c r="H25" s="6" t="n">
        <v>1</v>
      </c>
      <c r="I25" s="6" t="inlineStr">
        <is>
          <t>To Do</t>
        </is>
      </c>
      <c r="J25" s="6" t="inlineStr">
        <is>
          <t>24/10</t>
        </is>
      </c>
      <c r="K25" s="7" t="inlineStr"/>
      <c r="L25" s="7" t="inlineStr">
        <is>
          <t>T-019</t>
        </is>
      </c>
    </row>
    <row r="26">
      <c r="B26" s="6" t="inlineStr">
        <is>
          <t>T-021</t>
        </is>
      </c>
      <c r="C26" s="6" t="inlineStr">
        <is>
          <t>HU-07</t>
        </is>
      </c>
      <c r="D26" s="7" t="inlineStr">
        <is>
          <t>Importar catálogo de insumos del S10</t>
        </is>
      </c>
      <c r="E26" s="6" t="inlineStr">
        <is>
          <t>Backend</t>
        </is>
      </c>
      <c r="F26" s="7" t="inlineStr">
        <is>
          <t>Programar el back-end de HU-07 (entidad, repositorio, servicio y controlador): el endpoint que aplica la importación: crear o actualizar insumos por código sin tocar saldos</t>
        </is>
      </c>
      <c r="G26" s="6" t="inlineStr">
        <is>
          <t>Adiel</t>
        </is>
      </c>
      <c r="H26" s="6" t="n">
        <v>4</v>
      </c>
      <c r="I26" s="6" t="inlineStr">
        <is>
          <t>To Do</t>
        </is>
      </c>
      <c r="J26" s="6" t="inlineStr">
        <is>
          <t>25/10</t>
        </is>
      </c>
      <c r="K26" s="7" t="inlineStr"/>
      <c r="L26" s="7" t="inlineStr">
        <is>
          <t>T-020</t>
        </is>
      </c>
    </row>
    <row r="27">
      <c r="B27" s="6" t="inlineStr">
        <is>
          <t>T-022</t>
        </is>
      </c>
      <c r="C27" s="6" t="inlineStr">
        <is>
          <t>HU-07</t>
        </is>
      </c>
      <c r="D27" s="7" t="inlineStr">
        <is>
          <t>Importar catálogo de insumos del S10</t>
        </is>
      </c>
      <c r="E27" s="6" t="inlineStr">
        <is>
          <t>Backend</t>
        </is>
      </c>
      <c r="F27" s="7" t="inlineStr">
        <is>
          <t>Configurar la llamada de la API a Integraciones con el token de servicio en docker compose</t>
        </is>
      </c>
      <c r="G27" s="6" t="inlineStr">
        <is>
          <t>Adiel</t>
        </is>
      </c>
      <c r="H27" s="6" t="n">
        <v>4</v>
      </c>
      <c r="I27" s="6" t="inlineStr">
        <is>
          <t>To Do</t>
        </is>
      </c>
      <c r="J27" s="6" t="inlineStr">
        <is>
          <t>25/10</t>
        </is>
      </c>
      <c r="K27" s="7" t="inlineStr">
        <is>
          <t>decisión B del 22/10</t>
        </is>
      </c>
      <c r="L27" s="7" t="inlineStr">
        <is>
          <t>T-020</t>
        </is>
      </c>
    </row>
    <row r="28">
      <c r="B28" s="6" t="inlineStr">
        <is>
          <t>T-023</t>
        </is>
      </c>
      <c r="C28" s="6" t="inlineStr">
        <is>
          <t>HU-07</t>
        </is>
      </c>
      <c r="D28" s="7" t="inlineStr">
        <is>
          <t>Importar catálogo de insumos del S10</t>
        </is>
      </c>
      <c r="E28" s="6" t="inlineStr">
        <is>
          <t>Integración</t>
        </is>
      </c>
      <c r="F28" s="7" t="inlineStr">
        <is>
          <t>Programar el lector del PDF «Relación de insumos» del S10 en el microservicio — integración con S10 (relación de insumos)</t>
        </is>
      </c>
      <c r="G28" s="6" t="inlineStr">
        <is>
          <t>Fernando</t>
        </is>
      </c>
      <c r="H28" s="6" t="n">
        <v>4</v>
      </c>
      <c r="I28" s="6" t="inlineStr">
        <is>
          <t>Done</t>
        </is>
      </c>
      <c r="J28" s="6" t="inlineStr">
        <is>
          <t>25/10</t>
        </is>
      </c>
      <c r="K28" s="7" t="inlineStr">
        <is>
          <t>probado con el archivo real: 284 insumos, 0 fallidos, total exacto</t>
        </is>
      </c>
      <c r="L28" s="7" t="inlineStr"/>
    </row>
    <row r="29">
      <c r="B29" s="6" t="inlineStr">
        <is>
          <t>T-024</t>
        </is>
      </c>
      <c r="C29" s="6" t="inlineStr">
        <is>
          <t>HU-07</t>
        </is>
      </c>
      <c r="D29" s="7" t="inlineStr">
        <is>
          <t>Importar catálogo de insumos del S10</t>
        </is>
      </c>
      <c r="E29" s="6" t="inlineStr">
        <is>
          <t>Front-end web</t>
        </is>
      </c>
      <c r="F29" s="7" t="inlineStr">
        <is>
          <t>Programar la pantalla web «Importar del S10» con el resumen de creados, actualizados y fallidos</t>
        </is>
      </c>
      <c r="G29" s="6" t="inlineStr">
        <is>
          <t>Fernando</t>
        </is>
      </c>
      <c r="H29" s="6" t="n">
        <v>4</v>
      </c>
      <c r="I29" s="6" t="inlineStr">
        <is>
          <t>Done</t>
        </is>
      </c>
      <c r="J29" s="6" t="inlineStr">
        <is>
          <t>26/10</t>
        </is>
      </c>
      <c r="K29" s="7" t="inlineStr">
        <is>
          <t>conectada al micro real</t>
        </is>
      </c>
      <c r="L29" s="7" t="inlineStr"/>
    </row>
    <row r="30">
      <c r="B30" s="6" t="inlineStr">
        <is>
          <t>T-025</t>
        </is>
      </c>
      <c r="C30" s="6" t="inlineStr">
        <is>
          <t>HU-07</t>
        </is>
      </c>
      <c r="D30" s="7" t="inlineStr">
        <is>
          <t>Importar catálogo de insumos del S10</t>
        </is>
      </c>
      <c r="E30" s="6" t="inlineStr">
        <is>
          <t>Pruebas</t>
        </is>
      </c>
      <c r="F30" s="7" t="inlineStr">
        <is>
          <t>Probar la funcionalidad de HU-07 (la API con Postman y la pantalla web) contra cada condición final y aprobar su PR</t>
        </is>
      </c>
      <c r="G30" s="6" t="inlineStr">
        <is>
          <t>Henry</t>
        </is>
      </c>
      <c r="H30" s="6" t="n">
        <v>1</v>
      </c>
      <c r="I30" s="6" t="inlineStr">
        <is>
          <t>To Do</t>
        </is>
      </c>
      <c r="J30" s="6" t="inlineStr">
        <is>
          <t>27/10</t>
        </is>
      </c>
      <c r="K30" s="7" t="inlineStr">
        <is>
          <t>alguien distinto del autor (T1, T5, T8)</t>
        </is>
      </c>
      <c r="L30" s="7" t="inlineStr">
        <is>
          <t>T-020, T-021, T-022, T-023, T-024, T-233</t>
        </is>
      </c>
    </row>
    <row r="31">
      <c r="B31" s="8" t="inlineStr">
        <is>
          <t>T-026</t>
        </is>
      </c>
      <c r="C31" s="8" t="inlineStr">
        <is>
          <t>HU-07</t>
        </is>
      </c>
      <c r="D31" s="9" t="inlineStr">
        <is>
          <t>Importar catálogo de insumos del S10</t>
        </is>
      </c>
      <c r="E31" s="8" t="inlineStr">
        <is>
          <t>Aceptación</t>
        </is>
      </c>
      <c r="F31" s="9" t="inlineStr">
        <is>
          <t>Aceptar HU-07 como Product Owner desde la interfaz y moverla a Done</t>
        </is>
      </c>
      <c r="G31" s="8" t="inlineStr">
        <is>
          <t>Adiel</t>
        </is>
      </c>
      <c r="H31" s="8" t="n">
        <v>0.5</v>
      </c>
      <c r="I31" s="8" t="inlineStr">
        <is>
          <t>To Do</t>
        </is>
      </c>
      <c r="J31" s="8" t="inlineStr">
        <is>
          <t>27/10</t>
        </is>
      </c>
      <c r="K31" s="9" t="inlineStr">
        <is>
          <t>mueve la HU a Done</t>
        </is>
      </c>
      <c r="L31" s="9" t="inlineStr">
        <is>
          <t>T-025</t>
        </is>
      </c>
    </row>
    <row r="32">
      <c r="B32" s="6" t="inlineStr">
        <is>
          <t>T-027</t>
        </is>
      </c>
      <c r="C32" s="6" t="inlineStr">
        <is>
          <t>HU-08</t>
        </is>
      </c>
      <c r="D32" s="7" t="inlineStr">
        <is>
          <t>Registrar insumos</t>
        </is>
      </c>
      <c r="E32" s="6" t="inlineStr">
        <is>
          <t>Diseño UI</t>
        </is>
      </c>
      <c r="F32" s="7" t="inlineStr">
        <is>
          <t>Diseñar la interfaz de usuario de HU-08: pantalla 16 · Catálogo e insumo</t>
        </is>
      </c>
      <c r="G32" s="6" t="inlineStr">
        <is>
          <t>Fernando</t>
        </is>
      </c>
      <c r="H32" s="6" t="n">
        <v>1</v>
      </c>
      <c r="I32" s="6" t="inlineStr">
        <is>
          <t>Done</t>
        </is>
      </c>
      <c r="J32" s="6" t="inlineStr">
        <is>
          <t>23/10</t>
        </is>
      </c>
      <c r="K32" s="7" t="inlineStr">
        <is>
          <t>mockup en el lienzo «SIGRO · Pantallas y diagramas del Sprint 1», WCAG AA</t>
        </is>
      </c>
      <c r="L32" s="7" t="inlineStr"/>
    </row>
    <row r="33">
      <c r="B33" s="6" t="inlineStr">
        <is>
          <t>T-028</t>
        </is>
      </c>
      <c r="C33" s="6" t="inlineStr">
        <is>
          <t>HU-08</t>
        </is>
      </c>
      <c r="D33" s="7" t="inlineStr">
        <is>
          <t>Registrar insumos</t>
        </is>
      </c>
      <c r="E33" s="6" t="inlineStr">
        <is>
          <t>Modelado UML</t>
        </is>
      </c>
      <c r="F33" s="7" t="inlineStr">
        <is>
          <t>Modelar la funcionalidad de HU-08 con el diagrama UML de secuencia del alta de insumo con verificación de duplicado</t>
        </is>
      </c>
      <c r="G33" s="6" t="inlineStr">
        <is>
          <t>Fernando</t>
        </is>
      </c>
      <c r="H33" s="6" t="n">
        <v>1</v>
      </c>
      <c r="I33" s="6" t="inlineStr">
        <is>
          <t>To Do</t>
        </is>
      </c>
      <c r="J33" s="6" t="inlineStr">
        <is>
          <t>24/10</t>
        </is>
      </c>
      <c r="K33" s="7" t="inlineStr"/>
      <c r="L33" s="7" t="inlineStr">
        <is>
          <t>T-027</t>
        </is>
      </c>
    </row>
    <row r="34">
      <c r="B34" s="6" t="inlineStr">
        <is>
          <t>T-029</t>
        </is>
      </c>
      <c r="C34" s="6" t="inlineStr">
        <is>
          <t>HU-08</t>
        </is>
      </c>
      <c r="D34" s="7" t="inlineStr">
        <is>
          <t>Registrar insumos</t>
        </is>
      </c>
      <c r="E34" s="6" t="inlineStr">
        <is>
          <t>Base de datos</t>
        </is>
      </c>
      <c r="F34" s="7" t="inlineStr">
        <is>
          <t>Implementar las tablas asociadas a HU-08: insumo, insumo_nombre_comercial</t>
        </is>
      </c>
      <c r="G34" s="6" t="inlineStr">
        <is>
          <t>Adiel</t>
        </is>
      </c>
      <c r="H34" s="6" t="n">
        <v>1</v>
      </c>
      <c r="I34" s="6" t="inlineStr">
        <is>
          <t>To Do</t>
        </is>
      </c>
      <c r="J34" s="6" t="inlineStr">
        <is>
          <t>24/10</t>
        </is>
      </c>
      <c r="K34" s="7" t="inlineStr"/>
      <c r="L34" s="7" t="inlineStr">
        <is>
          <t>T-028</t>
        </is>
      </c>
    </row>
    <row r="35">
      <c r="B35" s="6" t="inlineStr">
        <is>
          <t>T-030</t>
        </is>
      </c>
      <c r="C35" s="6" t="inlineStr">
        <is>
          <t>HU-08</t>
        </is>
      </c>
      <c r="D35" s="7" t="inlineStr">
        <is>
          <t>Registrar insumos</t>
        </is>
      </c>
      <c r="E35" s="6" t="inlineStr">
        <is>
          <t>Backend</t>
        </is>
      </c>
      <c r="F35" s="7" t="inlineStr">
        <is>
          <t>Programar el back-end de HU-08 (entidad, repositorio, servicio y controlador): el endpoint del catálogo: generar código único, rechazar duplicados y marcar «por verificar»</t>
        </is>
      </c>
      <c r="G35" s="6" t="inlineStr">
        <is>
          <t>Adiel</t>
        </is>
      </c>
      <c r="H35" s="6" t="n">
        <v>3</v>
      </c>
      <c r="I35" s="6" t="inlineStr">
        <is>
          <t>To Do</t>
        </is>
      </c>
      <c r="J35" s="6" t="inlineStr">
        <is>
          <t>25/10</t>
        </is>
      </c>
      <c r="K35" s="7" t="inlineStr"/>
      <c r="L35" s="7" t="inlineStr">
        <is>
          <t>T-029</t>
        </is>
      </c>
    </row>
    <row r="36">
      <c r="B36" s="6" t="inlineStr">
        <is>
          <t>T-031</t>
        </is>
      </c>
      <c r="C36" s="6" t="inlineStr">
        <is>
          <t>HU-08</t>
        </is>
      </c>
      <c r="D36" s="7" t="inlineStr">
        <is>
          <t>Registrar insumos</t>
        </is>
      </c>
      <c r="E36" s="6" t="inlineStr">
        <is>
          <t>Front-end web</t>
        </is>
      </c>
      <c r="F36" s="7" t="inlineStr">
        <is>
          <t>Programar la pantalla web del catálogo para ver, dar de alta y editar insumos</t>
        </is>
      </c>
      <c r="G36" s="6" t="inlineStr">
        <is>
          <t>Fernando</t>
        </is>
      </c>
      <c r="H36" s="6" t="n">
        <v>3</v>
      </c>
      <c r="I36" s="6" t="inlineStr">
        <is>
          <t>Done</t>
        </is>
      </c>
      <c r="J36" s="6" t="inlineStr">
        <is>
          <t>26/10</t>
        </is>
      </c>
      <c r="K36" s="7" t="inlineStr">
        <is>
          <t>pantalla hecha con datos simulados; falta conectarla a la API real</t>
        </is>
      </c>
      <c r="L36" s="7" t="inlineStr"/>
    </row>
    <row r="37">
      <c r="B37" s="6" t="inlineStr">
        <is>
          <t>T-032</t>
        </is>
      </c>
      <c r="C37" s="6" t="inlineStr">
        <is>
          <t>HU-08</t>
        </is>
      </c>
      <c r="D37" s="7" t="inlineStr">
        <is>
          <t>Registrar insumos</t>
        </is>
      </c>
      <c r="E37" s="6" t="inlineStr">
        <is>
          <t>Conexión API</t>
        </is>
      </c>
      <c r="F37" s="7" t="inlineStr">
        <is>
          <t>Conectar la pantalla del catálogo con la API real</t>
        </is>
      </c>
      <c r="G37" s="6" t="inlineStr">
        <is>
          <t>Fernando</t>
        </is>
      </c>
      <c r="H37" s="6" t="n">
        <v>3</v>
      </c>
      <c r="I37" s="6" t="inlineStr">
        <is>
          <t>To Do</t>
        </is>
      </c>
      <c r="J37" s="6" t="inlineStr">
        <is>
          <t>26/10</t>
        </is>
      </c>
      <c r="K37" s="7" t="inlineStr"/>
      <c r="L37" s="7" t="inlineStr">
        <is>
          <t>T-030, T-031, T-234</t>
        </is>
      </c>
    </row>
    <row r="38">
      <c r="B38" s="6" t="inlineStr">
        <is>
          <t>T-033</t>
        </is>
      </c>
      <c r="C38" s="6" t="inlineStr">
        <is>
          <t>HU-08</t>
        </is>
      </c>
      <c r="D38" s="7" t="inlineStr">
        <is>
          <t>Registrar insumos</t>
        </is>
      </c>
      <c r="E38" s="6" t="inlineStr">
        <is>
          <t>Pruebas</t>
        </is>
      </c>
      <c r="F38" s="7" t="inlineStr">
        <is>
          <t>Probar la funcionalidad de HU-08 (la API con Postman y la pantalla web) contra cada condición final y aprobar su PR</t>
        </is>
      </c>
      <c r="G38" s="6" t="inlineStr">
        <is>
          <t>Henry</t>
        </is>
      </c>
      <c r="H38" s="6" t="n">
        <v>1</v>
      </c>
      <c r="I38" s="6" t="inlineStr">
        <is>
          <t>To Do</t>
        </is>
      </c>
      <c r="J38" s="6" t="inlineStr">
        <is>
          <t>27/10</t>
        </is>
      </c>
      <c r="K38" s="7" t="inlineStr">
        <is>
          <t>alguien distinto del autor (T1, T5, T8)</t>
        </is>
      </c>
      <c r="L38" s="7" t="inlineStr">
        <is>
          <t>T-029, T-030, T-031, T-032, T-233</t>
        </is>
      </c>
    </row>
    <row r="39">
      <c r="B39" s="8" t="inlineStr">
        <is>
          <t>T-034</t>
        </is>
      </c>
      <c r="C39" s="8" t="inlineStr">
        <is>
          <t>HU-08</t>
        </is>
      </c>
      <c r="D39" s="9" t="inlineStr">
        <is>
          <t>Registrar insumos</t>
        </is>
      </c>
      <c r="E39" s="8" t="inlineStr">
        <is>
          <t>Aceptación</t>
        </is>
      </c>
      <c r="F39" s="9" t="inlineStr">
        <is>
          <t>Aceptar HU-08 como Product Owner desde la interfaz y moverla a Done</t>
        </is>
      </c>
      <c r="G39" s="8" t="inlineStr">
        <is>
          <t>Adiel</t>
        </is>
      </c>
      <c r="H39" s="8" t="n">
        <v>0.5</v>
      </c>
      <c r="I39" s="8" t="inlineStr">
        <is>
          <t>To Do</t>
        </is>
      </c>
      <c r="J39" s="8" t="inlineStr">
        <is>
          <t>27/10</t>
        </is>
      </c>
      <c r="K39" s="9" t="inlineStr">
        <is>
          <t>mueve la HU a Done</t>
        </is>
      </c>
      <c r="L39" s="9" t="inlineStr">
        <is>
          <t>T-033</t>
        </is>
      </c>
    </row>
    <row r="40">
      <c r="B40" s="6" t="inlineStr">
        <is>
          <t>T-035</t>
        </is>
      </c>
      <c r="C40" s="6" t="inlineStr">
        <is>
          <t>HU-12</t>
        </is>
      </c>
      <c r="D40" s="7" t="inlineStr">
        <is>
          <t>Loguear usuario</t>
        </is>
      </c>
      <c r="E40" s="6" t="inlineStr">
        <is>
          <t>Diseño UI</t>
        </is>
      </c>
      <c r="F40" s="7" t="inlineStr">
        <is>
          <t>Diseñar la interfaz de usuario de HU-12: pantalla 1 (app) y 20 (web) · Login</t>
        </is>
      </c>
      <c r="G40" s="6" t="inlineStr">
        <is>
          <t>Fernando</t>
        </is>
      </c>
      <c r="H40" s="6" t="n">
        <v>1</v>
      </c>
      <c r="I40" s="6" t="inlineStr">
        <is>
          <t>Done</t>
        </is>
      </c>
      <c r="J40" s="6" t="inlineStr">
        <is>
          <t>23/10</t>
        </is>
      </c>
      <c r="K40" s="7" t="inlineStr">
        <is>
          <t>mockup en el lienzo «SIGRO · Pantallas y diagramas del Sprint 1», WCAG AA</t>
        </is>
      </c>
      <c r="L40" s="7" t="inlineStr"/>
    </row>
    <row r="41">
      <c r="B41" s="6" t="inlineStr">
        <is>
          <t>T-036</t>
        </is>
      </c>
      <c r="C41" s="6" t="inlineStr">
        <is>
          <t>HU-12</t>
        </is>
      </c>
      <c r="D41" s="7" t="inlineStr">
        <is>
          <t>Loguear usuario</t>
        </is>
      </c>
      <c r="E41" s="6" t="inlineStr">
        <is>
          <t>Modelado UML</t>
        </is>
      </c>
      <c r="F41" s="7" t="inlineStr">
        <is>
          <t>Modelar la funcionalidad de HU-12 con el diagrama UML de secuencia del login y la renovación de la sesión</t>
        </is>
      </c>
      <c r="G41" s="6" t="inlineStr">
        <is>
          <t>Nicolás</t>
        </is>
      </c>
      <c r="H41" s="6" t="n">
        <v>1</v>
      </c>
      <c r="I41" s="6" t="inlineStr">
        <is>
          <t>To Do</t>
        </is>
      </c>
      <c r="J41" s="6" t="inlineStr">
        <is>
          <t>24/10</t>
        </is>
      </c>
      <c r="K41" s="7" t="inlineStr"/>
      <c r="L41" s="7" t="inlineStr">
        <is>
          <t>T-035</t>
        </is>
      </c>
    </row>
    <row r="42">
      <c r="B42" s="6" t="inlineStr">
        <is>
          <t>T-037</t>
        </is>
      </c>
      <c r="C42" s="6" t="inlineStr">
        <is>
          <t>HU-12</t>
        </is>
      </c>
      <c r="D42" s="7" t="inlineStr">
        <is>
          <t>Loguear usuario</t>
        </is>
      </c>
      <c r="E42" s="6" t="inlineStr">
        <is>
          <t>Base de datos</t>
        </is>
      </c>
      <c r="F42" s="7" t="inlineStr">
        <is>
          <t>Implementar las tablas asociadas a HU-12: usuario (hash de la clave, intentos, estado)</t>
        </is>
      </c>
      <c r="G42" s="6" t="inlineStr">
        <is>
          <t>Adiel</t>
        </is>
      </c>
      <c r="H42" s="6" t="n">
        <v>1</v>
      </c>
      <c r="I42" s="6" t="inlineStr">
        <is>
          <t>Done</t>
        </is>
      </c>
      <c r="J42" s="6" t="inlineStr">
        <is>
          <t>24/10</t>
        </is>
      </c>
      <c r="K42" s="7" t="inlineStr">
        <is>
          <t>migraciones 0001–0006 de la API</t>
        </is>
      </c>
      <c r="L42" s="7" t="inlineStr"/>
    </row>
    <row r="43">
      <c r="B43" s="6" t="inlineStr">
        <is>
          <t>T-038</t>
        </is>
      </c>
      <c r="C43" s="6" t="inlineStr">
        <is>
          <t>HU-12</t>
        </is>
      </c>
      <c r="D43" s="7" t="inlineStr">
        <is>
          <t>Loguear usuario</t>
        </is>
      </c>
      <c r="E43" s="6" t="inlineStr">
        <is>
          <t>Backend</t>
        </is>
      </c>
      <c r="F43" s="7" t="inlineStr">
        <is>
          <t>Programar el back-end de HU-12 (entidad, repositorio, servicio y controlador): el login con Argon2id, sesión que caduca y se renueva, y bloqueo por intentos fallidos</t>
        </is>
      </c>
      <c r="G43" s="6" t="inlineStr">
        <is>
          <t>Adiel</t>
        </is>
      </c>
      <c r="H43" s="6" t="n">
        <v>3</v>
      </c>
      <c r="I43" s="6" t="inlineStr">
        <is>
          <t>Done</t>
        </is>
      </c>
      <c r="J43" s="6" t="inlineStr">
        <is>
          <t>25/10</t>
        </is>
      </c>
      <c r="K43" s="7" t="inlineStr">
        <is>
          <t>hecho en la API de Adiel (PR #1 fusionado a main), con pruebas</t>
        </is>
      </c>
      <c r="L43" s="7" t="inlineStr"/>
    </row>
    <row r="44">
      <c r="B44" s="6" t="inlineStr">
        <is>
          <t>T-039</t>
        </is>
      </c>
      <c r="C44" s="6" t="inlineStr">
        <is>
          <t>HU-12</t>
        </is>
      </c>
      <c r="D44" s="7" t="inlineStr">
        <is>
          <t>Loguear usuario</t>
        </is>
      </c>
      <c r="E44" s="6" t="inlineStr">
        <is>
          <t>Front-end web</t>
        </is>
      </c>
      <c r="F44" s="7" t="inlineStr">
        <is>
          <t>Programar la pantalla web de login y el manejo de la sesión</t>
        </is>
      </c>
      <c r="G44" s="6" t="inlineStr">
        <is>
          <t>Henry</t>
        </is>
      </c>
      <c r="H44" s="6" t="n">
        <v>3</v>
      </c>
      <c r="I44" s="6" t="inlineStr">
        <is>
          <t>To Do</t>
        </is>
      </c>
      <c r="J44" s="6" t="inlineStr">
        <is>
          <t>26/10</t>
        </is>
      </c>
      <c r="K44" s="7" t="inlineStr"/>
      <c r="L44" s="7" t="inlineStr">
        <is>
          <t>T-035</t>
        </is>
      </c>
    </row>
    <row r="45">
      <c r="B45" s="6" t="inlineStr">
        <is>
          <t>T-040</t>
        </is>
      </c>
      <c r="C45" s="6" t="inlineStr">
        <is>
          <t>HU-12</t>
        </is>
      </c>
      <c r="D45" s="7" t="inlineStr">
        <is>
          <t>Loguear usuario</t>
        </is>
      </c>
      <c r="E45" s="6" t="inlineStr">
        <is>
          <t>Front-end app</t>
        </is>
      </c>
      <c r="F45" s="7" t="inlineStr">
        <is>
          <t>Programar el login en la app del almacenero</t>
        </is>
      </c>
      <c r="G45" s="6" t="inlineStr">
        <is>
          <t>Nicolás</t>
        </is>
      </c>
      <c r="H45" s="6" t="n">
        <v>3</v>
      </c>
      <c r="I45" s="6" t="inlineStr">
        <is>
          <t>To Do</t>
        </is>
      </c>
      <c r="J45" s="6" t="inlineStr">
        <is>
          <t>26/10</t>
        </is>
      </c>
      <c r="K45" s="7" t="inlineStr"/>
      <c r="L45" s="7" t="inlineStr">
        <is>
          <t>T-035, T-235</t>
        </is>
      </c>
    </row>
    <row r="46">
      <c r="B46" s="6" t="inlineStr">
        <is>
          <t>T-041</t>
        </is>
      </c>
      <c r="C46" s="6" t="inlineStr">
        <is>
          <t>HU-12</t>
        </is>
      </c>
      <c r="D46" s="7" t="inlineStr">
        <is>
          <t>Loguear usuario</t>
        </is>
      </c>
      <c r="E46" s="6" t="inlineStr">
        <is>
          <t>Pruebas</t>
        </is>
      </c>
      <c r="F46" s="7" t="inlineStr">
        <is>
          <t>Probar la funcionalidad de HU-12 (la API con Postman, la pantalla web y la app) contra cada condición final y aprobar su PR</t>
        </is>
      </c>
      <c r="G46" s="6" t="inlineStr">
        <is>
          <t>Fernando</t>
        </is>
      </c>
      <c r="H46" s="6" t="n">
        <v>1</v>
      </c>
      <c r="I46" s="6" t="inlineStr">
        <is>
          <t>To Do</t>
        </is>
      </c>
      <c r="J46" s="6" t="inlineStr">
        <is>
          <t>27/10</t>
        </is>
      </c>
      <c r="K46" s="7" t="inlineStr">
        <is>
          <t>alguien distinto del autor (T1, T5, T8)</t>
        </is>
      </c>
      <c r="L46" s="7" t="inlineStr">
        <is>
          <t>T-037, T-038, T-039, T-040, T-233</t>
        </is>
      </c>
    </row>
    <row r="47">
      <c r="B47" s="8" t="inlineStr">
        <is>
          <t>T-042</t>
        </is>
      </c>
      <c r="C47" s="8" t="inlineStr">
        <is>
          <t>HU-12</t>
        </is>
      </c>
      <c r="D47" s="9" t="inlineStr">
        <is>
          <t>Loguear usuario</t>
        </is>
      </c>
      <c r="E47" s="8" t="inlineStr">
        <is>
          <t>Aceptación</t>
        </is>
      </c>
      <c r="F47" s="9" t="inlineStr">
        <is>
          <t>Aceptar HU-12 como Product Owner desde la interfaz y moverla a Done</t>
        </is>
      </c>
      <c r="G47" s="8" t="inlineStr">
        <is>
          <t>Adiel</t>
        </is>
      </c>
      <c r="H47" s="8" t="n">
        <v>0.5</v>
      </c>
      <c r="I47" s="8" t="inlineStr">
        <is>
          <t>To Do</t>
        </is>
      </c>
      <c r="J47" s="8" t="inlineStr">
        <is>
          <t>27/10</t>
        </is>
      </c>
      <c r="K47" s="9" t="inlineStr">
        <is>
          <t>mueve la HU a Done</t>
        </is>
      </c>
      <c r="L47" s="9" t="inlineStr">
        <is>
          <t>T-041</t>
        </is>
      </c>
    </row>
    <row r="48">
      <c r="B48" s="6" t="inlineStr">
        <is>
          <t>T-043</t>
        </is>
      </c>
      <c r="C48" s="6" t="inlineStr">
        <is>
          <t>HU-13</t>
        </is>
      </c>
      <c r="D48" s="7" t="inlineStr">
        <is>
          <t>Asignar roles</t>
        </is>
      </c>
      <c r="E48" s="6" t="inlineStr">
        <is>
          <t>Diseño UI</t>
        </is>
      </c>
      <c r="F48" s="7" t="inlineStr">
        <is>
          <t>Diseñar la interfaz de usuario de HU-13: pantalla 10 · Usuarios, roles y dispositivos</t>
        </is>
      </c>
      <c r="G48" s="6" t="inlineStr">
        <is>
          <t>Fernando</t>
        </is>
      </c>
      <c r="H48" s="6" t="n">
        <v>1</v>
      </c>
      <c r="I48" s="6" t="inlineStr">
        <is>
          <t>Done</t>
        </is>
      </c>
      <c r="J48" s="6" t="inlineStr">
        <is>
          <t>23/10</t>
        </is>
      </c>
      <c r="K48" s="7" t="inlineStr">
        <is>
          <t>mockup en el lienzo «SIGRO · Pantallas y diagramas del Sprint 1», WCAG AA</t>
        </is>
      </c>
      <c r="L48" s="7" t="inlineStr"/>
    </row>
    <row r="49">
      <c r="B49" s="6" t="inlineStr">
        <is>
          <t>T-044</t>
        </is>
      </c>
      <c r="C49" s="6" t="inlineStr">
        <is>
          <t>HU-13</t>
        </is>
      </c>
      <c r="D49" s="7" t="inlineStr">
        <is>
          <t>Asignar roles</t>
        </is>
      </c>
      <c r="E49" s="6" t="inlineStr">
        <is>
          <t>Modelado UML</t>
        </is>
      </c>
      <c r="F49" s="7" t="inlineStr">
        <is>
          <t>Modelar la funcionalidad de HU-13 con el diagrama UML de secuencia de la verificación del permiso en el servidor</t>
        </is>
      </c>
      <c r="G49" s="6" t="inlineStr">
        <is>
          <t>Henry</t>
        </is>
      </c>
      <c r="H49" s="6" t="n">
        <v>1</v>
      </c>
      <c r="I49" s="6" t="inlineStr">
        <is>
          <t>To Do</t>
        </is>
      </c>
      <c r="J49" s="6" t="inlineStr">
        <is>
          <t>24/10</t>
        </is>
      </c>
      <c r="K49" s="7" t="inlineStr"/>
      <c r="L49" s="7" t="inlineStr">
        <is>
          <t>T-043</t>
        </is>
      </c>
    </row>
    <row r="50">
      <c r="B50" s="6" t="inlineStr">
        <is>
          <t>T-045</t>
        </is>
      </c>
      <c r="C50" s="6" t="inlineStr">
        <is>
          <t>HU-13</t>
        </is>
      </c>
      <c r="D50" s="7" t="inlineStr">
        <is>
          <t>Asignar roles</t>
        </is>
      </c>
      <c r="E50" s="6" t="inlineStr">
        <is>
          <t>Base de datos</t>
        </is>
      </c>
      <c r="F50" s="7" t="inlineStr">
        <is>
          <t>Implementar las tablas asociadas a HU-13: asignacion (el rol vive aquí, por obra)</t>
        </is>
      </c>
      <c r="G50" s="6" t="inlineStr">
        <is>
          <t>Adiel</t>
        </is>
      </c>
      <c r="H50" s="6" t="n">
        <v>1</v>
      </c>
      <c r="I50" s="6" t="inlineStr">
        <is>
          <t>Done</t>
        </is>
      </c>
      <c r="J50" s="6" t="inlineStr">
        <is>
          <t>24/10</t>
        </is>
      </c>
      <c r="K50" s="7" t="inlineStr">
        <is>
          <t>migraciones 0001–0006 de la API</t>
        </is>
      </c>
      <c r="L50" s="7" t="inlineStr"/>
    </row>
    <row r="51">
      <c r="B51" s="6" t="inlineStr">
        <is>
          <t>T-046</t>
        </is>
      </c>
      <c r="C51" s="6" t="inlineStr">
        <is>
          <t>HU-13</t>
        </is>
      </c>
      <c r="D51" s="7" t="inlineStr">
        <is>
          <t>Asignar roles</t>
        </is>
      </c>
      <c r="E51" s="6" t="inlineStr">
        <is>
          <t>Backend</t>
        </is>
      </c>
      <c r="F51" s="7" t="inlineStr">
        <is>
          <t>Programar el back-end de HU-13 (entidad, repositorio, servicio y controlador): los roles y verificar sus permisos en el servidor</t>
        </is>
      </c>
      <c r="G51" s="6" t="inlineStr">
        <is>
          <t>Adiel</t>
        </is>
      </c>
      <c r="H51" s="6" t="n">
        <v>4</v>
      </c>
      <c r="I51" s="6" t="inlineStr">
        <is>
          <t>Done</t>
        </is>
      </c>
      <c r="J51" s="6" t="inlineStr">
        <is>
          <t>25/10</t>
        </is>
      </c>
      <c r="K51" s="7" t="inlineStr">
        <is>
          <t>hecho en la API de Adiel (PR #1 fusionado a main), con pruebas</t>
        </is>
      </c>
      <c r="L51" s="7" t="inlineStr"/>
    </row>
    <row r="52">
      <c r="B52" s="6" t="inlineStr">
        <is>
          <t>T-047</t>
        </is>
      </c>
      <c r="C52" s="6" t="inlineStr">
        <is>
          <t>HU-13</t>
        </is>
      </c>
      <c r="D52" s="7" t="inlineStr">
        <is>
          <t>Asignar roles</t>
        </is>
      </c>
      <c r="E52" s="6" t="inlineStr">
        <is>
          <t>Front-end web</t>
        </is>
      </c>
      <c r="F52" s="7" t="inlineStr">
        <is>
          <t>Programar la pantalla web para crear usuarios, asignar su rol y darlos de baja</t>
        </is>
      </c>
      <c r="G52" s="6" t="inlineStr">
        <is>
          <t>Henry</t>
        </is>
      </c>
      <c r="H52" s="6" t="n">
        <v>4</v>
      </c>
      <c r="I52" s="6" t="inlineStr">
        <is>
          <t>To Do</t>
        </is>
      </c>
      <c r="J52" s="6" t="inlineStr">
        <is>
          <t>26/10</t>
        </is>
      </c>
      <c r="K52" s="7" t="inlineStr"/>
      <c r="L52" s="7" t="inlineStr">
        <is>
          <t>T-043</t>
        </is>
      </c>
    </row>
    <row r="53">
      <c r="B53" s="6" t="inlineStr">
        <is>
          <t>T-048</t>
        </is>
      </c>
      <c r="C53" s="6" t="inlineStr">
        <is>
          <t>HU-13</t>
        </is>
      </c>
      <c r="D53" s="7" t="inlineStr">
        <is>
          <t>Asignar roles</t>
        </is>
      </c>
      <c r="E53" s="6" t="inlineStr">
        <is>
          <t>Pruebas</t>
        </is>
      </c>
      <c r="F53" s="7" t="inlineStr">
        <is>
          <t>Probar la funcionalidad de HU-13 (la API con Postman y la pantalla web) contra cada condición final y aprobar su PR</t>
        </is>
      </c>
      <c r="G53" s="6" t="inlineStr">
        <is>
          <t>Fernando</t>
        </is>
      </c>
      <c r="H53" s="6" t="n">
        <v>1</v>
      </c>
      <c r="I53" s="6" t="inlineStr">
        <is>
          <t>To Do</t>
        </is>
      </c>
      <c r="J53" s="6" t="inlineStr">
        <is>
          <t>27/10</t>
        </is>
      </c>
      <c r="K53" s="7" t="inlineStr">
        <is>
          <t>alguien distinto del autor (T1, T5, T8)</t>
        </is>
      </c>
      <c r="L53" s="7" t="inlineStr">
        <is>
          <t>T-045, T-046, T-047, T-233</t>
        </is>
      </c>
    </row>
    <row r="54">
      <c r="B54" s="8" t="inlineStr">
        <is>
          <t>T-049</t>
        </is>
      </c>
      <c r="C54" s="8" t="inlineStr">
        <is>
          <t>HU-13</t>
        </is>
      </c>
      <c r="D54" s="9" t="inlineStr">
        <is>
          <t>Asignar roles</t>
        </is>
      </c>
      <c r="E54" s="8" t="inlineStr">
        <is>
          <t>Aceptación</t>
        </is>
      </c>
      <c r="F54" s="9" t="inlineStr">
        <is>
          <t>Aceptar HU-13 como Product Owner desde la interfaz y moverla a Done</t>
        </is>
      </c>
      <c r="G54" s="8" t="inlineStr">
        <is>
          <t>Adiel</t>
        </is>
      </c>
      <c r="H54" s="8" t="n">
        <v>0.5</v>
      </c>
      <c r="I54" s="8" t="inlineStr">
        <is>
          <t>To Do</t>
        </is>
      </c>
      <c r="J54" s="8" t="inlineStr">
        <is>
          <t>27/10</t>
        </is>
      </c>
      <c r="K54" s="9" t="inlineStr">
        <is>
          <t>mueve la HU a Done</t>
        </is>
      </c>
      <c r="L54" s="9" t="inlineStr">
        <is>
          <t>T-048</t>
        </is>
      </c>
    </row>
    <row r="55">
      <c r="B55" s="6" t="inlineStr">
        <is>
          <t>T-050</t>
        </is>
      </c>
      <c r="C55" s="6" t="inlineStr">
        <is>
          <t>HU-14</t>
        </is>
      </c>
      <c r="D55" s="7" t="inlineStr">
        <is>
          <t>Asignar usuarios a obras</t>
        </is>
      </c>
      <c r="E55" s="6" t="inlineStr">
        <is>
          <t>Diseño UI</t>
        </is>
      </c>
      <c r="F55" s="7" t="inlineStr">
        <is>
          <t>Diseñar la interfaz de usuario de HU-14: pantalla 10 · Usuarios, roles y dispositivos</t>
        </is>
      </c>
      <c r="G55" s="6" t="inlineStr">
        <is>
          <t>Fernando</t>
        </is>
      </c>
      <c r="H55" s="6" t="n">
        <v>1</v>
      </c>
      <c r="I55" s="6" t="inlineStr">
        <is>
          <t>Done</t>
        </is>
      </c>
      <c r="J55" s="6" t="inlineStr">
        <is>
          <t>23/10</t>
        </is>
      </c>
      <c r="K55" s="7" t="inlineStr">
        <is>
          <t>mockup en el lienzo «SIGRO · Pantallas y diagramas del Sprint 1», WCAG AA</t>
        </is>
      </c>
      <c r="L55" s="7" t="inlineStr"/>
    </row>
    <row r="56">
      <c r="B56" s="6" t="inlineStr">
        <is>
          <t>T-051</t>
        </is>
      </c>
      <c r="C56" s="6" t="inlineStr">
        <is>
          <t>HU-14</t>
        </is>
      </c>
      <c r="D56" s="7" t="inlineStr">
        <is>
          <t>Asignar usuarios a obras</t>
        </is>
      </c>
      <c r="E56" s="6" t="inlineStr">
        <is>
          <t>Modelado UML</t>
        </is>
      </c>
      <c r="F56" s="7" t="inlineStr">
        <is>
          <t>Modelar la funcionalidad de HU-14 con el diagrama UML de secuencia de la asignación de usuario a obra</t>
        </is>
      </c>
      <c r="G56" s="6" t="inlineStr">
        <is>
          <t>Henry</t>
        </is>
      </c>
      <c r="H56" s="6" t="n">
        <v>1</v>
      </c>
      <c r="I56" s="6" t="inlineStr">
        <is>
          <t>To Do</t>
        </is>
      </c>
      <c r="J56" s="6" t="inlineStr">
        <is>
          <t>24/10</t>
        </is>
      </c>
      <c r="K56" s="7" t="inlineStr"/>
      <c r="L56" s="7" t="inlineStr">
        <is>
          <t>T-050</t>
        </is>
      </c>
    </row>
    <row r="57">
      <c r="B57" s="6" t="inlineStr">
        <is>
          <t>T-052</t>
        </is>
      </c>
      <c r="C57" s="6" t="inlineStr">
        <is>
          <t>HU-14</t>
        </is>
      </c>
      <c r="D57" s="7" t="inlineStr">
        <is>
          <t>Asignar usuarios a obras</t>
        </is>
      </c>
      <c r="E57" s="6" t="inlineStr">
        <is>
          <t>Base de datos</t>
        </is>
      </c>
      <c r="F57" s="7" t="inlineStr">
        <is>
          <t>Implementar las tablas asociadas a HU-14: asignacion</t>
        </is>
      </c>
      <c r="G57" s="6" t="inlineStr">
        <is>
          <t>Adiel</t>
        </is>
      </c>
      <c r="H57" s="6" t="n">
        <v>1</v>
      </c>
      <c r="I57" s="6" t="inlineStr">
        <is>
          <t>Done</t>
        </is>
      </c>
      <c r="J57" s="6" t="inlineStr">
        <is>
          <t>24/10</t>
        </is>
      </c>
      <c r="K57" s="7" t="inlineStr">
        <is>
          <t>migraciones 0001–0006 de la API</t>
        </is>
      </c>
      <c r="L57" s="7" t="inlineStr"/>
    </row>
    <row r="58">
      <c r="B58" s="6" t="inlineStr">
        <is>
          <t>T-053</t>
        </is>
      </c>
      <c r="C58" s="6" t="inlineStr">
        <is>
          <t>HU-14</t>
        </is>
      </c>
      <c r="D58" s="7" t="inlineStr">
        <is>
          <t>Asignar usuarios a obras</t>
        </is>
      </c>
      <c r="E58" s="6" t="inlineStr">
        <is>
          <t>Backend</t>
        </is>
      </c>
      <c r="F58" s="7" t="inlineStr">
        <is>
          <t>Programar el back-end de HU-14 (entidad, repositorio, servicio y controlador): el endpoint para asignar usuarios a obras</t>
        </is>
      </c>
      <c r="G58" s="6" t="inlineStr">
        <is>
          <t>Adiel</t>
        </is>
      </c>
      <c r="H58" s="6" t="n">
        <v>2</v>
      </c>
      <c r="I58" s="6" t="inlineStr">
        <is>
          <t>Done</t>
        </is>
      </c>
      <c r="J58" s="6" t="inlineStr">
        <is>
          <t>25/10</t>
        </is>
      </c>
      <c r="K58" s="7" t="inlineStr">
        <is>
          <t>hecho en la API de Adiel (PR #1 fusionado a main), con pruebas</t>
        </is>
      </c>
      <c r="L58" s="7" t="inlineStr"/>
    </row>
    <row r="59">
      <c r="B59" s="6" t="inlineStr">
        <is>
          <t>T-054</t>
        </is>
      </c>
      <c r="C59" s="6" t="inlineStr">
        <is>
          <t>HU-14</t>
        </is>
      </c>
      <c r="D59" s="7" t="inlineStr">
        <is>
          <t>Asignar usuarios a obras</t>
        </is>
      </c>
      <c r="E59" s="6" t="inlineStr">
        <is>
          <t>Front-end web</t>
        </is>
      </c>
      <c r="F59" s="7" t="inlineStr">
        <is>
          <t>Programar la pantalla web para asignar usuarios a obras</t>
        </is>
      </c>
      <c r="G59" s="6" t="inlineStr">
        <is>
          <t>Henry</t>
        </is>
      </c>
      <c r="H59" s="6" t="n">
        <v>2</v>
      </c>
      <c r="I59" s="6" t="inlineStr">
        <is>
          <t>To Do</t>
        </is>
      </c>
      <c r="J59" s="6" t="inlineStr">
        <is>
          <t>26/10</t>
        </is>
      </c>
      <c r="K59" s="7" t="inlineStr"/>
      <c r="L59" s="7" t="inlineStr">
        <is>
          <t>T-050</t>
        </is>
      </c>
    </row>
    <row r="60">
      <c r="B60" s="6" t="inlineStr">
        <is>
          <t>T-055</t>
        </is>
      </c>
      <c r="C60" s="6" t="inlineStr">
        <is>
          <t>HU-14</t>
        </is>
      </c>
      <c r="D60" s="7" t="inlineStr">
        <is>
          <t>Asignar usuarios a obras</t>
        </is>
      </c>
      <c r="E60" s="6" t="inlineStr">
        <is>
          <t>Pruebas</t>
        </is>
      </c>
      <c r="F60" s="7" t="inlineStr">
        <is>
          <t>Probar la funcionalidad de HU-14 (la API con Postman y la pantalla web) contra cada condición final y aprobar su PR</t>
        </is>
      </c>
      <c r="G60" s="6" t="inlineStr">
        <is>
          <t>Fernando</t>
        </is>
      </c>
      <c r="H60" s="6" t="n">
        <v>1</v>
      </c>
      <c r="I60" s="6" t="inlineStr">
        <is>
          <t>To Do</t>
        </is>
      </c>
      <c r="J60" s="6" t="inlineStr">
        <is>
          <t>27/10</t>
        </is>
      </c>
      <c r="K60" s="7" t="inlineStr">
        <is>
          <t>alguien distinto del autor (T1, T5, T8)</t>
        </is>
      </c>
      <c r="L60" s="7" t="inlineStr">
        <is>
          <t>T-052, T-053, T-054, T-233</t>
        </is>
      </c>
    </row>
    <row r="61">
      <c r="B61" s="8" t="inlineStr">
        <is>
          <t>T-056</t>
        </is>
      </c>
      <c r="C61" s="8" t="inlineStr">
        <is>
          <t>HU-14</t>
        </is>
      </c>
      <c r="D61" s="9" t="inlineStr">
        <is>
          <t>Asignar usuarios a obras</t>
        </is>
      </c>
      <c r="E61" s="8" t="inlineStr">
        <is>
          <t>Aceptación</t>
        </is>
      </c>
      <c r="F61" s="9" t="inlineStr">
        <is>
          <t>Aceptar HU-14 como Product Owner desde la interfaz y moverla a Done</t>
        </is>
      </c>
      <c r="G61" s="8" t="inlineStr">
        <is>
          <t>Adiel</t>
        </is>
      </c>
      <c r="H61" s="8" t="n">
        <v>0.5</v>
      </c>
      <c r="I61" s="8" t="inlineStr">
        <is>
          <t>To Do</t>
        </is>
      </c>
      <c r="J61" s="8" t="inlineStr">
        <is>
          <t>27/10</t>
        </is>
      </c>
      <c r="K61" s="9" t="inlineStr">
        <is>
          <t>mueve la HU a Done</t>
        </is>
      </c>
      <c r="L61" s="9" t="inlineStr">
        <is>
          <t>T-055</t>
        </is>
      </c>
    </row>
    <row r="62">
      <c r="B62" s="6" t="inlineStr">
        <is>
          <t>T-057</t>
        </is>
      </c>
      <c r="C62" s="6" t="inlineStr">
        <is>
          <t>HU-15</t>
        </is>
      </c>
      <c r="D62" s="7" t="inlineStr">
        <is>
          <t>Autorizar celular de la obra</t>
        </is>
      </c>
      <c r="E62" s="6" t="inlineStr">
        <is>
          <t>Diseño UI</t>
        </is>
      </c>
      <c r="F62" s="7" t="inlineStr">
        <is>
          <t>Diseñar la interfaz de usuario de HU-15: pantalla 10 · Usuarios, roles y dispositivos</t>
        </is>
      </c>
      <c r="G62" s="6" t="inlineStr">
        <is>
          <t>Fernando</t>
        </is>
      </c>
      <c r="H62" s="6" t="n">
        <v>1</v>
      </c>
      <c r="I62" s="6" t="inlineStr">
        <is>
          <t>Done</t>
        </is>
      </c>
      <c r="J62" s="6" t="inlineStr">
        <is>
          <t>23/10</t>
        </is>
      </c>
      <c r="K62" s="7" t="inlineStr">
        <is>
          <t>mockup en el lienzo «SIGRO · Pantallas y diagramas del Sprint 1», WCAG AA</t>
        </is>
      </c>
      <c r="L62" s="7" t="inlineStr"/>
    </row>
    <row r="63">
      <c r="B63" s="6" t="inlineStr">
        <is>
          <t>T-058</t>
        </is>
      </c>
      <c r="C63" s="6" t="inlineStr">
        <is>
          <t>HU-15</t>
        </is>
      </c>
      <c r="D63" s="7" t="inlineStr">
        <is>
          <t>Autorizar celular de la obra</t>
        </is>
      </c>
      <c r="E63" s="6" t="inlineStr">
        <is>
          <t>Modelado UML</t>
        </is>
      </c>
      <c r="F63" s="7" t="inlineStr">
        <is>
          <t>Modelar la funcionalidad de HU-15 con el diagrama UML de secuencia del registro desde un dispositivo no autorizado</t>
        </is>
      </c>
      <c r="G63" s="6" t="inlineStr">
        <is>
          <t>Nicolás</t>
        </is>
      </c>
      <c r="H63" s="6" t="n">
        <v>1</v>
      </c>
      <c r="I63" s="6" t="inlineStr">
        <is>
          <t>To Do</t>
        </is>
      </c>
      <c r="J63" s="6" t="inlineStr">
        <is>
          <t>24/10</t>
        </is>
      </c>
      <c r="K63" s="7" t="inlineStr"/>
      <c r="L63" s="7" t="inlineStr">
        <is>
          <t>T-057</t>
        </is>
      </c>
    </row>
    <row r="64">
      <c r="B64" s="6" t="inlineStr">
        <is>
          <t>T-059</t>
        </is>
      </c>
      <c r="C64" s="6" t="inlineStr">
        <is>
          <t>HU-15</t>
        </is>
      </c>
      <c r="D64" s="7" t="inlineStr">
        <is>
          <t>Autorizar celular de la obra</t>
        </is>
      </c>
      <c r="E64" s="6" t="inlineStr">
        <is>
          <t>Base de datos</t>
        </is>
      </c>
      <c r="F64" s="7" t="inlineStr">
        <is>
          <t>Implementar las tablas asociadas a HU-15: dispositivo (máximo dos activos por obra)</t>
        </is>
      </c>
      <c r="G64" s="6" t="inlineStr">
        <is>
          <t>Adiel</t>
        </is>
      </c>
      <c r="H64" s="6" t="n">
        <v>1</v>
      </c>
      <c r="I64" s="6" t="inlineStr">
        <is>
          <t>Done</t>
        </is>
      </c>
      <c r="J64" s="6" t="inlineStr">
        <is>
          <t>24/10</t>
        </is>
      </c>
      <c r="K64" s="7" t="inlineStr">
        <is>
          <t>migraciones 0001–0006 de la API</t>
        </is>
      </c>
      <c r="L64" s="7" t="inlineStr"/>
    </row>
    <row r="65">
      <c r="B65" s="6" t="inlineStr">
        <is>
          <t>T-060</t>
        </is>
      </c>
      <c r="C65" s="6" t="inlineStr">
        <is>
          <t>HU-15</t>
        </is>
      </c>
      <c r="D65" s="7" t="inlineStr">
        <is>
          <t>Autorizar celular de la obra</t>
        </is>
      </c>
      <c r="E65" s="6" t="inlineStr">
        <is>
          <t>Backend</t>
        </is>
      </c>
      <c r="F65" s="7" t="inlineStr">
        <is>
          <t>Programar el back-end de HU-15 (entidad, repositorio, servicio y controlador): el registro de dispositivos autorizados por obra (máximo dos) y el rechazo del no autorizado</t>
        </is>
      </c>
      <c r="G65" s="6" t="inlineStr">
        <is>
          <t>Adiel</t>
        </is>
      </c>
      <c r="H65" s="6" t="n">
        <v>3</v>
      </c>
      <c r="I65" s="6" t="inlineStr">
        <is>
          <t>Done</t>
        </is>
      </c>
      <c r="J65" s="6" t="inlineStr">
        <is>
          <t>25/10</t>
        </is>
      </c>
      <c r="K65" s="7" t="inlineStr">
        <is>
          <t>hecho en la API de Adiel (PR #1 fusionado a main), con pruebas</t>
        </is>
      </c>
      <c r="L65" s="7" t="inlineStr"/>
    </row>
    <row r="66">
      <c r="B66" s="6" t="inlineStr">
        <is>
          <t>T-061</t>
        </is>
      </c>
      <c r="C66" s="6" t="inlineStr">
        <is>
          <t>HU-15</t>
        </is>
      </c>
      <c r="D66" s="7" t="inlineStr">
        <is>
          <t>Autorizar celular de la obra</t>
        </is>
      </c>
      <c r="E66" s="6" t="inlineStr">
        <is>
          <t>Front-end app</t>
        </is>
      </c>
      <c r="F66" s="7" t="inlineStr">
        <is>
          <t>Programar en la app la generación del código del dispositivo en la primera instalación</t>
        </is>
      </c>
      <c r="G66" s="6" t="inlineStr">
        <is>
          <t>Nicolás</t>
        </is>
      </c>
      <c r="H66" s="6" t="n">
        <v>3</v>
      </c>
      <c r="I66" s="6" t="inlineStr">
        <is>
          <t>To Do</t>
        </is>
      </c>
      <c r="J66" s="6" t="inlineStr">
        <is>
          <t>26/10</t>
        </is>
      </c>
      <c r="K66" s="7" t="inlineStr"/>
      <c r="L66" s="7" t="inlineStr">
        <is>
          <t>T-057, T-235</t>
        </is>
      </c>
    </row>
    <row r="67">
      <c r="B67" s="6" t="inlineStr">
        <is>
          <t>T-062</t>
        </is>
      </c>
      <c r="C67" s="6" t="inlineStr">
        <is>
          <t>HU-15</t>
        </is>
      </c>
      <c r="D67" s="7" t="inlineStr">
        <is>
          <t>Autorizar celular de la obra</t>
        </is>
      </c>
      <c r="E67" s="6" t="inlineStr">
        <is>
          <t>Front-end web</t>
        </is>
      </c>
      <c r="F67" s="7" t="inlineStr">
        <is>
          <t>Programar la pantalla web para autorizar o cambiar el celular de la obra</t>
        </is>
      </c>
      <c r="G67" s="6" t="inlineStr">
        <is>
          <t>Henry</t>
        </is>
      </c>
      <c r="H67" s="6" t="n">
        <v>3</v>
      </c>
      <c r="I67" s="6" t="inlineStr">
        <is>
          <t>To Do</t>
        </is>
      </c>
      <c r="J67" s="6" t="inlineStr">
        <is>
          <t>26/10</t>
        </is>
      </c>
      <c r="K67" s="7" t="inlineStr"/>
      <c r="L67" s="7" t="inlineStr">
        <is>
          <t>T-057</t>
        </is>
      </c>
    </row>
    <row r="68">
      <c r="B68" s="6" t="inlineStr">
        <is>
          <t>T-063</t>
        </is>
      </c>
      <c r="C68" s="6" t="inlineStr">
        <is>
          <t>HU-15</t>
        </is>
      </c>
      <c r="D68" s="7" t="inlineStr">
        <is>
          <t>Autorizar celular de la obra</t>
        </is>
      </c>
      <c r="E68" s="6" t="inlineStr">
        <is>
          <t>Pruebas</t>
        </is>
      </c>
      <c r="F68" s="7" t="inlineStr">
        <is>
          <t>Probar la funcionalidad de HU-15 (la API con Postman, la pantalla web y la app) contra cada condición final y aprobar su PR</t>
        </is>
      </c>
      <c r="G68" s="6" t="inlineStr">
        <is>
          <t>Fernando</t>
        </is>
      </c>
      <c r="H68" s="6" t="n">
        <v>1</v>
      </c>
      <c r="I68" s="6" t="inlineStr">
        <is>
          <t>To Do</t>
        </is>
      </c>
      <c r="J68" s="6" t="inlineStr">
        <is>
          <t>27/10</t>
        </is>
      </c>
      <c r="K68" s="7" t="inlineStr">
        <is>
          <t>alguien distinto del autor (T1, T5, T8)</t>
        </is>
      </c>
      <c r="L68" s="7" t="inlineStr">
        <is>
          <t>T-059, T-060, T-061, T-062, T-233</t>
        </is>
      </c>
    </row>
    <row r="69">
      <c r="B69" s="8" t="inlineStr">
        <is>
          <t>T-064</t>
        </is>
      </c>
      <c r="C69" s="8" t="inlineStr">
        <is>
          <t>HU-15</t>
        </is>
      </c>
      <c r="D69" s="9" t="inlineStr">
        <is>
          <t>Autorizar celular de la obra</t>
        </is>
      </c>
      <c r="E69" s="8" t="inlineStr">
        <is>
          <t>Aceptación</t>
        </is>
      </c>
      <c r="F69" s="9" t="inlineStr">
        <is>
          <t>Aceptar HU-15 como Product Owner desde la interfaz y moverla a Done</t>
        </is>
      </c>
      <c r="G69" s="8" t="inlineStr">
        <is>
          <t>Adiel</t>
        </is>
      </c>
      <c r="H69" s="8" t="n">
        <v>0.5</v>
      </c>
      <c r="I69" s="8" t="inlineStr">
        <is>
          <t>To Do</t>
        </is>
      </c>
      <c r="J69" s="8" t="inlineStr">
        <is>
          <t>27/10</t>
        </is>
      </c>
      <c r="K69" s="9" t="inlineStr">
        <is>
          <t>mueve la HU a Done</t>
        </is>
      </c>
      <c r="L69" s="9" t="inlineStr">
        <is>
          <t>T-063</t>
        </is>
      </c>
    </row>
    <row r="70">
      <c r="B70" s="6" t="inlineStr">
        <is>
          <t>T-065</t>
        </is>
      </c>
      <c r="C70" s="6" t="inlineStr">
        <is>
          <t>HU-16</t>
        </is>
      </c>
      <c r="D70" s="7" t="inlineStr">
        <is>
          <t>Importar precios unitarios</t>
        </is>
      </c>
      <c r="E70" s="6" t="inlineStr">
        <is>
          <t>Diseño UI</t>
        </is>
      </c>
      <c r="F70" s="7" t="inlineStr">
        <is>
          <t>Diseñar la interfaz de usuario de HU-16: pantalla 19 · Importar APU y requerimiento</t>
        </is>
      </c>
      <c r="G70" s="6" t="inlineStr">
        <is>
          <t>Fernando</t>
        </is>
      </c>
      <c r="H70" s="6" t="n">
        <v>1</v>
      </c>
      <c r="I70" s="6" t="inlineStr">
        <is>
          <t>Done</t>
        </is>
      </c>
      <c r="J70" s="6" t="inlineStr">
        <is>
          <t>23/10</t>
        </is>
      </c>
      <c r="K70" s="7" t="inlineStr">
        <is>
          <t>mockup en el lienzo «SIGRO · Pantallas y diagramas del Sprint 1», WCAG AA</t>
        </is>
      </c>
      <c r="L70" s="7" t="inlineStr"/>
    </row>
    <row r="71">
      <c r="B71" s="6" t="inlineStr">
        <is>
          <t>T-066</t>
        </is>
      </c>
      <c r="C71" s="6" t="inlineStr">
        <is>
          <t>HU-16</t>
        </is>
      </c>
      <c r="D71" s="7" t="inlineStr">
        <is>
          <t>Importar precios unitarios</t>
        </is>
      </c>
      <c r="E71" s="6" t="inlineStr">
        <is>
          <t>Modelado UML</t>
        </is>
      </c>
      <c r="F71" s="7" t="inlineStr">
        <is>
          <t>Modelar la funcionalidad de HU-16 con el diagrama UML de actividades de la lectura del APU</t>
        </is>
      </c>
      <c r="G71" s="6" t="inlineStr">
        <is>
          <t>Fernando</t>
        </is>
      </c>
      <c r="H71" s="6" t="n">
        <v>1</v>
      </c>
      <c r="I71" s="6" t="inlineStr">
        <is>
          <t>To Do</t>
        </is>
      </c>
      <c r="J71" s="6" t="inlineStr">
        <is>
          <t>24/10</t>
        </is>
      </c>
      <c r="K71" s="7" t="inlineStr"/>
      <c r="L71" s="7" t="inlineStr">
        <is>
          <t>T-065</t>
        </is>
      </c>
    </row>
    <row r="72">
      <c r="B72" s="6" t="inlineStr">
        <is>
          <t>T-067</t>
        </is>
      </c>
      <c r="C72" s="6" t="inlineStr">
        <is>
          <t>HU-16</t>
        </is>
      </c>
      <c r="D72" s="7" t="inlineStr">
        <is>
          <t>Importar precios unitarios</t>
        </is>
      </c>
      <c r="E72" s="6" t="inlineStr">
        <is>
          <t>Base de datos</t>
        </is>
      </c>
      <c r="F72" s="7" t="inlineStr">
        <is>
          <t>Implementar las tablas asociadas a HU-16: partida, partida_recurso</t>
        </is>
      </c>
      <c r="G72" s="6" t="inlineStr">
        <is>
          <t>Adiel</t>
        </is>
      </c>
      <c r="H72" s="6" t="n">
        <v>1</v>
      </c>
      <c r="I72" s="6" t="inlineStr">
        <is>
          <t>To Do</t>
        </is>
      </c>
      <c r="J72" s="6" t="inlineStr">
        <is>
          <t>24/10</t>
        </is>
      </c>
      <c r="K72" s="7" t="inlineStr"/>
      <c r="L72" s="7" t="inlineStr">
        <is>
          <t>T-066</t>
        </is>
      </c>
    </row>
    <row r="73">
      <c r="B73" s="6" t="inlineStr">
        <is>
          <t>T-068</t>
        </is>
      </c>
      <c r="C73" s="6" t="inlineStr">
        <is>
          <t>HU-16</t>
        </is>
      </c>
      <c r="D73" s="7" t="inlineStr">
        <is>
          <t>Importar precios unitarios</t>
        </is>
      </c>
      <c r="E73" s="6" t="inlineStr">
        <is>
          <t>Backend</t>
        </is>
      </c>
      <c r="F73" s="7" t="inlineStr">
        <is>
          <t>Crear la tabla partida–recurso y programar el endpoint que la guarda</t>
        </is>
      </c>
      <c r="G73" s="6" t="inlineStr">
        <is>
          <t>Adiel</t>
        </is>
      </c>
      <c r="H73" s="6" t="n">
        <v>5</v>
      </c>
      <c r="I73" s="6" t="inlineStr">
        <is>
          <t>To Do</t>
        </is>
      </c>
      <c r="J73" s="6" t="inlineStr">
        <is>
          <t>25/10</t>
        </is>
      </c>
      <c r="K73" s="7" t="inlineStr"/>
      <c r="L73" s="7" t="inlineStr">
        <is>
          <t>T-067</t>
        </is>
      </c>
    </row>
    <row r="74">
      <c r="B74" s="6" t="inlineStr">
        <is>
          <t>T-069</t>
        </is>
      </c>
      <c r="C74" s="6" t="inlineStr">
        <is>
          <t>HU-16</t>
        </is>
      </c>
      <c r="D74" s="7" t="inlineStr">
        <is>
          <t>Importar precios unitarios</t>
        </is>
      </c>
      <c r="E74" s="6" t="inlineStr">
        <is>
          <t>Integración</t>
        </is>
      </c>
      <c r="F74" s="7" t="inlineStr">
        <is>
          <t>Programar el lector del PDF del APU (371 páginas), identificando la partida por código y descripción — integración con S10 (análisis de precios unitarios)</t>
        </is>
      </c>
      <c r="G74" s="6" t="inlineStr">
        <is>
          <t>Fernando</t>
        </is>
      </c>
      <c r="H74" s="6" t="n">
        <v>5</v>
      </c>
      <c r="I74" s="6" t="inlineStr">
        <is>
          <t>Doing</t>
        </is>
      </c>
      <c r="J74" s="6" t="inlineStr">
        <is>
          <t>25/10</t>
        </is>
      </c>
      <c r="K74" s="7" t="inlineStr">
        <is>
          <t>extracción ya probada: 6 902 filas, 1 217 partidas</t>
        </is>
      </c>
      <c r="L74" s="7" t="inlineStr">
        <is>
          <t>T-066</t>
        </is>
      </c>
    </row>
    <row r="75">
      <c r="B75" s="6" t="inlineStr">
        <is>
          <t>T-070</t>
        </is>
      </c>
      <c r="C75" s="6" t="inlineStr">
        <is>
          <t>HU-16</t>
        </is>
      </c>
      <c r="D75" s="7" t="inlineStr">
        <is>
          <t>Importar precios unitarios</t>
        </is>
      </c>
      <c r="E75" s="6" t="inlineStr">
        <is>
          <t>Front-end web</t>
        </is>
      </c>
      <c r="F75" s="7" t="inlineStr">
        <is>
          <t>Programar la pantalla web para importar el APU</t>
        </is>
      </c>
      <c r="G75" s="6" t="inlineStr">
        <is>
          <t>Fernando</t>
        </is>
      </c>
      <c r="H75" s="6" t="n">
        <v>5</v>
      </c>
      <c r="I75" s="6" t="inlineStr">
        <is>
          <t>To Do</t>
        </is>
      </c>
      <c r="J75" s="6" t="inlineStr">
        <is>
          <t>26/10</t>
        </is>
      </c>
      <c r="K75" s="7" t="inlineStr"/>
      <c r="L75" s="7" t="inlineStr">
        <is>
          <t>T-065</t>
        </is>
      </c>
    </row>
    <row r="76">
      <c r="B76" s="6" t="inlineStr">
        <is>
          <t>T-071</t>
        </is>
      </c>
      <c r="C76" s="6" t="inlineStr">
        <is>
          <t>HU-16</t>
        </is>
      </c>
      <c r="D76" s="7" t="inlineStr">
        <is>
          <t>Importar precios unitarios</t>
        </is>
      </c>
      <c r="E76" s="6" t="inlineStr">
        <is>
          <t>Pruebas</t>
        </is>
      </c>
      <c r="F76" s="7" t="inlineStr">
        <is>
          <t>Probar la funcionalidad de HU-16 (la API con Postman y la pantalla web) contra cada condición final y aprobar su PR</t>
        </is>
      </c>
      <c r="G76" s="6" t="inlineStr">
        <is>
          <t>Henry</t>
        </is>
      </c>
      <c r="H76" s="6" t="n">
        <v>1</v>
      </c>
      <c r="I76" s="6" t="inlineStr">
        <is>
          <t>To Do</t>
        </is>
      </c>
      <c r="J76" s="6" t="inlineStr">
        <is>
          <t>27/10</t>
        </is>
      </c>
      <c r="K76" s="7" t="inlineStr">
        <is>
          <t>alguien distinto del autor (T1, T5, T8)</t>
        </is>
      </c>
      <c r="L76" s="7" t="inlineStr">
        <is>
          <t>T-067, T-068, T-069, T-070, T-233</t>
        </is>
      </c>
    </row>
    <row r="77">
      <c r="B77" s="8" t="inlineStr">
        <is>
          <t>T-072</t>
        </is>
      </c>
      <c r="C77" s="8" t="inlineStr">
        <is>
          <t>HU-16</t>
        </is>
      </c>
      <c r="D77" s="9" t="inlineStr">
        <is>
          <t>Importar precios unitarios</t>
        </is>
      </c>
      <c r="E77" s="8" t="inlineStr">
        <is>
          <t>Aceptación</t>
        </is>
      </c>
      <c r="F77" s="9" t="inlineStr">
        <is>
          <t>Aceptar HU-16 como Product Owner desde la interfaz y moverla a Done</t>
        </is>
      </c>
      <c r="G77" s="8" t="inlineStr">
        <is>
          <t>Adiel</t>
        </is>
      </c>
      <c r="H77" s="8" t="n">
        <v>0.5</v>
      </c>
      <c r="I77" s="8" t="inlineStr">
        <is>
          <t>To Do</t>
        </is>
      </c>
      <c r="J77" s="8" t="inlineStr">
        <is>
          <t>27/10</t>
        </is>
      </c>
      <c r="K77" s="9" t="inlineStr">
        <is>
          <t>mueve la HU a Done</t>
        </is>
      </c>
      <c r="L77" s="9" t="inlineStr">
        <is>
          <t>T-071</t>
        </is>
      </c>
    </row>
    <row r="78">
      <c r="B78" s="6" t="inlineStr">
        <is>
          <t>T-073</t>
        </is>
      </c>
      <c r="C78" s="6" t="inlineStr">
        <is>
          <t>HU-17</t>
        </is>
      </c>
      <c r="D78" s="7" t="inlineStr">
        <is>
          <t>Convertir unidades (kg a varillas)</t>
        </is>
      </c>
      <c r="E78" s="6" t="inlineStr">
        <is>
          <t>Diseño UI</t>
        </is>
      </c>
      <c r="F78" s="7" t="inlineStr">
        <is>
          <t>Diseñar la interfaz de usuario de HU-17: pantalla 16 · Catálogo e insumo</t>
        </is>
      </c>
      <c r="G78" s="6" t="inlineStr">
        <is>
          <t>Fernando</t>
        </is>
      </c>
      <c r="H78" s="6" t="n">
        <v>1</v>
      </c>
      <c r="I78" s="6" t="inlineStr">
        <is>
          <t>Done</t>
        </is>
      </c>
      <c r="J78" s="6" t="inlineStr">
        <is>
          <t>23/10</t>
        </is>
      </c>
      <c r="K78" s="7" t="inlineStr">
        <is>
          <t>mockup en el lienzo «SIGRO · Pantallas y diagramas del Sprint 1», WCAG AA</t>
        </is>
      </c>
      <c r="L78" s="7" t="inlineStr"/>
    </row>
    <row r="79">
      <c r="B79" s="6" t="inlineStr">
        <is>
          <t>T-074</t>
        </is>
      </c>
      <c r="C79" s="6" t="inlineStr">
        <is>
          <t>HU-17</t>
        </is>
      </c>
      <c r="D79" s="7" t="inlineStr">
        <is>
          <t>Convertir unidades (kg a varillas)</t>
        </is>
      </c>
      <c r="E79" s="6" t="inlineStr">
        <is>
          <t>Modelado UML</t>
        </is>
      </c>
      <c r="F79" s="7" t="inlineStr">
        <is>
          <t>Modelar la funcionalidad de HU-17 con el diagrama UML de secuencia de la conversión kg ↔ varillas</t>
        </is>
      </c>
      <c r="G79" s="6" t="inlineStr">
        <is>
          <t>Fernando</t>
        </is>
      </c>
      <c r="H79" s="6" t="n">
        <v>1</v>
      </c>
      <c r="I79" s="6" t="inlineStr">
        <is>
          <t>To Do</t>
        </is>
      </c>
      <c r="J79" s="6" t="inlineStr">
        <is>
          <t>24/10</t>
        </is>
      </c>
      <c r="K79" s="7" t="inlineStr"/>
      <c r="L79" s="7" t="inlineStr">
        <is>
          <t>T-073</t>
        </is>
      </c>
    </row>
    <row r="80">
      <c r="B80" s="6" t="inlineStr">
        <is>
          <t>T-075</t>
        </is>
      </c>
      <c r="C80" s="6" t="inlineStr">
        <is>
          <t>HU-17</t>
        </is>
      </c>
      <c r="D80" s="7" t="inlineStr">
        <is>
          <t>Convertir unidades (kg a varillas)</t>
        </is>
      </c>
      <c r="E80" s="6" t="inlineStr">
        <is>
          <t>Base de datos</t>
        </is>
      </c>
      <c r="F80" s="7" t="inlineStr">
        <is>
          <t>Implementar las tablas asociadas a HU-17: insumo.factor_conversion con su histórico</t>
        </is>
      </c>
      <c r="G80" s="6" t="inlineStr">
        <is>
          <t>Adiel</t>
        </is>
      </c>
      <c r="H80" s="6" t="n">
        <v>1</v>
      </c>
      <c r="I80" s="6" t="inlineStr">
        <is>
          <t>To Do</t>
        </is>
      </c>
      <c r="J80" s="6" t="inlineStr">
        <is>
          <t>24/10</t>
        </is>
      </c>
      <c r="K80" s="7" t="inlineStr"/>
      <c r="L80" s="7" t="inlineStr">
        <is>
          <t>T-074</t>
        </is>
      </c>
    </row>
    <row r="81">
      <c r="B81" s="6" t="inlineStr">
        <is>
          <t>T-076</t>
        </is>
      </c>
      <c r="C81" s="6" t="inlineStr">
        <is>
          <t>HU-17</t>
        </is>
      </c>
      <c r="D81" s="7" t="inlineStr">
        <is>
          <t>Convertir unidades (kg a varillas)</t>
        </is>
      </c>
      <c r="E81" s="6" t="inlineStr">
        <is>
          <t>Backend</t>
        </is>
      </c>
      <c r="F81" s="7" t="inlineStr">
        <is>
          <t>Programar el back-end de HU-17 (entidad, repositorio, servicio y controlador): el registro del factor de conversión con su fecha y su usuario</t>
        </is>
      </c>
      <c r="G81" s="6" t="inlineStr">
        <is>
          <t>Adiel</t>
        </is>
      </c>
      <c r="H81" s="6" t="n">
        <v>2</v>
      </c>
      <c r="I81" s="6" t="inlineStr">
        <is>
          <t>To Do</t>
        </is>
      </c>
      <c r="J81" s="6" t="inlineStr">
        <is>
          <t>25/10</t>
        </is>
      </c>
      <c r="K81" s="7" t="inlineStr"/>
      <c r="L81" s="7" t="inlineStr">
        <is>
          <t>T-075</t>
        </is>
      </c>
    </row>
    <row r="82">
      <c r="B82" s="6" t="inlineStr">
        <is>
          <t>T-077</t>
        </is>
      </c>
      <c r="C82" s="6" t="inlineStr">
        <is>
          <t>HU-17</t>
        </is>
      </c>
      <c r="D82" s="7" t="inlineStr">
        <is>
          <t>Convertir unidades (kg a varillas)</t>
        </is>
      </c>
      <c r="E82" s="6" t="inlineStr">
        <is>
          <t>Front-end web</t>
        </is>
      </c>
      <c r="F82" s="7" t="inlineStr">
        <is>
          <t>Programar el formulario web del factor de conversión (kg ↔ varillas)</t>
        </is>
      </c>
      <c r="G82" s="6" t="inlineStr">
        <is>
          <t>Fernando</t>
        </is>
      </c>
      <c r="H82" s="6" t="n">
        <v>2</v>
      </c>
      <c r="I82" s="6" t="inlineStr">
        <is>
          <t>To Do</t>
        </is>
      </c>
      <c r="J82" s="6" t="inlineStr">
        <is>
          <t>26/10</t>
        </is>
      </c>
      <c r="K82" s="7" t="inlineStr"/>
      <c r="L82" s="7" t="inlineStr">
        <is>
          <t>T-073</t>
        </is>
      </c>
    </row>
    <row r="83">
      <c r="B83" s="6" t="inlineStr">
        <is>
          <t>T-078</t>
        </is>
      </c>
      <c r="C83" s="6" t="inlineStr">
        <is>
          <t>HU-17</t>
        </is>
      </c>
      <c r="D83" s="7" t="inlineStr">
        <is>
          <t>Convertir unidades (kg a varillas)</t>
        </is>
      </c>
      <c r="E83" s="6" t="inlineStr">
        <is>
          <t>Pruebas</t>
        </is>
      </c>
      <c r="F83" s="7" t="inlineStr">
        <is>
          <t>Probar la funcionalidad de HU-17 (la API con Postman y la pantalla web) contra cada condición final y aprobar su PR</t>
        </is>
      </c>
      <c r="G83" s="6" t="inlineStr">
        <is>
          <t>Henry</t>
        </is>
      </c>
      <c r="H83" s="6" t="n">
        <v>1</v>
      </c>
      <c r="I83" s="6" t="inlineStr">
        <is>
          <t>To Do</t>
        </is>
      </c>
      <c r="J83" s="6" t="inlineStr">
        <is>
          <t>27/10</t>
        </is>
      </c>
      <c r="K83" s="7" t="inlineStr">
        <is>
          <t>alguien distinto del autor (T1, T5, T8)</t>
        </is>
      </c>
      <c r="L83" s="7" t="inlineStr">
        <is>
          <t>T-075, T-076, T-077, T-233</t>
        </is>
      </c>
    </row>
    <row r="84">
      <c r="B84" s="8" t="inlineStr">
        <is>
          <t>T-079</t>
        </is>
      </c>
      <c r="C84" s="8" t="inlineStr">
        <is>
          <t>HU-17</t>
        </is>
      </c>
      <c r="D84" s="9" t="inlineStr">
        <is>
          <t>Convertir unidades (kg a varillas)</t>
        </is>
      </c>
      <c r="E84" s="8" t="inlineStr">
        <is>
          <t>Aceptación</t>
        </is>
      </c>
      <c r="F84" s="9" t="inlineStr">
        <is>
          <t>Aceptar HU-17 como Product Owner desde la interfaz y moverla a Done</t>
        </is>
      </c>
      <c r="G84" s="8" t="inlineStr">
        <is>
          <t>Adiel</t>
        </is>
      </c>
      <c r="H84" s="8" t="n">
        <v>0.5</v>
      </c>
      <c r="I84" s="8" t="inlineStr">
        <is>
          <t>To Do</t>
        </is>
      </c>
      <c r="J84" s="8" t="inlineStr">
        <is>
          <t>27/10</t>
        </is>
      </c>
      <c r="K84" s="9" t="inlineStr">
        <is>
          <t>mueve la HU a Done</t>
        </is>
      </c>
      <c r="L84" s="9" t="inlineStr">
        <is>
          <t>T-078</t>
        </is>
      </c>
    </row>
    <row r="85">
      <c r="B85" s="6" t="inlineStr">
        <is>
          <t>T-080</t>
        </is>
      </c>
      <c r="C85" s="6" t="inlineStr">
        <is>
          <t>HU-19</t>
        </is>
      </c>
      <c r="D85" s="7" t="inlineStr">
        <is>
          <t>Importar requerimiento de la obra</t>
        </is>
      </c>
      <c r="E85" s="6" t="inlineStr">
        <is>
          <t>Diseño UI</t>
        </is>
      </c>
      <c r="F85" s="7" t="inlineStr">
        <is>
          <t>Diseñar la interfaz de usuario de HU-19: pantalla 19 · Importar APU y requerimiento</t>
        </is>
      </c>
      <c r="G85" s="6" t="inlineStr">
        <is>
          <t>Fernando</t>
        </is>
      </c>
      <c r="H85" s="6" t="n">
        <v>1</v>
      </c>
      <c r="I85" s="6" t="inlineStr">
        <is>
          <t>Done</t>
        </is>
      </c>
      <c r="J85" s="6" t="inlineStr">
        <is>
          <t>23/10</t>
        </is>
      </c>
      <c r="K85" s="7" t="inlineStr">
        <is>
          <t>mockup en el lienzo «SIGRO · Pantallas y diagramas del Sprint 1», WCAG AA</t>
        </is>
      </c>
      <c r="L85" s="7" t="inlineStr"/>
    </row>
    <row r="86">
      <c r="B86" s="6" t="inlineStr">
        <is>
          <t>T-081</t>
        </is>
      </c>
      <c r="C86" s="6" t="inlineStr">
        <is>
          <t>HU-19</t>
        </is>
      </c>
      <c r="D86" s="7" t="inlineStr">
        <is>
          <t>Importar requerimiento de la obra</t>
        </is>
      </c>
      <c r="E86" s="6" t="inlineStr">
        <is>
          <t>Modelado UML</t>
        </is>
      </c>
      <c r="F86" s="7" t="inlineStr">
        <is>
          <t>Modelar la funcionalidad de HU-19 con el diagrama UML de actividades de la importación del requerimiento total</t>
        </is>
      </c>
      <c r="G86" s="6" t="inlineStr">
        <is>
          <t>Fernando</t>
        </is>
      </c>
      <c r="H86" s="6" t="n">
        <v>1</v>
      </c>
      <c r="I86" s="6" t="inlineStr">
        <is>
          <t>To Do</t>
        </is>
      </c>
      <c r="J86" s="6" t="inlineStr">
        <is>
          <t>24/10</t>
        </is>
      </c>
      <c r="K86" s="7" t="inlineStr"/>
      <c r="L86" s="7" t="inlineStr">
        <is>
          <t>T-080</t>
        </is>
      </c>
    </row>
    <row r="87">
      <c r="B87" s="6" t="inlineStr">
        <is>
          <t>T-082</t>
        </is>
      </c>
      <c r="C87" s="6" t="inlineStr">
        <is>
          <t>HU-19</t>
        </is>
      </c>
      <c r="D87" s="7" t="inlineStr">
        <is>
          <t>Importar requerimiento de la obra</t>
        </is>
      </c>
      <c r="E87" s="6" t="inlineStr">
        <is>
          <t>Base de datos</t>
        </is>
      </c>
      <c r="F87" s="7" t="inlineStr">
        <is>
          <t>Implementar las tablas asociadas a HU-19: requerimiento (cantidad y costo planificados, ajuste con motivo)</t>
        </is>
      </c>
      <c r="G87" s="6" t="inlineStr">
        <is>
          <t>Adiel</t>
        </is>
      </c>
      <c r="H87" s="6" t="n">
        <v>1</v>
      </c>
      <c r="I87" s="6" t="inlineStr">
        <is>
          <t>To Do</t>
        </is>
      </c>
      <c r="J87" s="6" t="inlineStr">
        <is>
          <t>24/10</t>
        </is>
      </c>
      <c r="K87" s="7" t="inlineStr"/>
      <c r="L87" s="7" t="inlineStr">
        <is>
          <t>T-081</t>
        </is>
      </c>
    </row>
    <row r="88">
      <c r="B88" s="6" t="inlineStr">
        <is>
          <t>T-083</t>
        </is>
      </c>
      <c r="C88" s="6" t="inlineStr">
        <is>
          <t>HU-19</t>
        </is>
      </c>
      <c r="D88" s="7" t="inlineStr">
        <is>
          <t>Importar requerimiento de la obra</t>
        </is>
      </c>
      <c r="E88" s="6" t="inlineStr">
        <is>
          <t>Backend</t>
        </is>
      </c>
      <c r="F88" s="7" t="inlineStr">
        <is>
          <t>Programar el back-end de HU-19 (entidad, repositorio, servicio y controlador): el guardado del requerimiento total y de sus ajustes con motivo</t>
        </is>
      </c>
      <c r="G88" s="6" t="inlineStr">
        <is>
          <t>Adiel</t>
        </is>
      </c>
      <c r="H88" s="6" t="n">
        <v>3</v>
      </c>
      <c r="I88" s="6" t="inlineStr">
        <is>
          <t>To Do</t>
        </is>
      </c>
      <c r="J88" s="6" t="inlineStr">
        <is>
          <t>25/10</t>
        </is>
      </c>
      <c r="K88" s="7" t="inlineStr"/>
      <c r="L88" s="7" t="inlineStr">
        <is>
          <t>T-082</t>
        </is>
      </c>
    </row>
    <row r="89">
      <c r="B89" s="6" t="inlineStr">
        <is>
          <t>T-084</t>
        </is>
      </c>
      <c r="C89" s="6" t="inlineStr">
        <is>
          <t>HU-19</t>
        </is>
      </c>
      <c r="D89" s="7" t="inlineStr">
        <is>
          <t>Importar requerimiento de la obra</t>
        </is>
      </c>
      <c r="E89" s="6" t="inlineStr">
        <is>
          <t>Integración</t>
        </is>
      </c>
      <c r="F89" s="7" t="inlineStr">
        <is>
          <t>Adaptar el lector de la Relación de insumos para obtener el requerimiento total — integración con S10 (relación de insumos)</t>
        </is>
      </c>
      <c r="G89" s="6" t="inlineStr">
        <is>
          <t>Fernando</t>
        </is>
      </c>
      <c r="H89" s="6" t="n">
        <v>3</v>
      </c>
      <c r="I89" s="6" t="inlineStr">
        <is>
          <t>To Do</t>
        </is>
      </c>
      <c r="J89" s="6" t="inlineStr">
        <is>
          <t>25/10</t>
        </is>
      </c>
      <c r="K89" s="7" t="inlineStr">
        <is>
          <t>el lector ya trae cantidades y precios</t>
        </is>
      </c>
      <c r="L89" s="7" t="inlineStr">
        <is>
          <t>T-081</t>
        </is>
      </c>
    </row>
    <row r="90">
      <c r="B90" s="6" t="inlineStr">
        <is>
          <t>T-085</t>
        </is>
      </c>
      <c r="C90" s="6" t="inlineStr">
        <is>
          <t>HU-19</t>
        </is>
      </c>
      <c r="D90" s="7" t="inlineStr">
        <is>
          <t>Importar requerimiento de la obra</t>
        </is>
      </c>
      <c r="E90" s="6" t="inlineStr">
        <is>
          <t>Front-end web</t>
        </is>
      </c>
      <c r="F90" s="7" t="inlineStr">
        <is>
          <t>Programar la pantalla web del requerimiento total</t>
        </is>
      </c>
      <c r="G90" s="6" t="inlineStr">
        <is>
          <t>Fernando</t>
        </is>
      </c>
      <c r="H90" s="6" t="n">
        <v>3</v>
      </c>
      <c r="I90" s="6" t="inlineStr">
        <is>
          <t>To Do</t>
        </is>
      </c>
      <c r="J90" s="6" t="inlineStr">
        <is>
          <t>26/10</t>
        </is>
      </c>
      <c r="K90" s="7" t="inlineStr"/>
      <c r="L90" s="7" t="inlineStr">
        <is>
          <t>T-080</t>
        </is>
      </c>
    </row>
    <row r="91">
      <c r="B91" s="6" t="inlineStr">
        <is>
          <t>T-086</t>
        </is>
      </c>
      <c r="C91" s="6" t="inlineStr">
        <is>
          <t>HU-19</t>
        </is>
      </c>
      <c r="D91" s="7" t="inlineStr">
        <is>
          <t>Importar requerimiento de la obra</t>
        </is>
      </c>
      <c r="E91" s="6" t="inlineStr">
        <is>
          <t>Pruebas</t>
        </is>
      </c>
      <c r="F91" s="7" t="inlineStr">
        <is>
          <t>Probar la funcionalidad de HU-19 (la API con Postman y la pantalla web) contra cada condición final y aprobar su PR</t>
        </is>
      </c>
      <c r="G91" s="6" t="inlineStr">
        <is>
          <t>Henry</t>
        </is>
      </c>
      <c r="H91" s="6" t="n">
        <v>1</v>
      </c>
      <c r="I91" s="6" t="inlineStr">
        <is>
          <t>To Do</t>
        </is>
      </c>
      <c r="J91" s="6" t="inlineStr">
        <is>
          <t>27/10</t>
        </is>
      </c>
      <c r="K91" s="7" t="inlineStr">
        <is>
          <t>alguien distinto del autor (T1, T5, T8)</t>
        </is>
      </c>
      <c r="L91" s="7" t="inlineStr">
        <is>
          <t>T-082, T-083, T-084, T-085, T-233</t>
        </is>
      </c>
    </row>
    <row r="92">
      <c r="B92" s="8" t="inlineStr">
        <is>
          <t>T-087</t>
        </is>
      </c>
      <c r="C92" s="8" t="inlineStr">
        <is>
          <t>HU-19</t>
        </is>
      </c>
      <c r="D92" s="9" t="inlineStr">
        <is>
          <t>Importar requerimiento de la obra</t>
        </is>
      </c>
      <c r="E92" s="8" t="inlineStr">
        <is>
          <t>Aceptación</t>
        </is>
      </c>
      <c r="F92" s="9" t="inlineStr">
        <is>
          <t>Aceptar HU-19 como Product Owner desde la interfaz y moverla a Done</t>
        </is>
      </c>
      <c r="G92" s="8" t="inlineStr">
        <is>
          <t>Adiel</t>
        </is>
      </c>
      <c r="H92" s="8" t="n">
        <v>0.5</v>
      </c>
      <c r="I92" s="8" t="inlineStr">
        <is>
          <t>To Do</t>
        </is>
      </c>
      <c r="J92" s="8" t="inlineStr">
        <is>
          <t>27/10</t>
        </is>
      </c>
      <c r="K92" s="9" t="inlineStr">
        <is>
          <t>mueve la HU a Done</t>
        </is>
      </c>
      <c r="L92" s="9" t="inlineStr">
        <is>
          <t>T-086</t>
        </is>
      </c>
    </row>
    <row r="93">
      <c r="B93" s="6" t="inlineStr">
        <is>
          <t>T-088</t>
        </is>
      </c>
      <c r="C93" s="6" t="inlineStr">
        <is>
          <t>HU-23</t>
        </is>
      </c>
      <c r="D93" s="7" t="inlineStr">
        <is>
          <t>Consultar cuánto se compró y consumió</t>
        </is>
      </c>
      <c r="E93" s="6" t="inlineStr">
        <is>
          <t>Diseño UI</t>
        </is>
      </c>
      <c r="F93" s="7" t="inlineStr">
        <is>
          <t>Diseñar la interfaz de usuario de HU-23: pantalla 13 · Gasto en recursos</t>
        </is>
      </c>
      <c r="G93" s="6" t="inlineStr">
        <is>
          <t>Fernando</t>
        </is>
      </c>
      <c r="H93" s="6" t="n">
        <v>1</v>
      </c>
      <c r="I93" s="6" t="inlineStr">
        <is>
          <t>Done</t>
        </is>
      </c>
      <c r="J93" s="6" t="inlineStr">
        <is>
          <t>23/10</t>
        </is>
      </c>
      <c r="K93" s="7" t="inlineStr">
        <is>
          <t>mockup en el lienzo «SIGRO · Pantallas y diagramas del Sprint 1», WCAG AA</t>
        </is>
      </c>
      <c r="L93" s="7" t="inlineStr"/>
    </row>
    <row r="94">
      <c r="B94" s="6" t="inlineStr">
        <is>
          <t>T-089</t>
        </is>
      </c>
      <c r="C94" s="6" t="inlineStr">
        <is>
          <t>HU-23</t>
        </is>
      </c>
      <c r="D94" s="7" t="inlineStr">
        <is>
          <t>Consultar cuánto se compró y consumió</t>
        </is>
      </c>
      <c r="E94" s="6" t="inlineStr">
        <is>
          <t>Modelado UML</t>
        </is>
      </c>
      <c r="F94" s="7" t="inlineStr">
        <is>
          <t>Modelar la funcionalidad de HU-23 con el diagrama UML de secuencia del cálculo del avance</t>
        </is>
      </c>
      <c r="G94" s="6" t="inlineStr">
        <is>
          <t>Fernando</t>
        </is>
      </c>
      <c r="H94" s="6" t="n">
        <v>1</v>
      </c>
      <c r="I94" s="6" t="inlineStr">
        <is>
          <t>To Do</t>
        </is>
      </c>
      <c r="J94" s="6" t="inlineStr">
        <is>
          <t>24/10</t>
        </is>
      </c>
      <c r="K94" s="7" t="inlineStr"/>
      <c r="L94" s="7" t="inlineStr">
        <is>
          <t>T-088</t>
        </is>
      </c>
    </row>
    <row r="95">
      <c r="B95" s="6" t="inlineStr">
        <is>
          <t>T-090</t>
        </is>
      </c>
      <c r="C95" s="6" t="inlineStr">
        <is>
          <t>HU-23</t>
        </is>
      </c>
      <c r="D95" s="7" t="inlineStr">
        <is>
          <t>Consultar cuánto se compró y consumió</t>
        </is>
      </c>
      <c r="E95" s="6" t="inlineStr">
        <is>
          <t>Base de datos</t>
        </is>
      </c>
      <c r="F95" s="7" t="inlineStr">
        <is>
          <t>Implementar las tablas asociadas a HU-23: vista de avance sobre requerimiento, compra_detalle y movimiento</t>
        </is>
      </c>
      <c r="G95" s="6" t="inlineStr">
        <is>
          <t>Adiel</t>
        </is>
      </c>
      <c r="H95" s="6" t="n">
        <v>1</v>
      </c>
      <c r="I95" s="6" t="inlineStr">
        <is>
          <t>To Do</t>
        </is>
      </c>
      <c r="J95" s="6" t="inlineStr">
        <is>
          <t>24/10</t>
        </is>
      </c>
      <c r="K95" s="7" t="inlineStr"/>
      <c r="L95" s="7" t="inlineStr">
        <is>
          <t>T-089</t>
        </is>
      </c>
    </row>
    <row r="96">
      <c r="B96" s="6" t="inlineStr">
        <is>
          <t>T-091</t>
        </is>
      </c>
      <c r="C96" s="6" t="inlineStr">
        <is>
          <t>HU-23</t>
        </is>
      </c>
      <c r="D96" s="7" t="inlineStr">
        <is>
          <t>Consultar cuánto se compró y consumió</t>
        </is>
      </c>
      <c r="E96" s="6" t="inlineStr">
        <is>
          <t>Backend</t>
        </is>
      </c>
      <c r="F96" s="7" t="inlineStr">
        <is>
          <t>Programar el back-end de HU-23 (entidad, repositorio, servicio y controlador): la consulta de avance: requerido, comprado, recibido y consumido por insumo</t>
        </is>
      </c>
      <c r="G96" s="6" t="inlineStr">
        <is>
          <t>Adiel</t>
        </is>
      </c>
      <c r="H96" s="6" t="n">
        <v>3</v>
      </c>
      <c r="I96" s="6" t="inlineStr">
        <is>
          <t>To Do</t>
        </is>
      </c>
      <c r="J96" s="6" t="inlineStr">
        <is>
          <t>25/10</t>
        </is>
      </c>
      <c r="K96" s="7" t="inlineStr"/>
      <c r="L96" s="7" t="inlineStr">
        <is>
          <t>T-090</t>
        </is>
      </c>
    </row>
    <row r="97">
      <c r="B97" s="6" t="inlineStr">
        <is>
          <t>T-092</t>
        </is>
      </c>
      <c r="C97" s="6" t="inlineStr">
        <is>
          <t>HU-23</t>
        </is>
      </c>
      <c r="D97" s="7" t="inlineStr">
        <is>
          <t>Consultar cuánto se compró y consumió</t>
        </is>
      </c>
      <c r="E97" s="6" t="inlineStr">
        <is>
          <t>Front-end web</t>
        </is>
      </c>
      <c r="F97" s="7" t="inlineStr">
        <is>
          <t>Programar la pantalla web de avance de compra y consumo</t>
        </is>
      </c>
      <c r="G97" s="6" t="inlineStr">
        <is>
          <t>Fernando</t>
        </is>
      </c>
      <c r="H97" s="6" t="n">
        <v>3</v>
      </c>
      <c r="I97" s="6" t="inlineStr">
        <is>
          <t>Done</t>
        </is>
      </c>
      <c r="J97" s="6" t="inlineStr">
        <is>
          <t>26/10</t>
        </is>
      </c>
      <c r="K97" s="7" t="inlineStr">
        <is>
          <t>pantalla hecha con datos simulados; falta conectarla a la API real</t>
        </is>
      </c>
      <c r="L97" s="7" t="inlineStr"/>
    </row>
    <row r="98">
      <c r="B98" s="6" t="inlineStr">
        <is>
          <t>T-093</t>
        </is>
      </c>
      <c r="C98" s="6" t="inlineStr">
        <is>
          <t>HU-23</t>
        </is>
      </c>
      <c r="D98" s="7" t="inlineStr">
        <is>
          <t>Consultar cuánto se compró y consumió</t>
        </is>
      </c>
      <c r="E98" s="6" t="inlineStr">
        <is>
          <t>Conexión API</t>
        </is>
      </c>
      <c r="F98" s="7" t="inlineStr">
        <is>
          <t>Conectar la pantalla de avance con la API real</t>
        </is>
      </c>
      <c r="G98" s="6" t="inlineStr">
        <is>
          <t>Fernando</t>
        </is>
      </c>
      <c r="H98" s="6" t="n">
        <v>3</v>
      </c>
      <c r="I98" s="6" t="inlineStr">
        <is>
          <t>To Do</t>
        </is>
      </c>
      <c r="J98" s="6" t="inlineStr">
        <is>
          <t>26/10</t>
        </is>
      </c>
      <c r="K98" s="7" t="inlineStr"/>
      <c r="L98" s="7" t="inlineStr">
        <is>
          <t>T-091, T-092, T-234</t>
        </is>
      </c>
    </row>
    <row r="99">
      <c r="B99" s="6" t="inlineStr">
        <is>
          <t>T-094</t>
        </is>
      </c>
      <c r="C99" s="6" t="inlineStr">
        <is>
          <t>HU-23</t>
        </is>
      </c>
      <c r="D99" s="7" t="inlineStr">
        <is>
          <t>Consultar cuánto se compró y consumió</t>
        </is>
      </c>
      <c r="E99" s="6" t="inlineStr">
        <is>
          <t>Pruebas</t>
        </is>
      </c>
      <c r="F99" s="7" t="inlineStr">
        <is>
          <t>Probar la funcionalidad de HU-23 (la API con Postman y la pantalla web) contra cada condición final y aprobar su PR</t>
        </is>
      </c>
      <c r="G99" s="6" t="inlineStr">
        <is>
          <t>Henry</t>
        </is>
      </c>
      <c r="H99" s="6" t="n">
        <v>1</v>
      </c>
      <c r="I99" s="6" t="inlineStr">
        <is>
          <t>To Do</t>
        </is>
      </c>
      <c r="J99" s="6" t="inlineStr">
        <is>
          <t>27/10</t>
        </is>
      </c>
      <c r="K99" s="7" t="inlineStr">
        <is>
          <t>alguien distinto del autor (T1, T5, T8)</t>
        </is>
      </c>
      <c r="L99" s="7" t="inlineStr">
        <is>
          <t>T-090, T-091, T-092, T-093, T-233</t>
        </is>
      </c>
    </row>
    <row r="100">
      <c r="B100" s="8" t="inlineStr">
        <is>
          <t>T-095</t>
        </is>
      </c>
      <c r="C100" s="8" t="inlineStr">
        <is>
          <t>HU-23</t>
        </is>
      </c>
      <c r="D100" s="9" t="inlineStr">
        <is>
          <t>Consultar cuánto se compró y consumió</t>
        </is>
      </c>
      <c r="E100" s="8" t="inlineStr">
        <is>
          <t>Aceptación</t>
        </is>
      </c>
      <c r="F100" s="9" t="inlineStr">
        <is>
          <t>Aceptar HU-23 como Product Owner desde la interfaz y moverla a Done</t>
        </is>
      </c>
      <c r="G100" s="8" t="inlineStr">
        <is>
          <t>Adiel</t>
        </is>
      </c>
      <c r="H100" s="8" t="n">
        <v>0.5</v>
      </c>
      <c r="I100" s="8" t="inlineStr">
        <is>
          <t>To Do</t>
        </is>
      </c>
      <c r="J100" s="8" t="inlineStr">
        <is>
          <t>27/10</t>
        </is>
      </c>
      <c r="K100" s="9" t="inlineStr">
        <is>
          <t>mueve la HU a Done</t>
        </is>
      </c>
      <c r="L100" s="9" t="inlineStr">
        <is>
          <t>T-094</t>
        </is>
      </c>
    </row>
    <row r="101">
      <c r="B101" s="6" t="inlineStr">
        <is>
          <t>T-096</t>
        </is>
      </c>
      <c r="C101" s="6" t="inlineStr">
        <is>
          <t>HU-24</t>
        </is>
      </c>
      <c r="D101" s="7" t="inlineStr">
        <is>
          <t>Consultar cuánto falta comprar</t>
        </is>
      </c>
      <c r="E101" s="6" t="inlineStr">
        <is>
          <t>Diseño UI</t>
        </is>
      </c>
      <c r="F101" s="7" t="inlineStr">
        <is>
          <t>Diseñar la interfaz de usuario de HU-24: pantalla 8 · Reposición</t>
        </is>
      </c>
      <c r="G101" s="6" t="inlineStr">
        <is>
          <t>Fernando</t>
        </is>
      </c>
      <c r="H101" s="6" t="n">
        <v>1</v>
      </c>
      <c r="I101" s="6" t="inlineStr">
        <is>
          <t>Done</t>
        </is>
      </c>
      <c r="J101" s="6" t="inlineStr">
        <is>
          <t>23/10</t>
        </is>
      </c>
      <c r="K101" s="7" t="inlineStr">
        <is>
          <t>mockup en el lienzo «SIGRO · Pantallas y diagramas del Sprint 1», WCAG AA</t>
        </is>
      </c>
      <c r="L101" s="7" t="inlineStr"/>
    </row>
    <row r="102">
      <c r="B102" s="6" t="inlineStr">
        <is>
          <t>T-097</t>
        </is>
      </c>
      <c r="C102" s="6" t="inlineStr">
        <is>
          <t>HU-24</t>
        </is>
      </c>
      <c r="D102" s="7" t="inlineStr">
        <is>
          <t>Consultar cuánto falta comprar</t>
        </is>
      </c>
      <c r="E102" s="6" t="inlineStr">
        <is>
          <t>Modelado UML</t>
        </is>
      </c>
      <c r="F102" s="7" t="inlineStr">
        <is>
          <t>Modelar la funcionalidad de HU-24 con el diagrama UML de secuencia de la consulta de lo que falta comprar</t>
        </is>
      </c>
      <c r="G102" s="6" t="inlineStr">
        <is>
          <t>Fernando</t>
        </is>
      </c>
      <c r="H102" s="6" t="n">
        <v>1</v>
      </c>
      <c r="I102" s="6" t="inlineStr">
        <is>
          <t>To Do</t>
        </is>
      </c>
      <c r="J102" s="6" t="inlineStr">
        <is>
          <t>24/10</t>
        </is>
      </c>
      <c r="K102" s="7" t="inlineStr"/>
      <c r="L102" s="7" t="inlineStr">
        <is>
          <t>T-096</t>
        </is>
      </c>
    </row>
    <row r="103">
      <c r="B103" s="6" t="inlineStr">
        <is>
          <t>T-098</t>
        </is>
      </c>
      <c r="C103" s="6" t="inlineStr">
        <is>
          <t>HU-24</t>
        </is>
      </c>
      <c r="D103" s="7" t="inlineStr">
        <is>
          <t>Consultar cuánto falta comprar</t>
        </is>
      </c>
      <c r="E103" s="6" t="inlineStr">
        <is>
          <t>Base de datos</t>
        </is>
      </c>
      <c r="F103" s="7" t="inlineStr">
        <is>
          <t>Implementar las tablas asociadas a HU-24: vista de saldo por comprar (requerido − comprado)</t>
        </is>
      </c>
      <c r="G103" s="6" t="inlineStr">
        <is>
          <t>Adiel</t>
        </is>
      </c>
      <c r="H103" s="6" t="n">
        <v>1</v>
      </c>
      <c r="I103" s="6" t="inlineStr">
        <is>
          <t>To Do</t>
        </is>
      </c>
      <c r="J103" s="6" t="inlineStr">
        <is>
          <t>24/10</t>
        </is>
      </c>
      <c r="K103" s="7" t="inlineStr"/>
      <c r="L103" s="7" t="inlineStr">
        <is>
          <t>T-097</t>
        </is>
      </c>
    </row>
    <row r="104">
      <c r="B104" s="6" t="inlineStr">
        <is>
          <t>T-099</t>
        </is>
      </c>
      <c r="C104" s="6" t="inlineStr">
        <is>
          <t>HU-24</t>
        </is>
      </c>
      <c r="D104" s="7" t="inlineStr">
        <is>
          <t>Consultar cuánto falta comprar</t>
        </is>
      </c>
      <c r="E104" s="6" t="inlineStr">
        <is>
          <t>Backend</t>
        </is>
      </c>
      <c r="F104" s="7" t="inlineStr">
        <is>
          <t>Programar el back-end de HU-24 (entidad, repositorio, servicio y controlador): la consulta de lo que falta comprar por insumo</t>
        </is>
      </c>
      <c r="G104" s="6" t="inlineStr">
        <is>
          <t>Adiel</t>
        </is>
      </c>
      <c r="H104" s="6" t="n">
        <v>2</v>
      </c>
      <c r="I104" s="6" t="inlineStr">
        <is>
          <t>To Do</t>
        </is>
      </c>
      <c r="J104" s="6" t="inlineStr">
        <is>
          <t>25/10</t>
        </is>
      </c>
      <c r="K104" s="7" t="inlineStr"/>
      <c r="L104" s="7" t="inlineStr">
        <is>
          <t>T-098</t>
        </is>
      </c>
    </row>
    <row r="105">
      <c r="B105" s="6" t="inlineStr">
        <is>
          <t>T-100</t>
        </is>
      </c>
      <c r="C105" s="6" t="inlineStr">
        <is>
          <t>HU-24</t>
        </is>
      </c>
      <c r="D105" s="7" t="inlineStr">
        <is>
          <t>Consultar cuánto falta comprar</t>
        </is>
      </c>
      <c r="E105" s="6" t="inlineStr">
        <is>
          <t>Front-end web</t>
        </is>
      </c>
      <c r="F105" s="7" t="inlineStr">
        <is>
          <t>Programar la pantalla web «Saldo por comprar» con filtros y exportación CSV</t>
        </is>
      </c>
      <c r="G105" s="6" t="inlineStr">
        <is>
          <t>Fernando</t>
        </is>
      </c>
      <c r="H105" s="6" t="n">
        <v>2</v>
      </c>
      <c r="I105" s="6" t="inlineStr">
        <is>
          <t>Done</t>
        </is>
      </c>
      <c r="J105" s="6" t="inlineStr">
        <is>
          <t>26/10</t>
        </is>
      </c>
      <c r="K105" s="7" t="inlineStr">
        <is>
          <t>pantalla hecha con datos simulados; falta conectarla a la API real</t>
        </is>
      </c>
      <c r="L105" s="7" t="inlineStr"/>
    </row>
    <row r="106">
      <c r="B106" s="6" t="inlineStr">
        <is>
          <t>T-101</t>
        </is>
      </c>
      <c r="C106" s="6" t="inlineStr">
        <is>
          <t>HU-24</t>
        </is>
      </c>
      <c r="D106" s="7" t="inlineStr">
        <is>
          <t>Consultar cuánto falta comprar</t>
        </is>
      </c>
      <c r="E106" s="6" t="inlineStr">
        <is>
          <t>Conexión API</t>
        </is>
      </c>
      <c r="F106" s="7" t="inlineStr">
        <is>
          <t>Conectar la pantalla de saldo por comprar con la API real</t>
        </is>
      </c>
      <c r="G106" s="6" t="inlineStr">
        <is>
          <t>Fernando</t>
        </is>
      </c>
      <c r="H106" s="6" t="n">
        <v>2</v>
      </c>
      <c r="I106" s="6" t="inlineStr">
        <is>
          <t>To Do</t>
        </is>
      </c>
      <c r="J106" s="6" t="inlineStr">
        <is>
          <t>26/10</t>
        </is>
      </c>
      <c r="K106" s="7" t="inlineStr"/>
      <c r="L106" s="7" t="inlineStr">
        <is>
          <t>T-099, T-100, T-234</t>
        </is>
      </c>
    </row>
    <row r="107">
      <c r="B107" s="6" t="inlineStr">
        <is>
          <t>T-102</t>
        </is>
      </c>
      <c r="C107" s="6" t="inlineStr">
        <is>
          <t>HU-24</t>
        </is>
      </c>
      <c r="D107" s="7" t="inlineStr">
        <is>
          <t>Consultar cuánto falta comprar</t>
        </is>
      </c>
      <c r="E107" s="6" t="inlineStr">
        <is>
          <t>Pruebas</t>
        </is>
      </c>
      <c r="F107" s="7" t="inlineStr">
        <is>
          <t>Probar la funcionalidad de HU-24 (la API con Postman y la pantalla web) contra cada condición final y aprobar su PR</t>
        </is>
      </c>
      <c r="G107" s="6" t="inlineStr">
        <is>
          <t>Henry</t>
        </is>
      </c>
      <c r="H107" s="6" t="n">
        <v>1</v>
      </c>
      <c r="I107" s="6" t="inlineStr">
        <is>
          <t>To Do</t>
        </is>
      </c>
      <c r="J107" s="6" t="inlineStr">
        <is>
          <t>27/10</t>
        </is>
      </c>
      <c r="K107" s="7" t="inlineStr">
        <is>
          <t>alguien distinto del autor (T1, T5, T8)</t>
        </is>
      </c>
      <c r="L107" s="7" t="inlineStr">
        <is>
          <t>T-098, T-099, T-100, T-101, T-233</t>
        </is>
      </c>
    </row>
    <row r="108">
      <c r="B108" s="8" t="inlineStr">
        <is>
          <t>T-103</t>
        </is>
      </c>
      <c r="C108" s="8" t="inlineStr">
        <is>
          <t>HU-24</t>
        </is>
      </c>
      <c r="D108" s="9" t="inlineStr">
        <is>
          <t>Consultar cuánto falta comprar</t>
        </is>
      </c>
      <c r="E108" s="8" t="inlineStr">
        <is>
          <t>Aceptación</t>
        </is>
      </c>
      <c r="F108" s="9" t="inlineStr">
        <is>
          <t>Aceptar HU-24 como Product Owner desde la interfaz y moverla a Done</t>
        </is>
      </c>
      <c r="G108" s="8" t="inlineStr">
        <is>
          <t>Adiel</t>
        </is>
      </c>
      <c r="H108" s="8" t="n">
        <v>0.5</v>
      </c>
      <c r="I108" s="8" t="inlineStr">
        <is>
          <t>To Do</t>
        </is>
      </c>
      <c r="J108" s="8" t="inlineStr">
        <is>
          <t>27/10</t>
        </is>
      </c>
      <c r="K108" s="9" t="inlineStr">
        <is>
          <t>mueve la HU a Done</t>
        </is>
      </c>
      <c r="L108" s="9" t="inlineStr">
        <is>
          <t>T-102</t>
        </is>
      </c>
    </row>
    <row r="109">
      <c r="B109" s="6" t="inlineStr">
        <is>
          <t>T-104</t>
        </is>
      </c>
      <c r="C109" s="6" t="inlineStr">
        <is>
          <t>HU-25</t>
        </is>
      </c>
      <c r="D109" s="7" t="inlineStr">
        <is>
          <t>Definir punto de reposición</t>
        </is>
      </c>
      <c r="E109" s="6" t="inlineStr">
        <is>
          <t>Diseño UI</t>
        </is>
      </c>
      <c r="F109" s="7" t="inlineStr">
        <is>
          <t>Diseñar la interfaz de usuario de HU-25: pantalla 17 · Parámetros de reposición</t>
        </is>
      </c>
      <c r="G109" s="6" t="inlineStr">
        <is>
          <t>Fernando</t>
        </is>
      </c>
      <c r="H109" s="6" t="n">
        <v>1</v>
      </c>
      <c r="I109" s="6" t="inlineStr">
        <is>
          <t>Done</t>
        </is>
      </c>
      <c r="J109" s="6" t="inlineStr">
        <is>
          <t>23/10</t>
        </is>
      </c>
      <c r="K109" s="7" t="inlineStr">
        <is>
          <t>mockup en el lienzo «SIGRO · Pantallas y diagramas del Sprint 1», WCAG AA</t>
        </is>
      </c>
      <c r="L109" s="7" t="inlineStr"/>
    </row>
    <row r="110">
      <c r="B110" s="6" t="inlineStr">
        <is>
          <t>T-105</t>
        </is>
      </c>
      <c r="C110" s="6" t="inlineStr">
        <is>
          <t>HU-25</t>
        </is>
      </c>
      <c r="D110" s="7" t="inlineStr">
        <is>
          <t>Definir punto de reposición</t>
        </is>
      </c>
      <c r="E110" s="6" t="inlineStr">
        <is>
          <t>Modelado UML</t>
        </is>
      </c>
      <c r="F110" s="7" t="inlineStr">
        <is>
          <t>Modelar la funcionalidad de HU-25 con el diagrama UML de clases de los parámetros de reposición</t>
        </is>
      </c>
      <c r="G110" s="6" t="inlineStr">
        <is>
          <t>Fernando</t>
        </is>
      </c>
      <c r="H110" s="6" t="n">
        <v>1</v>
      </c>
      <c r="I110" s="6" t="inlineStr">
        <is>
          <t>To Do</t>
        </is>
      </c>
      <c r="J110" s="6" t="inlineStr">
        <is>
          <t>24/10</t>
        </is>
      </c>
      <c r="K110" s="7" t="inlineStr"/>
      <c r="L110" s="7" t="inlineStr">
        <is>
          <t>T-104</t>
        </is>
      </c>
    </row>
    <row r="111">
      <c r="B111" s="6" t="inlineStr">
        <is>
          <t>T-106</t>
        </is>
      </c>
      <c r="C111" s="6" t="inlineStr">
        <is>
          <t>HU-25</t>
        </is>
      </c>
      <c r="D111" s="7" t="inlineStr">
        <is>
          <t>Definir punto de reposición</t>
        </is>
      </c>
      <c r="E111" s="6" t="inlineStr">
        <is>
          <t>Base de datos</t>
        </is>
      </c>
      <c r="F111" s="7" t="inlineStr">
        <is>
          <t>Implementar las tablas asociadas a HU-25: parametro_reposicion (con vigencias, nunca se pisa)</t>
        </is>
      </c>
      <c r="G111" s="6" t="inlineStr">
        <is>
          <t>Adiel</t>
        </is>
      </c>
      <c r="H111" s="6" t="n">
        <v>1</v>
      </c>
      <c r="I111" s="6" t="inlineStr">
        <is>
          <t>To Do</t>
        </is>
      </c>
      <c r="J111" s="6" t="inlineStr">
        <is>
          <t>24/10</t>
        </is>
      </c>
      <c r="K111" s="7" t="inlineStr"/>
      <c r="L111" s="7" t="inlineStr">
        <is>
          <t>T-105</t>
        </is>
      </c>
    </row>
    <row r="112">
      <c r="B112" s="6" t="inlineStr">
        <is>
          <t>T-107</t>
        </is>
      </c>
      <c r="C112" s="6" t="inlineStr">
        <is>
          <t>HU-25</t>
        </is>
      </c>
      <c r="D112" s="7" t="inlineStr">
        <is>
          <t>Definir punto de reposición</t>
        </is>
      </c>
      <c r="E112" s="6" t="inlineStr">
        <is>
          <t>Backend</t>
        </is>
      </c>
      <c r="F112" s="7" t="inlineStr">
        <is>
          <t>Programar el back-end de HU-25 (entidad, repositorio, servicio y controlador): el registro del stock de seguridad y del punto de reposición, con histórico</t>
        </is>
      </c>
      <c r="G112" s="6" t="inlineStr">
        <is>
          <t>Adiel</t>
        </is>
      </c>
      <c r="H112" s="6" t="n">
        <v>4</v>
      </c>
      <c r="I112" s="6" t="inlineStr">
        <is>
          <t>To Do</t>
        </is>
      </c>
      <c r="J112" s="6" t="inlineStr">
        <is>
          <t>25/10</t>
        </is>
      </c>
      <c r="K112" s="7" t="inlineStr"/>
      <c r="L112" s="7" t="inlineStr">
        <is>
          <t>T-106</t>
        </is>
      </c>
    </row>
    <row r="113">
      <c r="B113" s="6" t="inlineStr">
        <is>
          <t>T-108</t>
        </is>
      </c>
      <c r="C113" s="6" t="inlineStr">
        <is>
          <t>HU-25</t>
        </is>
      </c>
      <c r="D113" s="7" t="inlineStr">
        <is>
          <t>Definir punto de reposición</t>
        </is>
      </c>
      <c r="E113" s="6" t="inlineStr">
        <is>
          <t>Front-end web</t>
        </is>
      </c>
      <c r="F113" s="7" t="inlineStr">
        <is>
          <t>Programar el formulario web de parámetros de reposición</t>
        </is>
      </c>
      <c r="G113" s="6" t="inlineStr">
        <is>
          <t>Fernando</t>
        </is>
      </c>
      <c r="H113" s="6" t="n">
        <v>4</v>
      </c>
      <c r="I113" s="6" t="inlineStr">
        <is>
          <t>To Do</t>
        </is>
      </c>
      <c r="J113" s="6" t="inlineStr">
        <is>
          <t>26/10</t>
        </is>
      </c>
      <c r="K113" s="7" t="inlineStr"/>
      <c r="L113" s="7" t="inlineStr">
        <is>
          <t>T-104</t>
        </is>
      </c>
    </row>
    <row r="114">
      <c r="B114" s="6" t="inlineStr">
        <is>
          <t>T-109</t>
        </is>
      </c>
      <c r="C114" s="6" t="inlineStr">
        <is>
          <t>HU-25</t>
        </is>
      </c>
      <c r="D114" s="7" t="inlineStr">
        <is>
          <t>Definir punto de reposición</t>
        </is>
      </c>
      <c r="E114" s="6" t="inlineStr">
        <is>
          <t>Pruebas</t>
        </is>
      </c>
      <c r="F114" s="7" t="inlineStr">
        <is>
          <t>Probar la funcionalidad de HU-25 (la API con Postman y la pantalla web) contra cada condición final y aprobar su PR</t>
        </is>
      </c>
      <c r="G114" s="6" t="inlineStr">
        <is>
          <t>Henry</t>
        </is>
      </c>
      <c r="H114" s="6" t="n">
        <v>1</v>
      </c>
      <c r="I114" s="6" t="inlineStr">
        <is>
          <t>To Do</t>
        </is>
      </c>
      <c r="J114" s="6" t="inlineStr">
        <is>
          <t>27/10</t>
        </is>
      </c>
      <c r="K114" s="7" t="inlineStr">
        <is>
          <t>alguien distinto del autor (T1, T5, T8)</t>
        </is>
      </c>
      <c r="L114" s="7" t="inlineStr">
        <is>
          <t>T-106, T-107, T-108, T-233</t>
        </is>
      </c>
    </row>
    <row r="115">
      <c r="B115" s="8" t="inlineStr">
        <is>
          <t>T-110</t>
        </is>
      </c>
      <c r="C115" s="8" t="inlineStr">
        <is>
          <t>HU-25</t>
        </is>
      </c>
      <c r="D115" s="9" t="inlineStr">
        <is>
          <t>Definir punto de reposición</t>
        </is>
      </c>
      <c r="E115" s="8" t="inlineStr">
        <is>
          <t>Aceptación</t>
        </is>
      </c>
      <c r="F115" s="9" t="inlineStr">
        <is>
          <t>Aceptar HU-25 como Product Owner desde la interfaz y moverla a Done</t>
        </is>
      </c>
      <c r="G115" s="8" t="inlineStr">
        <is>
          <t>Adiel</t>
        </is>
      </c>
      <c r="H115" s="8" t="n">
        <v>0.5</v>
      </c>
      <c r="I115" s="8" t="inlineStr">
        <is>
          <t>To Do</t>
        </is>
      </c>
      <c r="J115" s="8" t="inlineStr">
        <is>
          <t>27/10</t>
        </is>
      </c>
      <c r="K115" s="9" t="inlineStr">
        <is>
          <t>mueve la HU a Done</t>
        </is>
      </c>
      <c r="L115" s="9" t="inlineStr">
        <is>
          <t>T-109</t>
        </is>
      </c>
    </row>
    <row r="116">
      <c r="B116" s="6" t="inlineStr">
        <is>
          <t>T-111</t>
        </is>
      </c>
      <c r="C116" s="6" t="inlineStr">
        <is>
          <t>HU-26</t>
        </is>
      </c>
      <c r="D116" s="7" t="inlineStr">
        <is>
          <t>Avisar cuándo reponer</t>
        </is>
      </c>
      <c r="E116" s="6" t="inlineStr">
        <is>
          <t>Diseño UI</t>
        </is>
      </c>
      <c r="F116" s="7" t="inlineStr">
        <is>
          <t>Diseñar la interfaz de usuario de HU-26: pantalla 8 · Reposición y 5 · Consultar stock</t>
        </is>
      </c>
      <c r="G116" s="6" t="inlineStr">
        <is>
          <t>Fernando</t>
        </is>
      </c>
      <c r="H116" s="6" t="n">
        <v>1</v>
      </c>
      <c r="I116" s="6" t="inlineStr">
        <is>
          <t>Done</t>
        </is>
      </c>
      <c r="J116" s="6" t="inlineStr">
        <is>
          <t>23/10</t>
        </is>
      </c>
      <c r="K116" s="7" t="inlineStr">
        <is>
          <t>mockup en el lienzo «SIGRO · Pantallas y diagramas del Sprint 1», WCAG AA</t>
        </is>
      </c>
      <c r="L116" s="7" t="inlineStr"/>
    </row>
    <row r="117">
      <c r="B117" s="6" t="inlineStr">
        <is>
          <t>T-112</t>
        </is>
      </c>
      <c r="C117" s="6" t="inlineStr">
        <is>
          <t>HU-26</t>
        </is>
      </c>
      <c r="D117" s="7" t="inlineStr">
        <is>
          <t>Avisar cuándo reponer</t>
        </is>
      </c>
      <c r="E117" s="6" t="inlineStr">
        <is>
          <t>Modelado UML</t>
        </is>
      </c>
      <c r="F117" s="7" t="inlineStr">
        <is>
          <t>Modelar la funcionalidad de HU-26 con el diagrama UML de secuencia de la alerta de reposición con Notificaciones</t>
        </is>
      </c>
      <c r="G117" s="6" t="inlineStr">
        <is>
          <t>Fernando</t>
        </is>
      </c>
      <c r="H117" s="6" t="n">
        <v>1</v>
      </c>
      <c r="I117" s="6" t="inlineStr">
        <is>
          <t>To Do</t>
        </is>
      </c>
      <c r="J117" s="6" t="inlineStr">
        <is>
          <t>24/10</t>
        </is>
      </c>
      <c r="K117" s="7" t="inlineStr"/>
      <c r="L117" s="7" t="inlineStr">
        <is>
          <t>T-111</t>
        </is>
      </c>
    </row>
    <row r="118">
      <c r="B118" s="6" t="inlineStr">
        <is>
          <t>T-113</t>
        </is>
      </c>
      <c r="C118" s="6" t="inlineStr">
        <is>
          <t>HU-26</t>
        </is>
      </c>
      <c r="D118" s="7" t="inlineStr">
        <is>
          <t>Avisar cuándo reponer</t>
        </is>
      </c>
      <c r="E118" s="6" t="inlineStr">
        <is>
          <t>Base de datos</t>
        </is>
      </c>
      <c r="F118" s="7" t="inlineStr">
        <is>
          <t>Implementar las tablas asociadas a HU-26: alerta_reposicion y outbox de Notificaciones</t>
        </is>
      </c>
      <c r="G118" s="6" t="inlineStr">
        <is>
          <t>Adiel</t>
        </is>
      </c>
      <c r="H118" s="6" t="n">
        <v>1</v>
      </c>
      <c r="I118" s="6" t="inlineStr">
        <is>
          <t>To Do</t>
        </is>
      </c>
      <c r="J118" s="6" t="inlineStr">
        <is>
          <t>24/10</t>
        </is>
      </c>
      <c r="K118" s="7" t="inlineStr"/>
      <c r="L118" s="7" t="inlineStr">
        <is>
          <t>T-112</t>
        </is>
      </c>
    </row>
    <row r="119">
      <c r="B119" s="6" t="inlineStr">
        <is>
          <t>T-114</t>
        </is>
      </c>
      <c r="C119" s="6" t="inlineStr">
        <is>
          <t>HU-26</t>
        </is>
      </c>
      <c r="D119" s="7" t="inlineStr">
        <is>
          <t>Avisar cuándo reponer</t>
        </is>
      </c>
      <c r="E119" s="6" t="inlineStr">
        <is>
          <t>Backend</t>
        </is>
      </c>
      <c r="F119" s="7" t="inlineStr">
        <is>
          <t>Programar el back-end de HU-26 (entidad, repositorio, servicio y controlador): el motor de alertas: una por insumo y marcada como atendida al comprar</t>
        </is>
      </c>
      <c r="G119" s="6" t="inlineStr">
        <is>
          <t>Adiel</t>
        </is>
      </c>
      <c r="H119" s="6" t="n">
        <v>2</v>
      </c>
      <c r="I119" s="6" t="inlineStr">
        <is>
          <t>To Do</t>
        </is>
      </c>
      <c r="J119" s="6" t="inlineStr">
        <is>
          <t>25/10</t>
        </is>
      </c>
      <c r="K119" s="7" t="inlineStr"/>
      <c r="L119" s="7" t="inlineStr">
        <is>
          <t>T-113</t>
        </is>
      </c>
    </row>
    <row r="120">
      <c r="B120" s="6" t="inlineStr">
        <is>
          <t>T-115</t>
        </is>
      </c>
      <c r="C120" s="6" t="inlineStr">
        <is>
          <t>HU-26</t>
        </is>
      </c>
      <c r="D120" s="7" t="inlineStr">
        <is>
          <t>Avisar cuándo reponer</t>
        </is>
      </c>
      <c r="E120" s="6" t="inlineStr">
        <is>
          <t>Integración</t>
        </is>
      </c>
      <c r="F120" s="7" t="inlineStr">
        <is>
          <t>Publicar la alerta en el microservicio de Notificaciones (outbox) para avisar al residente</t>
        </is>
      </c>
      <c r="G120" s="6" t="inlineStr">
        <is>
          <t>Adiel</t>
        </is>
      </c>
      <c r="H120" s="6" t="n">
        <v>2</v>
      </c>
      <c r="I120" s="6" t="inlineStr">
        <is>
          <t>To Do</t>
        </is>
      </c>
      <c r="J120" s="6" t="inlineStr">
        <is>
          <t>25/10</t>
        </is>
      </c>
      <c r="K120" s="7" t="inlineStr"/>
      <c r="L120" s="7" t="inlineStr">
        <is>
          <t>T-112</t>
        </is>
      </c>
    </row>
    <row r="121">
      <c r="B121" s="6" t="inlineStr">
        <is>
          <t>T-116</t>
        </is>
      </c>
      <c r="C121" s="6" t="inlineStr">
        <is>
          <t>HU-26</t>
        </is>
      </c>
      <c r="D121" s="7" t="inlineStr">
        <is>
          <t>Avisar cuándo reponer</t>
        </is>
      </c>
      <c r="E121" s="6" t="inlineStr">
        <is>
          <t>Front-end web</t>
        </is>
      </c>
      <c r="F121" s="7" t="inlineStr">
        <is>
          <t>Programar las alertas de reposición en la web</t>
        </is>
      </c>
      <c r="G121" s="6" t="inlineStr">
        <is>
          <t>Fernando</t>
        </is>
      </c>
      <c r="H121" s="6" t="n">
        <v>2</v>
      </c>
      <c r="I121" s="6" t="inlineStr">
        <is>
          <t>Done</t>
        </is>
      </c>
      <c r="J121" s="6" t="inlineStr">
        <is>
          <t>26/10</t>
        </is>
      </c>
      <c r="K121" s="7" t="inlineStr">
        <is>
          <t>pantalla hecha con datos simulados; falta conectarla a la API real</t>
        </is>
      </c>
      <c r="L121" s="7" t="inlineStr"/>
    </row>
    <row r="122">
      <c r="B122" s="6" t="inlineStr">
        <is>
          <t>T-117</t>
        </is>
      </c>
      <c r="C122" s="6" t="inlineStr">
        <is>
          <t>HU-26</t>
        </is>
      </c>
      <c r="D122" s="7" t="inlineStr">
        <is>
          <t>Avisar cuándo reponer</t>
        </is>
      </c>
      <c r="E122" s="6" t="inlineStr">
        <is>
          <t>Conexión API</t>
        </is>
      </c>
      <c r="F122" s="7" t="inlineStr">
        <is>
          <t>Conectar las alertas con la API real</t>
        </is>
      </c>
      <c r="G122" s="6" t="inlineStr">
        <is>
          <t>Fernando</t>
        </is>
      </c>
      <c r="H122" s="6" t="n">
        <v>2</v>
      </c>
      <c r="I122" s="6" t="inlineStr">
        <is>
          <t>To Do</t>
        </is>
      </c>
      <c r="J122" s="6" t="inlineStr">
        <is>
          <t>26/10</t>
        </is>
      </c>
      <c r="K122" s="7" t="inlineStr"/>
      <c r="L122" s="7" t="inlineStr">
        <is>
          <t>T-114, T-116, T-234</t>
        </is>
      </c>
    </row>
    <row r="123">
      <c r="B123" s="6" t="inlineStr">
        <is>
          <t>T-118</t>
        </is>
      </c>
      <c r="C123" s="6" t="inlineStr">
        <is>
          <t>HU-26</t>
        </is>
      </c>
      <c r="D123" s="7" t="inlineStr">
        <is>
          <t>Avisar cuándo reponer</t>
        </is>
      </c>
      <c r="E123" s="6" t="inlineStr">
        <is>
          <t>Pruebas</t>
        </is>
      </c>
      <c r="F123" s="7" t="inlineStr">
        <is>
          <t>Probar la funcionalidad de HU-26 (la API con Postman y la pantalla web) contra cada condición final y aprobar su PR</t>
        </is>
      </c>
      <c r="G123" s="6" t="inlineStr">
        <is>
          <t>Henry</t>
        </is>
      </c>
      <c r="H123" s="6" t="n">
        <v>1</v>
      </c>
      <c r="I123" s="6" t="inlineStr">
        <is>
          <t>To Do</t>
        </is>
      </c>
      <c r="J123" s="6" t="inlineStr">
        <is>
          <t>27/10</t>
        </is>
      </c>
      <c r="K123" s="7" t="inlineStr">
        <is>
          <t>alguien distinto del autor (T1, T5, T8)</t>
        </is>
      </c>
      <c r="L123" s="7" t="inlineStr">
        <is>
          <t>T-113, T-114, T-115, T-116, T-117, T-233</t>
        </is>
      </c>
    </row>
    <row r="124">
      <c r="B124" s="8" t="inlineStr">
        <is>
          <t>T-119</t>
        </is>
      </c>
      <c r="C124" s="8" t="inlineStr">
        <is>
          <t>HU-26</t>
        </is>
      </c>
      <c r="D124" s="9" t="inlineStr">
        <is>
          <t>Avisar cuándo reponer</t>
        </is>
      </c>
      <c r="E124" s="8" t="inlineStr">
        <is>
          <t>Aceptación</t>
        </is>
      </c>
      <c r="F124" s="9" t="inlineStr">
        <is>
          <t>Aceptar HU-26 como Product Owner desde la interfaz y moverla a Done</t>
        </is>
      </c>
      <c r="G124" s="8" t="inlineStr">
        <is>
          <t>Adiel</t>
        </is>
      </c>
      <c r="H124" s="8" t="n">
        <v>0.5</v>
      </c>
      <c r="I124" s="8" t="inlineStr">
        <is>
          <t>To Do</t>
        </is>
      </c>
      <c r="J124" s="8" t="inlineStr">
        <is>
          <t>27/10</t>
        </is>
      </c>
      <c r="K124" s="9" t="inlineStr">
        <is>
          <t>mueve la HU a Done</t>
        </is>
      </c>
      <c r="L124" s="9" t="inlineStr">
        <is>
          <t>T-118</t>
        </is>
      </c>
    </row>
    <row r="125">
      <c r="B125" s="6" t="inlineStr">
        <is>
          <t>T-120</t>
        </is>
      </c>
      <c r="C125" s="6" t="inlineStr">
        <is>
          <t>HU-27</t>
        </is>
      </c>
      <c r="D125" s="7" t="inlineStr">
        <is>
          <t>Sugerir cuánto comprar</t>
        </is>
      </c>
      <c r="E125" s="6" t="inlineStr">
        <is>
          <t>Diseño UI</t>
        </is>
      </c>
      <c r="F125" s="7" t="inlineStr">
        <is>
          <t>Diseñar la interfaz de usuario de HU-27: pantalla 8 · Reposición</t>
        </is>
      </c>
      <c r="G125" s="6" t="inlineStr">
        <is>
          <t>Fernando</t>
        </is>
      </c>
      <c r="H125" s="6" t="n">
        <v>1</v>
      </c>
      <c r="I125" s="6" t="inlineStr">
        <is>
          <t>Done</t>
        </is>
      </c>
      <c r="J125" s="6" t="inlineStr">
        <is>
          <t>23/10</t>
        </is>
      </c>
      <c r="K125" s="7" t="inlineStr">
        <is>
          <t>mockup en el lienzo «SIGRO · Pantallas y diagramas del Sprint 1», WCAG AA</t>
        </is>
      </c>
      <c r="L125" s="7" t="inlineStr"/>
    </row>
    <row r="126">
      <c r="B126" s="6" t="inlineStr">
        <is>
          <t>T-121</t>
        </is>
      </c>
      <c r="C126" s="6" t="inlineStr">
        <is>
          <t>HU-27</t>
        </is>
      </c>
      <c r="D126" s="7" t="inlineStr">
        <is>
          <t>Sugerir cuánto comprar</t>
        </is>
      </c>
      <c r="E126" s="6" t="inlineStr">
        <is>
          <t>Modelado UML</t>
        </is>
      </c>
      <c r="F126" s="7" t="inlineStr">
        <is>
          <t>Modelar la funcionalidad de HU-27 con el diagrama UML de actividades del cálculo de la sugerencia</t>
        </is>
      </c>
      <c r="G126" s="6" t="inlineStr">
        <is>
          <t>Fernando</t>
        </is>
      </c>
      <c r="H126" s="6" t="n">
        <v>1</v>
      </c>
      <c r="I126" s="6" t="inlineStr">
        <is>
          <t>To Do</t>
        </is>
      </c>
      <c r="J126" s="6" t="inlineStr">
        <is>
          <t>24/10</t>
        </is>
      </c>
      <c r="K126" s="7" t="inlineStr"/>
      <c r="L126" s="7" t="inlineStr">
        <is>
          <t>T-120</t>
        </is>
      </c>
    </row>
    <row r="127">
      <c r="B127" s="6" t="inlineStr">
        <is>
          <t>T-122</t>
        </is>
      </c>
      <c r="C127" s="6" t="inlineStr">
        <is>
          <t>HU-27</t>
        </is>
      </c>
      <c r="D127" s="7" t="inlineStr">
        <is>
          <t>Sugerir cuánto comprar</t>
        </is>
      </c>
      <c r="E127" s="6" t="inlineStr">
        <is>
          <t>Base de datos</t>
        </is>
      </c>
      <c r="F127" s="7" t="inlineStr">
        <is>
          <t>Implementar las tablas asociadas a HU-27: vista de sugerencia de compra</t>
        </is>
      </c>
      <c r="G127" s="6" t="inlineStr">
        <is>
          <t>Adiel</t>
        </is>
      </c>
      <c r="H127" s="6" t="n">
        <v>1</v>
      </c>
      <c r="I127" s="6" t="inlineStr">
        <is>
          <t>To Do</t>
        </is>
      </c>
      <c r="J127" s="6" t="inlineStr">
        <is>
          <t>24/10</t>
        </is>
      </c>
      <c r="K127" s="7" t="inlineStr"/>
      <c r="L127" s="7" t="inlineStr">
        <is>
          <t>T-121</t>
        </is>
      </c>
    </row>
    <row r="128">
      <c r="B128" s="6" t="inlineStr">
        <is>
          <t>T-123</t>
        </is>
      </c>
      <c r="C128" s="6" t="inlineStr">
        <is>
          <t>HU-27</t>
        </is>
      </c>
      <c r="D128" s="7" t="inlineStr">
        <is>
          <t>Sugerir cuánto comprar</t>
        </is>
      </c>
      <c r="E128" s="6" t="inlineStr">
        <is>
          <t>Backend</t>
        </is>
      </c>
      <c r="F128" s="7" t="inlineStr">
        <is>
          <t>Programar el back-end de HU-27 (entidad, repositorio, servicio y controlador): el cálculo de la sugerencia de compra con su criterio</t>
        </is>
      </c>
      <c r="G128" s="6" t="inlineStr">
        <is>
          <t>Adiel</t>
        </is>
      </c>
      <c r="H128" s="6" t="n">
        <v>3</v>
      </c>
      <c r="I128" s="6" t="inlineStr">
        <is>
          <t>To Do</t>
        </is>
      </c>
      <c r="J128" s="6" t="inlineStr">
        <is>
          <t>25/10</t>
        </is>
      </c>
      <c r="K128" s="7" t="inlineStr"/>
      <c r="L128" s="7" t="inlineStr">
        <is>
          <t>T-122</t>
        </is>
      </c>
    </row>
    <row r="129">
      <c r="B129" s="6" t="inlineStr">
        <is>
          <t>T-124</t>
        </is>
      </c>
      <c r="C129" s="6" t="inlineStr">
        <is>
          <t>HU-27</t>
        </is>
      </c>
      <c r="D129" s="7" t="inlineStr">
        <is>
          <t>Sugerir cuánto comprar</t>
        </is>
      </c>
      <c r="E129" s="6" t="inlineStr">
        <is>
          <t>Front-end web</t>
        </is>
      </c>
      <c r="F129" s="7" t="inlineStr">
        <is>
          <t>Programar la sugerencia editable dentro de la alerta</t>
        </is>
      </c>
      <c r="G129" s="6" t="inlineStr">
        <is>
          <t>Fernando</t>
        </is>
      </c>
      <c r="H129" s="6" t="n">
        <v>3</v>
      </c>
      <c r="I129" s="6" t="inlineStr">
        <is>
          <t>Done</t>
        </is>
      </c>
      <c r="J129" s="6" t="inlineStr">
        <is>
          <t>26/10</t>
        </is>
      </c>
      <c r="K129" s="7" t="inlineStr">
        <is>
          <t>pantalla hecha con datos simulados; falta conectarla a la API real</t>
        </is>
      </c>
      <c r="L129" s="7" t="inlineStr"/>
    </row>
    <row r="130">
      <c r="B130" s="6" t="inlineStr">
        <is>
          <t>T-125</t>
        </is>
      </c>
      <c r="C130" s="6" t="inlineStr">
        <is>
          <t>HU-27</t>
        </is>
      </c>
      <c r="D130" s="7" t="inlineStr">
        <is>
          <t>Sugerir cuánto comprar</t>
        </is>
      </c>
      <c r="E130" s="6" t="inlineStr">
        <is>
          <t>Conexión API</t>
        </is>
      </c>
      <c r="F130" s="7" t="inlineStr">
        <is>
          <t>Conectar la sugerencia con la API real</t>
        </is>
      </c>
      <c r="G130" s="6" t="inlineStr">
        <is>
          <t>Fernando</t>
        </is>
      </c>
      <c r="H130" s="6" t="n">
        <v>3</v>
      </c>
      <c r="I130" s="6" t="inlineStr">
        <is>
          <t>To Do</t>
        </is>
      </c>
      <c r="J130" s="6" t="inlineStr">
        <is>
          <t>26/10</t>
        </is>
      </c>
      <c r="K130" s="7" t="inlineStr"/>
      <c r="L130" s="7" t="inlineStr">
        <is>
          <t>T-123, T-124, T-234</t>
        </is>
      </c>
    </row>
    <row r="131">
      <c r="B131" s="6" t="inlineStr">
        <is>
          <t>T-126</t>
        </is>
      </c>
      <c r="C131" s="6" t="inlineStr">
        <is>
          <t>HU-27</t>
        </is>
      </c>
      <c r="D131" s="7" t="inlineStr">
        <is>
          <t>Sugerir cuánto comprar</t>
        </is>
      </c>
      <c r="E131" s="6" t="inlineStr">
        <is>
          <t>Pruebas</t>
        </is>
      </c>
      <c r="F131" s="7" t="inlineStr">
        <is>
          <t>Probar la funcionalidad de HU-27 (la API con Postman y la pantalla web) contra cada condición final y aprobar su PR</t>
        </is>
      </c>
      <c r="G131" s="6" t="inlineStr">
        <is>
          <t>Henry</t>
        </is>
      </c>
      <c r="H131" s="6" t="n">
        <v>1</v>
      </c>
      <c r="I131" s="6" t="inlineStr">
        <is>
          <t>To Do</t>
        </is>
      </c>
      <c r="J131" s="6" t="inlineStr">
        <is>
          <t>27/10</t>
        </is>
      </c>
      <c r="K131" s="7" t="inlineStr">
        <is>
          <t>alguien distinto del autor (T1, T5, T8)</t>
        </is>
      </c>
      <c r="L131" s="7" t="inlineStr">
        <is>
          <t>T-122, T-123, T-124, T-125, T-233</t>
        </is>
      </c>
    </row>
    <row r="132">
      <c r="B132" s="8" t="inlineStr">
        <is>
          <t>T-127</t>
        </is>
      </c>
      <c r="C132" s="8" t="inlineStr">
        <is>
          <t>HU-27</t>
        </is>
      </c>
      <c r="D132" s="9" t="inlineStr">
        <is>
          <t>Sugerir cuánto comprar</t>
        </is>
      </c>
      <c r="E132" s="8" t="inlineStr">
        <is>
          <t>Aceptación</t>
        </is>
      </c>
      <c r="F132" s="9" t="inlineStr">
        <is>
          <t>Aceptar HU-27 como Product Owner desde la interfaz y moverla a Done</t>
        </is>
      </c>
      <c r="G132" s="8" t="inlineStr">
        <is>
          <t>Adiel</t>
        </is>
      </c>
      <c r="H132" s="8" t="n">
        <v>0.5</v>
      </c>
      <c r="I132" s="8" t="inlineStr">
        <is>
          <t>To Do</t>
        </is>
      </c>
      <c r="J132" s="8" t="inlineStr">
        <is>
          <t>27/10</t>
        </is>
      </c>
      <c r="K132" s="9" t="inlineStr">
        <is>
          <t>mueve la HU a Done</t>
        </is>
      </c>
      <c r="L132" s="9" t="inlineStr">
        <is>
          <t>T-126</t>
        </is>
      </c>
    </row>
    <row r="133">
      <c r="B133" s="6" t="inlineStr">
        <is>
          <t>T-128</t>
        </is>
      </c>
      <c r="C133" s="6" t="inlineStr">
        <is>
          <t>HU-29</t>
        </is>
      </c>
      <c r="D133" s="7" t="inlineStr">
        <is>
          <t>Consultar proveedores</t>
        </is>
      </c>
      <c r="E133" s="6" t="inlineStr">
        <is>
          <t>Diseño UI</t>
        </is>
      </c>
      <c r="F133" s="7" t="inlineStr">
        <is>
          <t>Diseñar la interfaz de usuario de HU-29: pantalla 18 · Proveedores</t>
        </is>
      </c>
      <c r="G133" s="6" t="inlineStr">
        <is>
          <t>Fernando</t>
        </is>
      </c>
      <c r="H133" s="6" t="n">
        <v>1</v>
      </c>
      <c r="I133" s="6" t="inlineStr">
        <is>
          <t>Done</t>
        </is>
      </c>
      <c r="J133" s="6" t="inlineStr">
        <is>
          <t>23/10</t>
        </is>
      </c>
      <c r="K133" s="7" t="inlineStr">
        <is>
          <t>mockup en el lienzo «SIGRO · Pantallas y diagramas del Sprint 1», WCAG AA</t>
        </is>
      </c>
      <c r="L133" s="7" t="inlineStr"/>
    </row>
    <row r="134">
      <c r="B134" s="6" t="inlineStr">
        <is>
          <t>T-129</t>
        </is>
      </c>
      <c r="C134" s="6" t="inlineStr">
        <is>
          <t>HU-29</t>
        </is>
      </c>
      <c r="D134" s="7" t="inlineStr">
        <is>
          <t>Consultar proveedores</t>
        </is>
      </c>
      <c r="E134" s="6" t="inlineStr">
        <is>
          <t>Modelado UML</t>
        </is>
      </c>
      <c r="F134" s="7" t="inlineStr">
        <is>
          <t>Modelar la funcionalidad de HU-29 con el diagrama UML de secuencia de la búsqueda de proveedores</t>
        </is>
      </c>
      <c r="G134" s="6" t="inlineStr">
        <is>
          <t>Henry</t>
        </is>
      </c>
      <c r="H134" s="6" t="n">
        <v>1</v>
      </c>
      <c r="I134" s="6" t="inlineStr">
        <is>
          <t>To Do</t>
        </is>
      </c>
      <c r="J134" s="6" t="inlineStr">
        <is>
          <t>24/10</t>
        </is>
      </c>
      <c r="K134" s="7" t="inlineStr"/>
      <c r="L134" s="7" t="inlineStr">
        <is>
          <t>T-128</t>
        </is>
      </c>
    </row>
    <row r="135">
      <c r="B135" s="6" t="inlineStr">
        <is>
          <t>T-130</t>
        </is>
      </c>
      <c r="C135" s="6" t="inlineStr">
        <is>
          <t>HU-29</t>
        </is>
      </c>
      <c r="D135" s="7" t="inlineStr">
        <is>
          <t>Consultar proveedores</t>
        </is>
      </c>
      <c r="E135" s="6" t="inlineStr">
        <is>
          <t>Base de datos</t>
        </is>
      </c>
      <c r="F135" s="7" t="inlineStr">
        <is>
          <t>Implementar las tablas asociadas a HU-29: proveedor (RUC o DNI único)</t>
        </is>
      </c>
      <c r="G135" s="6" t="inlineStr">
        <is>
          <t>Adiel</t>
        </is>
      </c>
      <c r="H135" s="6" t="n">
        <v>1</v>
      </c>
      <c r="I135" s="6" t="inlineStr">
        <is>
          <t>Done</t>
        </is>
      </c>
      <c r="J135" s="6" t="inlineStr">
        <is>
          <t>24/10</t>
        </is>
      </c>
      <c r="K135" s="7" t="inlineStr">
        <is>
          <t>migraciones 0001–0006 de la API</t>
        </is>
      </c>
      <c r="L135" s="7" t="inlineStr"/>
    </row>
    <row r="136">
      <c r="B136" s="6" t="inlineStr">
        <is>
          <t>T-131</t>
        </is>
      </c>
      <c r="C136" s="6" t="inlineStr">
        <is>
          <t>HU-29</t>
        </is>
      </c>
      <c r="D136" s="7" t="inlineStr">
        <is>
          <t>Consultar proveedores</t>
        </is>
      </c>
      <c r="E136" s="6" t="inlineStr">
        <is>
          <t>Backend</t>
        </is>
      </c>
      <c r="F136" s="7" t="inlineStr">
        <is>
          <t>Programar el back-end de HU-29 (entidad, repositorio, servicio y controlador): la búsqueda de proveedores por razón social o RUC</t>
        </is>
      </c>
      <c r="G136" s="6" t="inlineStr">
        <is>
          <t>Adiel</t>
        </is>
      </c>
      <c r="H136" s="6" t="n">
        <v>2</v>
      </c>
      <c r="I136" s="6" t="inlineStr">
        <is>
          <t>Done</t>
        </is>
      </c>
      <c r="J136" s="6" t="inlineStr">
        <is>
          <t>25/10</t>
        </is>
      </c>
      <c r="K136" s="7" t="inlineStr">
        <is>
          <t>hecho en la API de Adiel (PR #1 fusionado a main), con pruebas</t>
        </is>
      </c>
      <c r="L136" s="7" t="inlineStr"/>
    </row>
    <row r="137">
      <c r="B137" s="6" t="inlineStr">
        <is>
          <t>T-132</t>
        </is>
      </c>
      <c r="C137" s="6" t="inlineStr">
        <is>
          <t>HU-29</t>
        </is>
      </c>
      <c r="D137" s="7" t="inlineStr">
        <is>
          <t>Consultar proveedores</t>
        </is>
      </c>
      <c r="E137" s="6" t="inlineStr">
        <is>
          <t>Front-end web</t>
        </is>
      </c>
      <c r="F137" s="7" t="inlineStr">
        <is>
          <t>Programar la pantalla web de proveedores con los 626 reales</t>
        </is>
      </c>
      <c r="G137" s="6" t="inlineStr">
        <is>
          <t>Fernando</t>
        </is>
      </c>
      <c r="H137" s="6" t="n">
        <v>2</v>
      </c>
      <c r="I137" s="6" t="inlineStr">
        <is>
          <t>Done</t>
        </is>
      </c>
      <c r="J137" s="6" t="inlineStr">
        <is>
          <t>26/10</t>
        </is>
      </c>
      <c r="K137" s="7" t="inlineStr">
        <is>
          <t>pantalla hecha con datos simulados; falta conectarla a la API real</t>
        </is>
      </c>
      <c r="L137" s="7" t="inlineStr"/>
    </row>
    <row r="138">
      <c r="B138" s="6" t="inlineStr">
        <is>
          <t>T-133</t>
        </is>
      </c>
      <c r="C138" s="6" t="inlineStr">
        <is>
          <t>HU-29</t>
        </is>
      </c>
      <c r="D138" s="7" t="inlineStr">
        <is>
          <t>Consultar proveedores</t>
        </is>
      </c>
      <c r="E138" s="6" t="inlineStr">
        <is>
          <t>Conexión API</t>
        </is>
      </c>
      <c r="F138" s="7" t="inlineStr">
        <is>
          <t>Conectar la pantalla de proveedores con la API real</t>
        </is>
      </c>
      <c r="G138" s="6" t="inlineStr">
        <is>
          <t>Henry</t>
        </is>
      </c>
      <c r="H138" s="6" t="n">
        <v>2</v>
      </c>
      <c r="I138" s="6" t="inlineStr">
        <is>
          <t>To Do</t>
        </is>
      </c>
      <c r="J138" s="6" t="inlineStr">
        <is>
          <t>26/10</t>
        </is>
      </c>
      <c r="K138" s="7" t="inlineStr"/>
      <c r="L138" s="7" t="inlineStr">
        <is>
          <t>T-131, T-132, T-234</t>
        </is>
      </c>
    </row>
    <row r="139">
      <c r="B139" s="6" t="inlineStr">
        <is>
          <t>T-134</t>
        </is>
      </c>
      <c r="C139" s="6" t="inlineStr">
        <is>
          <t>HU-29</t>
        </is>
      </c>
      <c r="D139" s="7" t="inlineStr">
        <is>
          <t>Consultar proveedores</t>
        </is>
      </c>
      <c r="E139" s="6" t="inlineStr">
        <is>
          <t>Pruebas</t>
        </is>
      </c>
      <c r="F139" s="7" t="inlineStr">
        <is>
          <t>Probar la funcionalidad de HU-29 (la API con Postman y la pantalla web) contra cada condición final y aprobar su PR</t>
        </is>
      </c>
      <c r="G139" s="6" t="inlineStr">
        <is>
          <t>Fernando</t>
        </is>
      </c>
      <c r="H139" s="6" t="n">
        <v>1</v>
      </c>
      <c r="I139" s="6" t="inlineStr">
        <is>
          <t>To Do</t>
        </is>
      </c>
      <c r="J139" s="6" t="inlineStr">
        <is>
          <t>27/10</t>
        </is>
      </c>
      <c r="K139" s="7" t="inlineStr">
        <is>
          <t>alguien distinto del autor (T1, T5, T8)</t>
        </is>
      </c>
      <c r="L139" s="7" t="inlineStr">
        <is>
          <t>T-130, T-131, T-132, T-133, T-233</t>
        </is>
      </c>
    </row>
    <row r="140">
      <c r="B140" s="8" t="inlineStr">
        <is>
          <t>T-135</t>
        </is>
      </c>
      <c r="C140" s="8" t="inlineStr">
        <is>
          <t>HU-29</t>
        </is>
      </c>
      <c r="D140" s="9" t="inlineStr">
        <is>
          <t>Consultar proveedores</t>
        </is>
      </c>
      <c r="E140" s="8" t="inlineStr">
        <is>
          <t>Aceptación</t>
        </is>
      </c>
      <c r="F140" s="9" t="inlineStr">
        <is>
          <t>Aceptar HU-29 como Product Owner desde la interfaz y moverla a Done</t>
        </is>
      </c>
      <c r="G140" s="8" t="inlineStr">
        <is>
          <t>Adiel</t>
        </is>
      </c>
      <c r="H140" s="8" t="n">
        <v>0.5</v>
      </c>
      <c r="I140" s="8" t="inlineStr">
        <is>
          <t>To Do</t>
        </is>
      </c>
      <c r="J140" s="8" t="inlineStr">
        <is>
          <t>27/10</t>
        </is>
      </c>
      <c r="K140" s="9" t="inlineStr">
        <is>
          <t>mueve la HU a Done</t>
        </is>
      </c>
      <c r="L140" s="9" t="inlineStr">
        <is>
          <t>T-134</t>
        </is>
      </c>
    </row>
    <row r="141">
      <c r="B141" s="6" t="inlineStr">
        <is>
          <t>T-136</t>
        </is>
      </c>
      <c r="C141" s="6" t="inlineStr">
        <is>
          <t>HU-30</t>
        </is>
      </c>
      <c r="D141" s="7" t="inlineStr">
        <is>
          <t>Registrar proveedores</t>
        </is>
      </c>
      <c r="E141" s="6" t="inlineStr">
        <is>
          <t>Diseño UI</t>
        </is>
      </c>
      <c r="F141" s="7" t="inlineStr">
        <is>
          <t>Diseñar la interfaz de usuario de HU-30: pantalla 12 · Registrar la compra</t>
        </is>
      </c>
      <c r="G141" s="6" t="inlineStr">
        <is>
          <t>Fernando</t>
        </is>
      </c>
      <c r="H141" s="6" t="n">
        <v>1</v>
      </c>
      <c r="I141" s="6" t="inlineStr">
        <is>
          <t>Done</t>
        </is>
      </c>
      <c r="J141" s="6" t="inlineStr">
        <is>
          <t>23/10</t>
        </is>
      </c>
      <c r="K141" s="7" t="inlineStr">
        <is>
          <t>mockup en el lienzo «SIGRO · Pantallas y diagramas del Sprint 1», WCAG AA</t>
        </is>
      </c>
      <c r="L141" s="7" t="inlineStr"/>
    </row>
    <row r="142">
      <c r="B142" s="6" t="inlineStr">
        <is>
          <t>T-137</t>
        </is>
      </c>
      <c r="C142" s="6" t="inlineStr">
        <is>
          <t>HU-30</t>
        </is>
      </c>
      <c r="D142" s="7" t="inlineStr">
        <is>
          <t>Registrar proveedores</t>
        </is>
      </c>
      <c r="E142" s="6" t="inlineStr">
        <is>
          <t>Modelado UML</t>
        </is>
      </c>
      <c r="F142" s="7" t="inlineStr">
        <is>
          <t>Modelar la funcionalidad de HU-30 con el diagrama UML de secuencia del alta rápida de proveedor</t>
        </is>
      </c>
      <c r="G142" s="6" t="inlineStr">
        <is>
          <t>Henry</t>
        </is>
      </c>
      <c r="H142" s="6" t="n">
        <v>1</v>
      </c>
      <c r="I142" s="6" t="inlineStr">
        <is>
          <t>To Do</t>
        </is>
      </c>
      <c r="J142" s="6" t="inlineStr">
        <is>
          <t>24/10</t>
        </is>
      </c>
      <c r="K142" s="7" t="inlineStr"/>
      <c r="L142" s="7" t="inlineStr">
        <is>
          <t>T-136</t>
        </is>
      </c>
    </row>
    <row r="143">
      <c r="B143" s="6" t="inlineStr">
        <is>
          <t>T-138</t>
        </is>
      </c>
      <c r="C143" s="6" t="inlineStr">
        <is>
          <t>HU-30</t>
        </is>
      </c>
      <c r="D143" s="7" t="inlineStr">
        <is>
          <t>Registrar proveedores</t>
        </is>
      </c>
      <c r="E143" s="6" t="inlineStr">
        <is>
          <t>Base de datos</t>
        </is>
      </c>
      <c r="F143" s="7" t="inlineStr">
        <is>
          <t>Implementar las tablas asociadas a HU-30: proveedor</t>
        </is>
      </c>
      <c r="G143" s="6" t="inlineStr">
        <is>
          <t>Adiel</t>
        </is>
      </c>
      <c r="H143" s="6" t="n">
        <v>1</v>
      </c>
      <c r="I143" s="6" t="inlineStr">
        <is>
          <t>Done</t>
        </is>
      </c>
      <c r="J143" s="6" t="inlineStr">
        <is>
          <t>24/10</t>
        </is>
      </c>
      <c r="K143" s="7" t="inlineStr">
        <is>
          <t>migraciones 0001–0006 de la API</t>
        </is>
      </c>
      <c r="L143" s="7" t="inlineStr"/>
    </row>
    <row r="144">
      <c r="B144" s="6" t="inlineStr">
        <is>
          <t>T-139</t>
        </is>
      </c>
      <c r="C144" s="6" t="inlineStr">
        <is>
          <t>HU-30</t>
        </is>
      </c>
      <c r="D144" s="7" t="inlineStr">
        <is>
          <t>Registrar proveedores</t>
        </is>
      </c>
      <c r="E144" s="6" t="inlineStr">
        <is>
          <t>Backend</t>
        </is>
      </c>
      <c r="F144" s="7" t="inlineStr">
        <is>
          <t>Programar el back-end de HU-30 (entidad, repositorio, servicio y controlador): el alta de proveedor rechazando RUC o DNI repetidos</t>
        </is>
      </c>
      <c r="G144" s="6" t="inlineStr">
        <is>
          <t>Adiel</t>
        </is>
      </c>
      <c r="H144" s="6" t="n">
        <v>2</v>
      </c>
      <c r="I144" s="6" t="inlineStr">
        <is>
          <t>Done</t>
        </is>
      </c>
      <c r="J144" s="6" t="inlineStr">
        <is>
          <t>25/10</t>
        </is>
      </c>
      <c r="K144" s="7" t="inlineStr">
        <is>
          <t>hecho en la API de Adiel (PR #1 fusionado a main), con pruebas</t>
        </is>
      </c>
      <c r="L144" s="7" t="inlineStr"/>
    </row>
    <row r="145">
      <c r="B145" s="6" t="inlineStr">
        <is>
          <t>T-140</t>
        </is>
      </c>
      <c r="C145" s="6" t="inlineStr">
        <is>
          <t>HU-30</t>
        </is>
      </c>
      <c r="D145" s="7" t="inlineStr">
        <is>
          <t>Registrar proveedores</t>
        </is>
      </c>
      <c r="E145" s="6" t="inlineStr">
        <is>
          <t>Front-end web</t>
        </is>
      </c>
      <c r="F145" s="7" t="inlineStr">
        <is>
          <t>Programar el alta rápida de proveedor desde la compra</t>
        </is>
      </c>
      <c r="G145" s="6" t="inlineStr">
        <is>
          <t>Fernando</t>
        </is>
      </c>
      <c r="H145" s="6" t="n">
        <v>2</v>
      </c>
      <c r="I145" s="6" t="inlineStr">
        <is>
          <t>Done</t>
        </is>
      </c>
      <c r="J145" s="6" t="inlineStr">
        <is>
          <t>26/10</t>
        </is>
      </c>
      <c r="K145" s="7" t="inlineStr">
        <is>
          <t>pantalla hecha con datos simulados; falta conectarla a la API real</t>
        </is>
      </c>
      <c r="L145" s="7" t="inlineStr"/>
    </row>
    <row r="146">
      <c r="B146" s="6" t="inlineStr">
        <is>
          <t>T-141</t>
        </is>
      </c>
      <c r="C146" s="6" t="inlineStr">
        <is>
          <t>HU-30</t>
        </is>
      </c>
      <c r="D146" s="7" t="inlineStr">
        <is>
          <t>Registrar proveedores</t>
        </is>
      </c>
      <c r="E146" s="6" t="inlineStr">
        <is>
          <t>Conexión API</t>
        </is>
      </c>
      <c r="F146" s="7" t="inlineStr">
        <is>
          <t>Conectar el alta de proveedor con la API real</t>
        </is>
      </c>
      <c r="G146" s="6" t="inlineStr">
        <is>
          <t>Henry</t>
        </is>
      </c>
      <c r="H146" s="6" t="n">
        <v>2</v>
      </c>
      <c r="I146" s="6" t="inlineStr">
        <is>
          <t>To Do</t>
        </is>
      </c>
      <c r="J146" s="6" t="inlineStr">
        <is>
          <t>26/10</t>
        </is>
      </c>
      <c r="K146" s="7" t="inlineStr"/>
      <c r="L146" s="7" t="inlineStr">
        <is>
          <t>T-139, T-140, T-234</t>
        </is>
      </c>
    </row>
    <row r="147">
      <c r="B147" s="6" t="inlineStr">
        <is>
          <t>T-142</t>
        </is>
      </c>
      <c r="C147" s="6" t="inlineStr">
        <is>
          <t>HU-30</t>
        </is>
      </c>
      <c r="D147" s="7" t="inlineStr">
        <is>
          <t>Registrar proveedores</t>
        </is>
      </c>
      <c r="E147" s="6" t="inlineStr">
        <is>
          <t>Pruebas</t>
        </is>
      </c>
      <c r="F147" s="7" t="inlineStr">
        <is>
          <t>Probar la funcionalidad de HU-30 (la API con Postman y la pantalla web) contra cada condición final y aprobar su PR</t>
        </is>
      </c>
      <c r="G147" s="6" t="inlineStr">
        <is>
          <t>Fernando</t>
        </is>
      </c>
      <c r="H147" s="6" t="n">
        <v>1</v>
      </c>
      <c r="I147" s="6" t="inlineStr">
        <is>
          <t>To Do</t>
        </is>
      </c>
      <c r="J147" s="6" t="inlineStr">
        <is>
          <t>27/10</t>
        </is>
      </c>
      <c r="K147" s="7" t="inlineStr">
        <is>
          <t>alguien distinto del autor (T1, T5, T8)</t>
        </is>
      </c>
      <c r="L147" s="7" t="inlineStr">
        <is>
          <t>T-138, T-139, T-140, T-141, T-233</t>
        </is>
      </c>
    </row>
    <row r="148">
      <c r="B148" s="8" t="inlineStr">
        <is>
          <t>T-143</t>
        </is>
      </c>
      <c r="C148" s="8" t="inlineStr">
        <is>
          <t>HU-30</t>
        </is>
      </c>
      <c r="D148" s="9" t="inlineStr">
        <is>
          <t>Registrar proveedores</t>
        </is>
      </c>
      <c r="E148" s="8" t="inlineStr">
        <is>
          <t>Aceptación</t>
        </is>
      </c>
      <c r="F148" s="9" t="inlineStr">
        <is>
          <t>Aceptar HU-30 como Product Owner desde la interfaz y moverla a Done</t>
        </is>
      </c>
      <c r="G148" s="8" t="inlineStr">
        <is>
          <t>Adiel</t>
        </is>
      </c>
      <c r="H148" s="8" t="n">
        <v>0.5</v>
      </c>
      <c r="I148" s="8" t="inlineStr">
        <is>
          <t>To Do</t>
        </is>
      </c>
      <c r="J148" s="8" t="inlineStr">
        <is>
          <t>27/10</t>
        </is>
      </c>
      <c r="K148" s="9" t="inlineStr">
        <is>
          <t>mueve la HU a Done</t>
        </is>
      </c>
      <c r="L148" s="9" t="inlineStr">
        <is>
          <t>T-142</t>
        </is>
      </c>
    </row>
    <row r="149">
      <c r="B149" s="6" t="inlineStr">
        <is>
          <t>T-144</t>
        </is>
      </c>
      <c r="C149" s="6" t="inlineStr">
        <is>
          <t>HU-32</t>
        </is>
      </c>
      <c r="D149" s="7" t="inlineStr">
        <is>
          <t>Registrar compras</t>
        </is>
      </c>
      <c r="E149" s="6" t="inlineStr">
        <is>
          <t>Diseño UI</t>
        </is>
      </c>
      <c r="F149" s="7" t="inlineStr">
        <is>
          <t>Diseñar la interfaz de usuario de HU-32: pantalla 12 · Registrar la compra</t>
        </is>
      </c>
      <c r="G149" s="6" t="inlineStr">
        <is>
          <t>Fernando</t>
        </is>
      </c>
      <c r="H149" s="6" t="n">
        <v>1</v>
      </c>
      <c r="I149" s="6" t="inlineStr">
        <is>
          <t>Done</t>
        </is>
      </c>
      <c r="J149" s="6" t="inlineStr">
        <is>
          <t>23/10</t>
        </is>
      </c>
      <c r="K149" s="7" t="inlineStr">
        <is>
          <t>mockup en el lienzo «SIGRO · Pantallas y diagramas del Sprint 1», WCAG AA</t>
        </is>
      </c>
      <c r="L149" s="7" t="inlineStr"/>
    </row>
    <row r="150">
      <c r="B150" s="6" t="inlineStr">
        <is>
          <t>T-145</t>
        </is>
      </c>
      <c r="C150" s="6" t="inlineStr">
        <is>
          <t>HU-32</t>
        </is>
      </c>
      <c r="D150" s="7" t="inlineStr">
        <is>
          <t>Registrar compras</t>
        </is>
      </c>
      <c r="E150" s="6" t="inlineStr">
        <is>
          <t>Modelado UML</t>
        </is>
      </c>
      <c r="F150" s="7" t="inlineStr">
        <is>
          <t>Modelar la funcionalidad de HU-32 con el diagrama UML de secuencia del registro de la compra</t>
        </is>
      </c>
      <c r="G150" s="6" t="inlineStr">
        <is>
          <t>Henry</t>
        </is>
      </c>
      <c r="H150" s="6" t="n">
        <v>1</v>
      </c>
      <c r="I150" s="6" t="inlineStr">
        <is>
          <t>To Do</t>
        </is>
      </c>
      <c r="J150" s="6" t="inlineStr">
        <is>
          <t>24/10</t>
        </is>
      </c>
      <c r="K150" s="7" t="inlineStr"/>
      <c r="L150" s="7" t="inlineStr">
        <is>
          <t>T-144</t>
        </is>
      </c>
    </row>
    <row r="151">
      <c r="B151" s="6" t="inlineStr">
        <is>
          <t>T-146</t>
        </is>
      </c>
      <c r="C151" s="6" t="inlineStr">
        <is>
          <t>HU-32</t>
        </is>
      </c>
      <c r="D151" s="7" t="inlineStr">
        <is>
          <t>Registrar compras</t>
        </is>
      </c>
      <c r="E151" s="6" t="inlineStr">
        <is>
          <t>Base de datos</t>
        </is>
      </c>
      <c r="F151" s="7" t="inlineStr">
        <is>
          <t>Implementar las tablas asociadas a HU-32: compra, compra_detalle</t>
        </is>
      </c>
      <c r="G151" s="6" t="inlineStr">
        <is>
          <t>Adiel</t>
        </is>
      </c>
      <c r="H151" s="6" t="n">
        <v>1</v>
      </c>
      <c r="I151" s="6" t="inlineStr">
        <is>
          <t>Done</t>
        </is>
      </c>
      <c r="J151" s="6" t="inlineStr">
        <is>
          <t>24/10</t>
        </is>
      </c>
      <c r="K151" s="7" t="inlineStr">
        <is>
          <t>migraciones 0001–0006 de la API</t>
        </is>
      </c>
      <c r="L151" s="7" t="inlineStr"/>
    </row>
    <row r="152">
      <c r="B152" s="6" t="inlineStr">
        <is>
          <t>T-147</t>
        </is>
      </c>
      <c r="C152" s="6" t="inlineStr">
        <is>
          <t>HU-32</t>
        </is>
      </c>
      <c r="D152" s="7" t="inlineStr">
        <is>
          <t>Registrar compras</t>
        </is>
      </c>
      <c r="E152" s="6" t="inlineStr">
        <is>
          <t>Backend</t>
        </is>
      </c>
      <c r="F152" s="7" t="inlineStr">
        <is>
          <t>Programar el back-end de HU-32 (entidad, repositorio, servicio y controlador): el registro de compra: comprobante único, base, IGV y total, sin mover stock</t>
        </is>
      </c>
      <c r="G152" s="6" t="inlineStr">
        <is>
          <t>Adiel</t>
        </is>
      </c>
      <c r="H152" s="6" t="n">
        <v>5</v>
      </c>
      <c r="I152" s="6" t="inlineStr">
        <is>
          <t>Done</t>
        </is>
      </c>
      <c r="J152" s="6" t="inlineStr">
        <is>
          <t>25/10</t>
        </is>
      </c>
      <c r="K152" s="7" t="inlineStr">
        <is>
          <t>hecho en la API de Adiel (PR #1 fusionado a main), con pruebas</t>
        </is>
      </c>
      <c r="L152" s="7" t="inlineStr"/>
    </row>
    <row r="153">
      <c r="B153" s="6" t="inlineStr">
        <is>
          <t>T-148</t>
        </is>
      </c>
      <c r="C153" s="6" t="inlineStr">
        <is>
          <t>HU-32</t>
        </is>
      </c>
      <c r="D153" s="7" t="inlineStr">
        <is>
          <t>Registrar compras</t>
        </is>
      </c>
      <c r="E153" s="6" t="inlineStr">
        <is>
          <t>Front-end web</t>
        </is>
      </c>
      <c r="F153" s="7" t="inlineStr">
        <is>
          <t>Programar la pantalla web de compras</t>
        </is>
      </c>
      <c r="G153" s="6" t="inlineStr">
        <is>
          <t>Fernando</t>
        </is>
      </c>
      <c r="H153" s="6" t="n">
        <v>5</v>
      </c>
      <c r="I153" s="6" t="inlineStr">
        <is>
          <t>Done</t>
        </is>
      </c>
      <c r="J153" s="6" t="inlineStr">
        <is>
          <t>26/10</t>
        </is>
      </c>
      <c r="K153" s="7" t="inlineStr">
        <is>
          <t>pantalla hecha con datos simulados; falta conectarla a la API real</t>
        </is>
      </c>
      <c r="L153" s="7" t="inlineStr"/>
    </row>
    <row r="154">
      <c r="B154" s="6" t="inlineStr">
        <is>
          <t>T-149</t>
        </is>
      </c>
      <c r="C154" s="6" t="inlineStr">
        <is>
          <t>HU-32</t>
        </is>
      </c>
      <c r="D154" s="7" t="inlineStr">
        <is>
          <t>Registrar compras</t>
        </is>
      </c>
      <c r="E154" s="6" t="inlineStr">
        <is>
          <t>Conexión API</t>
        </is>
      </c>
      <c r="F154" s="7" t="inlineStr">
        <is>
          <t>Conectar la pantalla de compras con la API real</t>
        </is>
      </c>
      <c r="G154" s="6" t="inlineStr">
        <is>
          <t>Henry</t>
        </is>
      </c>
      <c r="H154" s="6" t="n">
        <v>5</v>
      </c>
      <c r="I154" s="6" t="inlineStr">
        <is>
          <t>To Do</t>
        </is>
      </c>
      <c r="J154" s="6" t="inlineStr">
        <is>
          <t>26/10</t>
        </is>
      </c>
      <c r="K154" s="7" t="inlineStr"/>
      <c r="L154" s="7" t="inlineStr">
        <is>
          <t>T-147, T-148, T-234</t>
        </is>
      </c>
    </row>
    <row r="155">
      <c r="B155" s="6" t="inlineStr">
        <is>
          <t>T-150</t>
        </is>
      </c>
      <c r="C155" s="6" t="inlineStr">
        <is>
          <t>HU-32</t>
        </is>
      </c>
      <c r="D155" s="7" t="inlineStr">
        <is>
          <t>Registrar compras</t>
        </is>
      </c>
      <c r="E155" s="6" t="inlineStr">
        <is>
          <t>Pruebas</t>
        </is>
      </c>
      <c r="F155" s="7" t="inlineStr">
        <is>
          <t>Probar la funcionalidad de HU-32 (la API con Postman y la pantalla web) contra cada condición final y aprobar su PR</t>
        </is>
      </c>
      <c r="G155" s="6" t="inlineStr">
        <is>
          <t>Fernando</t>
        </is>
      </c>
      <c r="H155" s="6" t="n">
        <v>1</v>
      </c>
      <c r="I155" s="6" t="inlineStr">
        <is>
          <t>To Do</t>
        </is>
      </c>
      <c r="J155" s="6" t="inlineStr">
        <is>
          <t>27/10</t>
        </is>
      </c>
      <c r="K155" s="7" t="inlineStr">
        <is>
          <t>alguien distinto del autor (T1, T5, T8)</t>
        </is>
      </c>
      <c r="L155" s="7" t="inlineStr">
        <is>
          <t>T-146, T-147, T-148, T-149, T-233</t>
        </is>
      </c>
    </row>
    <row r="156">
      <c r="B156" s="8" t="inlineStr">
        <is>
          <t>T-151</t>
        </is>
      </c>
      <c r="C156" s="8" t="inlineStr">
        <is>
          <t>HU-32</t>
        </is>
      </c>
      <c r="D156" s="9" t="inlineStr">
        <is>
          <t>Registrar compras</t>
        </is>
      </c>
      <c r="E156" s="8" t="inlineStr">
        <is>
          <t>Aceptación</t>
        </is>
      </c>
      <c r="F156" s="9" t="inlineStr">
        <is>
          <t>Aceptar HU-32 como Product Owner desde la interfaz y moverla a Done</t>
        </is>
      </c>
      <c r="G156" s="8" t="inlineStr">
        <is>
          <t>Adiel</t>
        </is>
      </c>
      <c r="H156" s="8" t="n">
        <v>0.5</v>
      </c>
      <c r="I156" s="8" t="inlineStr">
        <is>
          <t>To Do</t>
        </is>
      </c>
      <c r="J156" s="8" t="inlineStr">
        <is>
          <t>27/10</t>
        </is>
      </c>
      <c r="K156" s="9" t="inlineStr">
        <is>
          <t>mueve la HU a Done</t>
        </is>
      </c>
      <c r="L156" s="9" t="inlineStr">
        <is>
          <t>T-150</t>
        </is>
      </c>
    </row>
    <row r="157">
      <c r="B157" s="6" t="inlineStr">
        <is>
          <t>T-152</t>
        </is>
      </c>
      <c r="C157" s="6" t="inlineStr">
        <is>
          <t>HU-35</t>
        </is>
      </c>
      <c r="D157" s="7" t="inlineStr">
        <is>
          <t>Recibir compras</t>
        </is>
      </c>
      <c r="E157" s="6" t="inlineStr">
        <is>
          <t>Diseño UI</t>
        </is>
      </c>
      <c r="F157" s="7" t="inlineStr">
        <is>
          <t>Diseñar la interfaz de usuario de HU-35: pantalla 14 · Recepción de compra</t>
        </is>
      </c>
      <c r="G157" s="6" t="inlineStr">
        <is>
          <t>Fernando</t>
        </is>
      </c>
      <c r="H157" s="6" t="n">
        <v>1</v>
      </c>
      <c r="I157" s="6" t="inlineStr">
        <is>
          <t>Done</t>
        </is>
      </c>
      <c r="J157" s="6" t="inlineStr">
        <is>
          <t>23/10</t>
        </is>
      </c>
      <c r="K157" s="7" t="inlineStr">
        <is>
          <t>mockup en el lienzo «SIGRO · Pantallas y diagramas del Sprint 1», WCAG AA</t>
        </is>
      </c>
      <c r="L157" s="7" t="inlineStr"/>
    </row>
    <row r="158">
      <c r="B158" s="6" t="inlineStr">
        <is>
          <t>T-153</t>
        </is>
      </c>
      <c r="C158" s="6" t="inlineStr">
        <is>
          <t>HU-35</t>
        </is>
      </c>
      <c r="D158" s="7" t="inlineStr">
        <is>
          <t>Recibir compras</t>
        </is>
      </c>
      <c r="E158" s="6" t="inlineStr">
        <is>
          <t>Modelado UML</t>
        </is>
      </c>
      <c r="F158" s="7" t="inlineStr">
        <is>
          <t>Modelar la funcionalidad de HU-35 con el diagrama UML de secuencia de la recepción y el costo promedio ponderado</t>
        </is>
      </c>
      <c r="G158" s="6" t="inlineStr">
        <is>
          <t>Fernando</t>
        </is>
      </c>
      <c r="H158" s="6" t="n">
        <v>1</v>
      </c>
      <c r="I158" s="6" t="inlineStr">
        <is>
          <t>Done</t>
        </is>
      </c>
      <c r="J158" s="6" t="inlineStr">
        <is>
          <t>24/10</t>
        </is>
      </c>
      <c r="K158" s="7" t="inlineStr">
        <is>
          <t>ya está en el lienzo</t>
        </is>
      </c>
      <c r="L158" s="7" t="inlineStr"/>
    </row>
    <row r="159">
      <c r="B159" s="6" t="inlineStr">
        <is>
          <t>T-154</t>
        </is>
      </c>
      <c r="C159" s="6" t="inlineStr">
        <is>
          <t>HU-35</t>
        </is>
      </c>
      <c r="D159" s="7" t="inlineStr">
        <is>
          <t>Recibir compras</t>
        </is>
      </c>
      <c r="E159" s="6" t="inlineStr">
        <is>
          <t>Base de datos</t>
        </is>
      </c>
      <c r="F159" s="7" t="inlineStr">
        <is>
          <t>Implementar las tablas asociadas a HU-35: recepcion, recepcion_detalle y su movimiento de ingreso</t>
        </is>
      </c>
      <c r="G159" s="6" t="inlineStr">
        <is>
          <t>Adiel</t>
        </is>
      </c>
      <c r="H159" s="6" t="n">
        <v>1</v>
      </c>
      <c r="I159" s="6" t="inlineStr">
        <is>
          <t>To Do</t>
        </is>
      </c>
      <c r="J159" s="6" t="inlineStr">
        <is>
          <t>24/10</t>
        </is>
      </c>
      <c r="K159" s="7" t="inlineStr"/>
      <c r="L159" s="7" t="inlineStr">
        <is>
          <t>T-153</t>
        </is>
      </c>
    </row>
    <row r="160">
      <c r="B160" s="6" t="inlineStr">
        <is>
          <t>T-155</t>
        </is>
      </c>
      <c r="C160" s="6" t="inlineStr">
        <is>
          <t>HU-35</t>
        </is>
      </c>
      <c r="D160" s="7" t="inlineStr">
        <is>
          <t>Recibir compras</t>
        </is>
      </c>
      <c r="E160" s="6" t="inlineStr">
        <is>
          <t>Backend</t>
        </is>
      </c>
      <c r="F160" s="7" t="inlineStr">
        <is>
          <t>Programar el back-end de HU-35 (entidad, repositorio, servicio y controlador): la recepción total o parcial que genera el ingreso al kárdex</t>
        </is>
      </c>
      <c r="G160" s="6" t="inlineStr">
        <is>
          <t>Adiel</t>
        </is>
      </c>
      <c r="H160" s="6" t="n">
        <v>4</v>
      </c>
      <c r="I160" s="6" t="inlineStr">
        <is>
          <t>To Do</t>
        </is>
      </c>
      <c r="J160" s="6" t="inlineStr">
        <is>
          <t>25/10</t>
        </is>
      </c>
      <c r="K160" s="7" t="inlineStr"/>
      <c r="L160" s="7" t="inlineStr">
        <is>
          <t>T-154</t>
        </is>
      </c>
    </row>
    <row r="161">
      <c r="B161" s="6" t="inlineStr">
        <is>
          <t>T-156</t>
        </is>
      </c>
      <c r="C161" s="6" t="inlineStr">
        <is>
          <t>HU-35</t>
        </is>
      </c>
      <c r="D161" s="7" t="inlineStr">
        <is>
          <t>Recibir compras</t>
        </is>
      </c>
      <c r="E161" s="6" t="inlineStr">
        <is>
          <t>Front-end web</t>
        </is>
      </c>
      <c r="F161" s="7" t="inlineStr">
        <is>
          <t>Programar el registro de recepción en la web (pedido, recibido, pendiente)</t>
        </is>
      </c>
      <c r="G161" s="6" t="inlineStr">
        <is>
          <t>Fernando</t>
        </is>
      </c>
      <c r="H161" s="6" t="n">
        <v>4</v>
      </c>
      <c r="I161" s="6" t="inlineStr">
        <is>
          <t>Done</t>
        </is>
      </c>
      <c r="J161" s="6" t="inlineStr">
        <is>
          <t>26/10</t>
        </is>
      </c>
      <c r="K161" s="7" t="inlineStr">
        <is>
          <t>pantalla hecha con datos simulados; falta conectarla a la API real</t>
        </is>
      </c>
      <c r="L161" s="7" t="inlineStr"/>
    </row>
    <row r="162">
      <c r="B162" s="6" t="inlineStr">
        <is>
          <t>T-157</t>
        </is>
      </c>
      <c r="C162" s="6" t="inlineStr">
        <is>
          <t>HU-35</t>
        </is>
      </c>
      <c r="D162" s="7" t="inlineStr">
        <is>
          <t>Recibir compras</t>
        </is>
      </c>
      <c r="E162" s="6" t="inlineStr">
        <is>
          <t>Front-end app</t>
        </is>
      </c>
      <c r="F162" s="7" t="inlineStr">
        <is>
          <t>Programar la recepción de compras en la app del almacenero</t>
        </is>
      </c>
      <c r="G162" s="6" t="inlineStr">
        <is>
          <t>Nicolás</t>
        </is>
      </c>
      <c r="H162" s="6" t="n">
        <v>4</v>
      </c>
      <c r="I162" s="6" t="inlineStr">
        <is>
          <t>To Do</t>
        </is>
      </c>
      <c r="J162" s="6" t="inlineStr">
        <is>
          <t>26/10</t>
        </is>
      </c>
      <c r="K162" s="7" t="inlineStr"/>
      <c r="L162" s="7" t="inlineStr">
        <is>
          <t>T-152, T-235</t>
        </is>
      </c>
    </row>
    <row r="163">
      <c r="B163" s="6" t="inlineStr">
        <is>
          <t>T-158</t>
        </is>
      </c>
      <c r="C163" s="6" t="inlineStr">
        <is>
          <t>HU-35</t>
        </is>
      </c>
      <c r="D163" s="7" t="inlineStr">
        <is>
          <t>Recibir compras</t>
        </is>
      </c>
      <c r="E163" s="6" t="inlineStr">
        <is>
          <t>Conexión API</t>
        </is>
      </c>
      <c r="F163" s="7" t="inlineStr">
        <is>
          <t>Conectar la recepción con la API real</t>
        </is>
      </c>
      <c r="G163" s="6" t="inlineStr">
        <is>
          <t>Henry</t>
        </is>
      </c>
      <c r="H163" s="6" t="n">
        <v>4</v>
      </c>
      <c r="I163" s="6" t="inlineStr">
        <is>
          <t>To Do</t>
        </is>
      </c>
      <c r="J163" s="6" t="inlineStr">
        <is>
          <t>26/10</t>
        </is>
      </c>
      <c r="K163" s="7" t="inlineStr"/>
      <c r="L163" s="7" t="inlineStr">
        <is>
          <t>T-155, T-156, T-234</t>
        </is>
      </c>
    </row>
    <row r="164">
      <c r="B164" s="6" t="inlineStr">
        <is>
          <t>T-159</t>
        </is>
      </c>
      <c r="C164" s="6" t="inlineStr">
        <is>
          <t>HU-35</t>
        </is>
      </c>
      <c r="D164" s="7" t="inlineStr">
        <is>
          <t>Recibir compras</t>
        </is>
      </c>
      <c r="E164" s="6" t="inlineStr">
        <is>
          <t>Pruebas</t>
        </is>
      </c>
      <c r="F164" s="7" t="inlineStr">
        <is>
          <t>Probar la funcionalidad de HU-35 (la API con Postman, la pantalla web y la app en modo avión y al volver la señal) contra cada condición final y aprobar su PR</t>
        </is>
      </c>
      <c r="G164" s="6" t="inlineStr">
        <is>
          <t>Fernando</t>
        </is>
      </c>
      <c r="H164" s="6" t="n">
        <v>1</v>
      </c>
      <c r="I164" s="6" t="inlineStr">
        <is>
          <t>To Do</t>
        </is>
      </c>
      <c r="J164" s="6" t="inlineStr">
        <is>
          <t>27/10</t>
        </is>
      </c>
      <c r="K164" s="7" t="inlineStr">
        <is>
          <t>alguien distinto del autor (T1, T5, T8)</t>
        </is>
      </c>
      <c r="L164" s="7" t="inlineStr">
        <is>
          <t>T-154, T-155, T-156, T-157, T-158, T-233</t>
        </is>
      </c>
    </row>
    <row r="165">
      <c r="B165" s="8" t="inlineStr">
        <is>
          <t>T-160</t>
        </is>
      </c>
      <c r="C165" s="8" t="inlineStr">
        <is>
          <t>HU-35</t>
        </is>
      </c>
      <c r="D165" s="9" t="inlineStr">
        <is>
          <t>Recibir compras</t>
        </is>
      </c>
      <c r="E165" s="8" t="inlineStr">
        <is>
          <t>Aceptación</t>
        </is>
      </c>
      <c r="F165" s="9" t="inlineStr">
        <is>
          <t>Aceptar HU-35 como Product Owner desde la interfaz y moverla a Done</t>
        </is>
      </c>
      <c r="G165" s="8" t="inlineStr">
        <is>
          <t>Adiel</t>
        </is>
      </c>
      <c r="H165" s="8" t="n">
        <v>0.5</v>
      </c>
      <c r="I165" s="8" t="inlineStr">
        <is>
          <t>To Do</t>
        </is>
      </c>
      <c r="J165" s="8" t="inlineStr">
        <is>
          <t>27/10</t>
        </is>
      </c>
      <c r="K165" s="9" t="inlineStr">
        <is>
          <t>mueve la HU a Done</t>
        </is>
      </c>
      <c r="L165" s="9" t="inlineStr">
        <is>
          <t>T-159</t>
        </is>
      </c>
    </row>
    <row r="166">
      <c r="B166" s="6" t="inlineStr">
        <is>
          <t>T-161</t>
        </is>
      </c>
      <c r="C166" s="6" t="inlineStr">
        <is>
          <t>HU-37</t>
        </is>
      </c>
      <c r="D166" s="7" t="inlineStr">
        <is>
          <t>Registrar sin señal</t>
        </is>
      </c>
      <c r="E166" s="6" t="inlineStr">
        <is>
          <t>Diseño UI</t>
        </is>
      </c>
      <c r="F166" s="7" t="inlineStr">
        <is>
          <t>Diseñar la interfaz de usuario de HU-37: pantalla 3 · Salida y 4 · Ingreso (banda sin señal)</t>
        </is>
      </c>
      <c r="G166" s="6" t="inlineStr">
        <is>
          <t>Fernando</t>
        </is>
      </c>
      <c r="H166" s="6" t="n">
        <v>1</v>
      </c>
      <c r="I166" s="6" t="inlineStr">
        <is>
          <t>Done</t>
        </is>
      </c>
      <c r="J166" s="6" t="inlineStr">
        <is>
          <t>23/10</t>
        </is>
      </c>
      <c r="K166" s="7" t="inlineStr">
        <is>
          <t>mockup en el lienzo «SIGRO · Pantallas y diagramas del Sprint 1», WCAG AA</t>
        </is>
      </c>
      <c r="L166" s="7" t="inlineStr"/>
    </row>
    <row r="167">
      <c r="B167" s="6" t="inlineStr">
        <is>
          <t>T-162</t>
        </is>
      </c>
      <c r="C167" s="6" t="inlineStr">
        <is>
          <t>HU-37</t>
        </is>
      </c>
      <c r="D167" s="7" t="inlineStr">
        <is>
          <t>Registrar sin señal</t>
        </is>
      </c>
      <c r="E167" s="6" t="inlineStr">
        <is>
          <t>Modelado UML</t>
        </is>
      </c>
      <c r="F167" s="7" t="inlineStr">
        <is>
          <t>Modelar la funcionalidad de HU-37 con el diagrama UML de secuencia de la salida sin señal y su sincronización</t>
        </is>
      </c>
      <c r="G167" s="6" t="inlineStr">
        <is>
          <t>Fernando</t>
        </is>
      </c>
      <c r="H167" s="6" t="n">
        <v>1</v>
      </c>
      <c r="I167" s="6" t="inlineStr">
        <is>
          <t>Done</t>
        </is>
      </c>
      <c r="J167" s="6" t="inlineStr">
        <is>
          <t>24/10</t>
        </is>
      </c>
      <c r="K167" s="7" t="inlineStr">
        <is>
          <t>ya está en el lienzo</t>
        </is>
      </c>
      <c r="L167" s="7" t="inlineStr"/>
    </row>
    <row r="168">
      <c r="B168" s="6" t="inlineStr">
        <is>
          <t>T-163</t>
        </is>
      </c>
      <c r="C168" s="6" t="inlineStr">
        <is>
          <t>HU-37</t>
        </is>
      </c>
      <c r="D168" s="7" t="inlineStr">
        <is>
          <t>Registrar sin señal</t>
        </is>
      </c>
      <c r="E168" s="6" t="inlineStr">
        <is>
          <t>Base de datos</t>
        </is>
      </c>
      <c r="F168" s="7" t="inlineStr">
        <is>
          <t>Implementar las tablas asociadas a HU-37: cola local en Room (movimiento_pendiente) en el celular</t>
        </is>
      </c>
      <c r="G168" s="6" t="inlineStr">
        <is>
          <t>Nicolás</t>
        </is>
      </c>
      <c r="H168" s="6" t="n">
        <v>1</v>
      </c>
      <c r="I168" s="6" t="inlineStr">
        <is>
          <t>To Do</t>
        </is>
      </c>
      <c r="J168" s="6" t="inlineStr">
        <is>
          <t>24/10</t>
        </is>
      </c>
      <c r="K168" s="7" t="inlineStr"/>
      <c r="L168" s="7" t="inlineStr">
        <is>
          <t>T-162</t>
        </is>
      </c>
    </row>
    <row r="169">
      <c r="B169" s="6" t="inlineStr">
        <is>
          <t>T-164</t>
        </is>
      </c>
      <c r="C169" s="6" t="inlineStr">
        <is>
          <t>HU-37</t>
        </is>
      </c>
      <c r="D169" s="7" t="inlineStr">
        <is>
          <t>Registrar sin señal</t>
        </is>
      </c>
      <c r="E169" s="6" t="inlineStr">
        <is>
          <t>Front-end app</t>
        </is>
      </c>
      <c r="F169" s="7" t="inlineStr">
        <is>
          <t>Programar la cola local (Room) con uuid_cliente y hora del celular, y mostrar «pendiente de enviar» en cada movimiento</t>
        </is>
      </c>
      <c r="G169" s="6" t="inlineStr">
        <is>
          <t>Nicolás</t>
        </is>
      </c>
      <c r="H169" s="6" t="n">
        <v>14</v>
      </c>
      <c r="I169" s="6" t="inlineStr">
        <is>
          <t>To Do</t>
        </is>
      </c>
      <c r="J169" s="6" t="inlineStr">
        <is>
          <t>26/10</t>
        </is>
      </c>
      <c r="K169" s="7" t="inlineStr"/>
      <c r="L169" s="7" t="inlineStr">
        <is>
          <t>T-161, T-235</t>
        </is>
      </c>
    </row>
    <row r="170">
      <c r="B170" s="6" t="inlineStr">
        <is>
          <t>T-165</t>
        </is>
      </c>
      <c r="C170" s="6" t="inlineStr">
        <is>
          <t>HU-37</t>
        </is>
      </c>
      <c r="D170" s="7" t="inlineStr">
        <is>
          <t>Registrar sin señal</t>
        </is>
      </c>
      <c r="E170" s="6" t="inlineStr">
        <is>
          <t>Pruebas</t>
        </is>
      </c>
      <c r="F170" s="7" t="inlineStr">
        <is>
          <t>Probar la funcionalidad de HU-37 (la app en modo avión y al volver la señal) contra cada condición final y aprobar su PR</t>
        </is>
      </c>
      <c r="G170" s="6" t="inlineStr">
        <is>
          <t>Henry</t>
        </is>
      </c>
      <c r="H170" s="6" t="n">
        <v>1</v>
      </c>
      <c r="I170" s="6" t="inlineStr">
        <is>
          <t>To Do</t>
        </is>
      </c>
      <c r="J170" s="6" t="inlineStr">
        <is>
          <t>27/10</t>
        </is>
      </c>
      <c r="K170" s="7" t="inlineStr">
        <is>
          <t>alguien distinto del autor (T1, T5, T8)</t>
        </is>
      </c>
      <c r="L170" s="7" t="inlineStr">
        <is>
          <t>T-163, T-164, T-233</t>
        </is>
      </c>
    </row>
    <row r="171">
      <c r="B171" s="8" t="inlineStr">
        <is>
          <t>T-166</t>
        </is>
      </c>
      <c r="C171" s="8" t="inlineStr">
        <is>
          <t>HU-37</t>
        </is>
      </c>
      <c r="D171" s="9" t="inlineStr">
        <is>
          <t>Registrar sin señal</t>
        </is>
      </c>
      <c r="E171" s="8" t="inlineStr">
        <is>
          <t>Aceptación</t>
        </is>
      </c>
      <c r="F171" s="9" t="inlineStr">
        <is>
          <t>Aceptar HU-37 como Product Owner desde la interfaz y moverla a Done</t>
        </is>
      </c>
      <c r="G171" s="8" t="inlineStr">
        <is>
          <t>Adiel</t>
        </is>
      </c>
      <c r="H171" s="8" t="n">
        <v>0.5</v>
      </c>
      <c r="I171" s="8" t="inlineStr">
        <is>
          <t>To Do</t>
        </is>
      </c>
      <c r="J171" s="8" t="inlineStr">
        <is>
          <t>27/10</t>
        </is>
      </c>
      <c r="K171" s="9" t="inlineStr">
        <is>
          <t>mueve la HU a Done</t>
        </is>
      </c>
      <c r="L171" s="9" t="inlineStr">
        <is>
          <t>T-165</t>
        </is>
      </c>
    </row>
    <row r="172">
      <c r="B172" s="6" t="inlineStr">
        <is>
          <t>T-167</t>
        </is>
      </c>
      <c r="C172" s="6" t="inlineStr">
        <is>
          <t>HU-38</t>
        </is>
      </c>
      <c r="D172" s="7" t="inlineStr">
        <is>
          <t>Sincronizar pendientes</t>
        </is>
      </c>
      <c r="E172" s="6" t="inlineStr">
        <is>
          <t>Diseño UI</t>
        </is>
      </c>
      <c r="F172" s="7" t="inlineStr">
        <is>
          <t>Diseñar la interfaz de usuario de HU-38: pantalla 8b · Envíos pendientes y 2 · Mis obras</t>
        </is>
      </c>
      <c r="G172" s="6" t="inlineStr">
        <is>
          <t>Fernando</t>
        </is>
      </c>
      <c r="H172" s="6" t="n">
        <v>1</v>
      </c>
      <c r="I172" s="6" t="inlineStr">
        <is>
          <t>Done</t>
        </is>
      </c>
      <c r="J172" s="6" t="inlineStr">
        <is>
          <t>23/10</t>
        </is>
      </c>
      <c r="K172" s="7" t="inlineStr">
        <is>
          <t>mockup en el lienzo «SIGRO · Pantallas y diagramas del Sprint 1», WCAG AA</t>
        </is>
      </c>
      <c r="L172" s="7" t="inlineStr"/>
    </row>
    <row r="173">
      <c r="B173" s="6" t="inlineStr">
        <is>
          <t>T-168</t>
        </is>
      </c>
      <c r="C173" s="6" t="inlineStr">
        <is>
          <t>HU-38</t>
        </is>
      </c>
      <c r="D173" s="7" t="inlineStr">
        <is>
          <t>Sincronizar pendientes</t>
        </is>
      </c>
      <c r="E173" s="6" t="inlineStr">
        <is>
          <t>Modelado UML</t>
        </is>
      </c>
      <c r="F173" s="7" t="inlineStr">
        <is>
          <t>Modelar la funcionalidad de HU-38 con el diagrama UML de secuencia de la salida sin señal y su sincronización</t>
        </is>
      </c>
      <c r="G173" s="6" t="inlineStr">
        <is>
          <t>Fernando</t>
        </is>
      </c>
      <c r="H173" s="6" t="n">
        <v>1</v>
      </c>
      <c r="I173" s="6" t="inlineStr">
        <is>
          <t>Done</t>
        </is>
      </c>
      <c r="J173" s="6" t="inlineStr">
        <is>
          <t>24/10</t>
        </is>
      </c>
      <c r="K173" s="7" t="inlineStr">
        <is>
          <t>ya está en el lienzo</t>
        </is>
      </c>
      <c r="L173" s="7" t="inlineStr"/>
    </row>
    <row r="174">
      <c r="B174" s="6" t="inlineStr">
        <is>
          <t>T-169</t>
        </is>
      </c>
      <c r="C174" s="6" t="inlineStr">
        <is>
          <t>HU-38</t>
        </is>
      </c>
      <c r="D174" s="7" t="inlineStr">
        <is>
          <t>Sincronizar pendientes</t>
        </is>
      </c>
      <c r="E174" s="6" t="inlineStr">
        <is>
          <t>Base de datos</t>
        </is>
      </c>
      <c r="F174" s="7" t="inlineStr">
        <is>
          <t>Implementar las tablas asociadas a HU-38: movimiento.uuid_cliente UNIQUE</t>
        </is>
      </c>
      <c r="G174" s="6" t="inlineStr">
        <is>
          <t>Adiel</t>
        </is>
      </c>
      <c r="H174" s="6" t="n">
        <v>1</v>
      </c>
      <c r="I174" s="6" t="inlineStr">
        <is>
          <t>To Do</t>
        </is>
      </c>
      <c r="J174" s="6" t="inlineStr">
        <is>
          <t>24/10</t>
        </is>
      </c>
      <c r="K174" s="7" t="inlineStr"/>
      <c r="L174" s="7" t="inlineStr">
        <is>
          <t>T-168</t>
        </is>
      </c>
    </row>
    <row r="175">
      <c r="B175" s="6" t="inlineStr">
        <is>
          <t>T-170</t>
        </is>
      </c>
      <c r="C175" s="6" t="inlineStr">
        <is>
          <t>HU-38</t>
        </is>
      </c>
      <c r="D175" s="7" t="inlineStr">
        <is>
          <t>Sincronizar pendientes</t>
        </is>
      </c>
      <c r="E175" s="6" t="inlineStr">
        <is>
          <t>Backend</t>
        </is>
      </c>
      <c r="F175" s="7" t="inlineStr">
        <is>
          <t>Programar el back-end de HU-38 (entidad, repositorio, servicio y controlador): la idempotencia por uuid_cliente y devolver el motivo del rechazo</t>
        </is>
      </c>
      <c r="G175" s="6" t="inlineStr">
        <is>
          <t>Adiel</t>
        </is>
      </c>
      <c r="H175" s="6" t="n">
        <v>4</v>
      </c>
      <c r="I175" s="6" t="inlineStr">
        <is>
          <t>To Do</t>
        </is>
      </c>
      <c r="J175" s="6" t="inlineStr">
        <is>
          <t>25/10</t>
        </is>
      </c>
      <c r="K175" s="7" t="inlineStr"/>
      <c r="L175" s="7" t="inlineStr">
        <is>
          <t>T-169</t>
        </is>
      </c>
    </row>
    <row r="176">
      <c r="B176" s="6" t="inlineStr">
        <is>
          <t>T-171</t>
        </is>
      </c>
      <c r="C176" s="6" t="inlineStr">
        <is>
          <t>HU-38</t>
        </is>
      </c>
      <c r="D176" s="7" t="inlineStr">
        <is>
          <t>Sincronizar pendientes</t>
        </is>
      </c>
      <c r="E176" s="6" t="inlineStr">
        <is>
          <t>Triggers y funciones</t>
        </is>
      </c>
      <c r="F176" s="7" t="inlineStr">
        <is>
          <t>Implementar el índice único de uuid_cliente que vuelve idempotente el reenvío (HU-38)</t>
        </is>
      </c>
      <c r="G176" s="6" t="inlineStr">
        <is>
          <t>Adiel</t>
        </is>
      </c>
      <c r="H176" s="6" t="n">
        <v>1</v>
      </c>
      <c r="I176" s="6" t="inlineStr">
        <is>
          <t>To Do</t>
        </is>
      </c>
      <c r="J176" s="6" t="inlineStr">
        <is>
          <t>25/10</t>
        </is>
      </c>
      <c r="K176" s="7" t="inlineStr"/>
      <c r="L176" s="7" t="inlineStr">
        <is>
          <t>T-169</t>
        </is>
      </c>
    </row>
    <row r="177">
      <c r="B177" s="6" t="inlineStr">
        <is>
          <t>T-172</t>
        </is>
      </c>
      <c r="C177" s="6" t="inlineStr">
        <is>
          <t>HU-38</t>
        </is>
      </c>
      <c r="D177" s="7" t="inlineStr">
        <is>
          <t>Sincronizar pendientes</t>
        </is>
      </c>
      <c r="E177" s="6" t="inlineStr">
        <is>
          <t>Front-end app</t>
        </is>
      </c>
      <c r="F177" s="7" t="inlineStr">
        <is>
          <t>Programar el envío automático de pendientes al volver la señal (WorkManager)</t>
        </is>
      </c>
      <c r="G177" s="6" t="inlineStr">
        <is>
          <t>Nicolás</t>
        </is>
      </c>
      <c r="H177" s="6" t="n">
        <v>4</v>
      </c>
      <c r="I177" s="6" t="inlineStr">
        <is>
          <t>To Do</t>
        </is>
      </c>
      <c r="J177" s="6" t="inlineStr">
        <is>
          <t>26/10</t>
        </is>
      </c>
      <c r="K177" s="7" t="inlineStr"/>
      <c r="L177" s="7" t="inlineStr">
        <is>
          <t>T-167, T-235</t>
        </is>
      </c>
    </row>
    <row r="178">
      <c r="B178" s="6" t="inlineStr">
        <is>
          <t>T-173</t>
        </is>
      </c>
      <c r="C178" s="6" t="inlineStr">
        <is>
          <t>HU-38</t>
        </is>
      </c>
      <c r="D178" s="7" t="inlineStr">
        <is>
          <t>Sincronizar pendientes</t>
        </is>
      </c>
      <c r="E178" s="6" t="inlineStr">
        <is>
          <t>Pruebas</t>
        </is>
      </c>
      <c r="F178" s="7" t="inlineStr">
        <is>
          <t>Probar la funcionalidad de HU-38 (la API con Postman y la app en modo avión y al volver la señal) contra cada condición final y aprobar su PR</t>
        </is>
      </c>
      <c r="G178" s="6" t="inlineStr">
        <is>
          <t>Henry</t>
        </is>
      </c>
      <c r="H178" s="6" t="n">
        <v>1</v>
      </c>
      <c r="I178" s="6" t="inlineStr">
        <is>
          <t>To Do</t>
        </is>
      </c>
      <c r="J178" s="6" t="inlineStr">
        <is>
          <t>27/10</t>
        </is>
      </c>
      <c r="K178" s="7" t="inlineStr">
        <is>
          <t>alguien distinto del autor (T1, T5, T8)</t>
        </is>
      </c>
      <c r="L178" s="7" t="inlineStr">
        <is>
          <t>T-169, T-170, T-171, T-172, T-233</t>
        </is>
      </c>
    </row>
    <row r="179">
      <c r="B179" s="8" t="inlineStr">
        <is>
          <t>T-174</t>
        </is>
      </c>
      <c r="C179" s="8" t="inlineStr">
        <is>
          <t>HU-38</t>
        </is>
      </c>
      <c r="D179" s="9" t="inlineStr">
        <is>
          <t>Sincronizar pendientes</t>
        </is>
      </c>
      <c r="E179" s="8" t="inlineStr">
        <is>
          <t>Aceptación</t>
        </is>
      </c>
      <c r="F179" s="9" t="inlineStr">
        <is>
          <t>Aceptar HU-38 como Product Owner desde la interfaz y moverla a Done</t>
        </is>
      </c>
      <c r="G179" s="8" t="inlineStr">
        <is>
          <t>Adiel</t>
        </is>
      </c>
      <c r="H179" s="8" t="n">
        <v>0.5</v>
      </c>
      <c r="I179" s="8" t="inlineStr">
        <is>
          <t>To Do</t>
        </is>
      </c>
      <c r="J179" s="8" t="inlineStr">
        <is>
          <t>27/10</t>
        </is>
      </c>
      <c r="K179" s="9" t="inlineStr">
        <is>
          <t>mueve la HU a Done</t>
        </is>
      </c>
      <c r="L179" s="9" t="inlineStr">
        <is>
          <t>T-173</t>
        </is>
      </c>
    </row>
    <row r="180">
      <c r="B180" s="6" t="inlineStr">
        <is>
          <t>T-175</t>
        </is>
      </c>
      <c r="C180" s="6" t="inlineStr">
        <is>
          <t>HU-40</t>
        </is>
      </c>
      <c r="D180" s="7" t="inlineStr">
        <is>
          <t>Registrar salidas de material</t>
        </is>
      </c>
      <c r="E180" s="6" t="inlineStr">
        <is>
          <t>Diseño UI</t>
        </is>
      </c>
      <c r="F180" s="7" t="inlineStr">
        <is>
          <t>Diseñar la interfaz de usuario de HU-40: pantalla 3 · Registrar salida</t>
        </is>
      </c>
      <c r="G180" s="6" t="inlineStr">
        <is>
          <t>Fernando</t>
        </is>
      </c>
      <c r="H180" s="6" t="n">
        <v>1</v>
      </c>
      <c r="I180" s="6" t="inlineStr">
        <is>
          <t>Done</t>
        </is>
      </c>
      <c r="J180" s="6" t="inlineStr">
        <is>
          <t>23/10</t>
        </is>
      </c>
      <c r="K180" s="7" t="inlineStr">
        <is>
          <t>mockup en el lienzo «SIGRO · Pantallas y diagramas del Sprint 1», WCAG AA</t>
        </is>
      </c>
      <c r="L180" s="7" t="inlineStr"/>
    </row>
    <row r="181">
      <c r="B181" s="6" t="inlineStr">
        <is>
          <t>T-176</t>
        </is>
      </c>
      <c r="C181" s="6" t="inlineStr">
        <is>
          <t>HU-40</t>
        </is>
      </c>
      <c r="D181" s="7" t="inlineStr">
        <is>
          <t>Registrar salidas de material</t>
        </is>
      </c>
      <c r="E181" s="6" t="inlineStr">
        <is>
          <t>Modelado UML</t>
        </is>
      </c>
      <c r="F181" s="7" t="inlineStr">
        <is>
          <t>Modelar la funcionalidad de HU-40 con el diagrama UML de secuencia de la salida sin señal y su sincronización</t>
        </is>
      </c>
      <c r="G181" s="6" t="inlineStr">
        <is>
          <t>Fernando</t>
        </is>
      </c>
      <c r="H181" s="6" t="n">
        <v>1</v>
      </c>
      <c r="I181" s="6" t="inlineStr">
        <is>
          <t>Done</t>
        </is>
      </c>
      <c r="J181" s="6" t="inlineStr">
        <is>
          <t>24/10</t>
        </is>
      </c>
      <c r="K181" s="7" t="inlineStr">
        <is>
          <t>ya está en el lienzo</t>
        </is>
      </c>
      <c r="L181" s="7" t="inlineStr"/>
    </row>
    <row r="182">
      <c r="B182" s="6" t="inlineStr">
        <is>
          <t>T-177</t>
        </is>
      </c>
      <c r="C182" s="6" t="inlineStr">
        <is>
          <t>HU-40</t>
        </is>
      </c>
      <c r="D182" s="7" t="inlineStr">
        <is>
          <t>Registrar salidas de material</t>
        </is>
      </c>
      <c r="E182" s="6" t="inlineStr">
        <is>
          <t>Base de datos</t>
        </is>
      </c>
      <c r="F182" s="7" t="inlineStr">
        <is>
          <t>Implementar las tablas asociadas a HU-40: movimiento (append-only, costo_unitario congelado)</t>
        </is>
      </c>
      <c r="G182" s="6" t="inlineStr">
        <is>
          <t>Adiel</t>
        </is>
      </c>
      <c r="H182" s="6" t="n">
        <v>1</v>
      </c>
      <c r="I182" s="6" t="inlineStr">
        <is>
          <t>To Do</t>
        </is>
      </c>
      <c r="J182" s="6" t="inlineStr">
        <is>
          <t>24/10</t>
        </is>
      </c>
      <c r="K182" s="7" t="inlineStr"/>
      <c r="L182" s="7" t="inlineStr">
        <is>
          <t>T-176</t>
        </is>
      </c>
    </row>
    <row r="183">
      <c r="B183" s="6" t="inlineStr">
        <is>
          <t>T-178</t>
        </is>
      </c>
      <c r="C183" s="6" t="inlineStr">
        <is>
          <t>HU-40</t>
        </is>
      </c>
      <c r="D183" s="7" t="inlineStr">
        <is>
          <t>Registrar salidas de material</t>
        </is>
      </c>
      <c r="E183" s="6" t="inlineStr">
        <is>
          <t>Backend</t>
        </is>
      </c>
      <c r="F183" s="7" t="inlineStr">
        <is>
          <t>Programar el back-end de HU-40 (entidad, repositorio, servicio y controlador): la salida: rechazar si supera el saldo y congelar el costo promedio</t>
        </is>
      </c>
      <c r="G183" s="6" t="inlineStr">
        <is>
          <t>Adiel</t>
        </is>
      </c>
      <c r="H183" s="6" t="n">
        <v>7</v>
      </c>
      <c r="I183" s="6" t="inlineStr">
        <is>
          <t>To Do</t>
        </is>
      </c>
      <c r="J183" s="6" t="inlineStr">
        <is>
          <t>25/10</t>
        </is>
      </c>
      <c r="K183" s="7" t="inlineStr"/>
      <c r="L183" s="7" t="inlineStr">
        <is>
          <t>T-177</t>
        </is>
      </c>
    </row>
    <row r="184">
      <c r="B184" s="6" t="inlineStr">
        <is>
          <t>T-179</t>
        </is>
      </c>
      <c r="C184" s="6" t="inlineStr">
        <is>
          <t>HU-40</t>
        </is>
      </c>
      <c r="D184" s="7" t="inlineStr">
        <is>
          <t>Registrar salidas de material</t>
        </is>
      </c>
      <c r="E184" s="6" t="inlineStr">
        <is>
          <t>Triggers y funciones</t>
        </is>
      </c>
      <c r="F184" s="7" t="inlineStr">
        <is>
          <t>Implementar el trigger que impide UPDATE y DELETE en movimiento y el que rechaza fechas fuera del plazo (HU-40)</t>
        </is>
      </c>
      <c r="G184" s="6" t="inlineStr">
        <is>
          <t>Adiel</t>
        </is>
      </c>
      <c r="H184" s="6" t="n">
        <v>1</v>
      </c>
      <c r="I184" s="6" t="inlineStr">
        <is>
          <t>To Do</t>
        </is>
      </c>
      <c r="J184" s="6" t="inlineStr">
        <is>
          <t>25/10</t>
        </is>
      </c>
      <c r="K184" s="7" t="inlineStr"/>
      <c r="L184" s="7" t="inlineStr">
        <is>
          <t>T-177</t>
        </is>
      </c>
    </row>
    <row r="185">
      <c r="B185" s="6" t="inlineStr">
        <is>
          <t>T-180</t>
        </is>
      </c>
      <c r="C185" s="6" t="inlineStr">
        <is>
          <t>HU-40</t>
        </is>
      </c>
      <c r="D185" s="7" t="inlineStr">
        <is>
          <t>Registrar salidas de material</t>
        </is>
      </c>
      <c r="E185" s="6" t="inlineStr">
        <is>
          <t>Front-end app</t>
        </is>
      </c>
      <c r="F185" s="7" t="inlineStr">
        <is>
          <t>Programar la pantalla de salida en la app (insumo, cantidad, motivo, quién retira)</t>
        </is>
      </c>
      <c r="G185" s="6" t="inlineStr">
        <is>
          <t>Nicolás</t>
        </is>
      </c>
      <c r="H185" s="6" t="n">
        <v>7</v>
      </c>
      <c r="I185" s="6" t="inlineStr">
        <is>
          <t>To Do</t>
        </is>
      </c>
      <c r="J185" s="6" t="inlineStr">
        <is>
          <t>26/10</t>
        </is>
      </c>
      <c r="K185" s="7" t="inlineStr"/>
      <c r="L185" s="7" t="inlineStr">
        <is>
          <t>T-175, T-235</t>
        </is>
      </c>
    </row>
    <row r="186">
      <c r="B186" s="6" t="inlineStr">
        <is>
          <t>T-181</t>
        </is>
      </c>
      <c r="C186" s="6" t="inlineStr">
        <is>
          <t>HU-40</t>
        </is>
      </c>
      <c r="D186" s="7" t="inlineStr">
        <is>
          <t>Registrar salidas de material</t>
        </is>
      </c>
      <c r="E186" s="6" t="inlineStr">
        <is>
          <t>Pruebas</t>
        </is>
      </c>
      <c r="F186" s="7" t="inlineStr">
        <is>
          <t>Probar la funcionalidad de HU-40 (la API con Postman y la app en modo avión y al volver la señal) contra cada condición final y aprobar su PR</t>
        </is>
      </c>
      <c r="G186" s="6" t="inlineStr">
        <is>
          <t>Henry</t>
        </is>
      </c>
      <c r="H186" s="6" t="n">
        <v>1</v>
      </c>
      <c r="I186" s="6" t="inlineStr">
        <is>
          <t>To Do</t>
        </is>
      </c>
      <c r="J186" s="6" t="inlineStr">
        <is>
          <t>27/10</t>
        </is>
      </c>
      <c r="K186" s="7" t="inlineStr">
        <is>
          <t>alguien distinto del autor (T1, T5, T8)</t>
        </is>
      </c>
      <c r="L186" s="7" t="inlineStr">
        <is>
          <t>T-177, T-178, T-179, T-180, T-233</t>
        </is>
      </c>
    </row>
    <row r="187">
      <c r="B187" s="8" t="inlineStr">
        <is>
          <t>T-182</t>
        </is>
      </c>
      <c r="C187" s="8" t="inlineStr">
        <is>
          <t>HU-40</t>
        </is>
      </c>
      <c r="D187" s="9" t="inlineStr">
        <is>
          <t>Registrar salidas de material</t>
        </is>
      </c>
      <c r="E187" s="8" t="inlineStr">
        <is>
          <t>Aceptación</t>
        </is>
      </c>
      <c r="F187" s="9" t="inlineStr">
        <is>
          <t>Aceptar HU-40 como Product Owner desde la interfaz y moverla a Done</t>
        </is>
      </c>
      <c r="G187" s="8" t="inlineStr">
        <is>
          <t>Adiel</t>
        </is>
      </c>
      <c r="H187" s="8" t="n">
        <v>0.5</v>
      </c>
      <c r="I187" s="8" t="inlineStr">
        <is>
          <t>To Do</t>
        </is>
      </c>
      <c r="J187" s="8" t="inlineStr">
        <is>
          <t>27/10</t>
        </is>
      </c>
      <c r="K187" s="9" t="inlineStr">
        <is>
          <t>mueve la HU a Done</t>
        </is>
      </c>
      <c r="L187" s="9" t="inlineStr">
        <is>
          <t>T-181</t>
        </is>
      </c>
    </row>
    <row r="188">
      <c r="B188" s="6" t="inlineStr">
        <is>
          <t>T-183</t>
        </is>
      </c>
      <c r="C188" s="6" t="inlineStr">
        <is>
          <t>HU-43</t>
        </is>
      </c>
      <c r="D188" s="7" t="inlineStr">
        <is>
          <t>Consultar stock</t>
        </is>
      </c>
      <c r="E188" s="6" t="inlineStr">
        <is>
          <t>Diseño UI</t>
        </is>
      </c>
      <c r="F188" s="7" t="inlineStr">
        <is>
          <t>Diseñar la interfaz de usuario de HU-43: pantalla 5 · Consultar stock y 15 · Kárdex</t>
        </is>
      </c>
      <c r="G188" s="6" t="inlineStr">
        <is>
          <t>Fernando</t>
        </is>
      </c>
      <c r="H188" s="6" t="n">
        <v>1</v>
      </c>
      <c r="I188" s="6" t="inlineStr">
        <is>
          <t>Done</t>
        </is>
      </c>
      <c r="J188" s="6" t="inlineStr">
        <is>
          <t>23/10</t>
        </is>
      </c>
      <c r="K188" s="7" t="inlineStr">
        <is>
          <t>mockup en el lienzo «SIGRO · Pantallas y diagramas del Sprint 1», WCAG AA</t>
        </is>
      </c>
      <c r="L188" s="7" t="inlineStr"/>
    </row>
    <row r="189">
      <c r="B189" s="6" t="inlineStr">
        <is>
          <t>T-184</t>
        </is>
      </c>
      <c r="C189" s="6" t="inlineStr">
        <is>
          <t>HU-43</t>
        </is>
      </c>
      <c r="D189" s="7" t="inlineStr">
        <is>
          <t>Consultar stock</t>
        </is>
      </c>
      <c r="E189" s="6" t="inlineStr">
        <is>
          <t>Modelado UML</t>
        </is>
      </c>
      <c r="F189" s="7" t="inlineStr">
        <is>
          <t>Modelar la funcionalidad de HU-43 con el diagrama UML de secuencia del cálculo del stock desde el libro</t>
        </is>
      </c>
      <c r="G189" s="6" t="inlineStr">
        <is>
          <t>Nicolás</t>
        </is>
      </c>
      <c r="H189" s="6" t="n">
        <v>1</v>
      </c>
      <c r="I189" s="6" t="inlineStr">
        <is>
          <t>To Do</t>
        </is>
      </c>
      <c r="J189" s="6" t="inlineStr">
        <is>
          <t>24/10</t>
        </is>
      </c>
      <c r="K189" s="7" t="inlineStr"/>
      <c r="L189" s="7" t="inlineStr">
        <is>
          <t>T-183</t>
        </is>
      </c>
    </row>
    <row r="190">
      <c r="B190" s="6" t="inlineStr">
        <is>
          <t>T-185</t>
        </is>
      </c>
      <c r="C190" s="6" t="inlineStr">
        <is>
          <t>HU-43</t>
        </is>
      </c>
      <c r="D190" s="7" t="inlineStr">
        <is>
          <t>Consultar stock</t>
        </is>
      </c>
      <c r="E190" s="6" t="inlineStr">
        <is>
          <t>Base de datos</t>
        </is>
      </c>
      <c r="F190" s="7" t="inlineStr">
        <is>
          <t>Implementar las tablas asociadas a HU-43: vista de saldo derivada de movimiento</t>
        </is>
      </c>
      <c r="G190" s="6" t="inlineStr">
        <is>
          <t>Adiel</t>
        </is>
      </c>
      <c r="H190" s="6" t="n">
        <v>1</v>
      </c>
      <c r="I190" s="6" t="inlineStr">
        <is>
          <t>To Do</t>
        </is>
      </c>
      <c r="J190" s="6" t="inlineStr">
        <is>
          <t>24/10</t>
        </is>
      </c>
      <c r="K190" s="7" t="inlineStr"/>
      <c r="L190" s="7" t="inlineStr">
        <is>
          <t>T-184</t>
        </is>
      </c>
    </row>
    <row r="191">
      <c r="B191" s="6" t="inlineStr">
        <is>
          <t>T-186</t>
        </is>
      </c>
      <c r="C191" s="6" t="inlineStr">
        <is>
          <t>HU-43</t>
        </is>
      </c>
      <c r="D191" s="7" t="inlineStr">
        <is>
          <t>Consultar stock</t>
        </is>
      </c>
      <c r="E191" s="6" t="inlineStr">
        <is>
          <t>Backend</t>
        </is>
      </c>
      <c r="F191" s="7" t="inlineStr">
        <is>
          <t>Programar el back-end de HU-43 (entidad, repositorio, servicio y controlador): el cálculo del stock desde el libro de movimientos, por almacén y consolidado</t>
        </is>
      </c>
      <c r="G191" s="6" t="inlineStr">
        <is>
          <t>Adiel</t>
        </is>
      </c>
      <c r="H191" s="6" t="n">
        <v>2</v>
      </c>
      <c r="I191" s="6" t="inlineStr">
        <is>
          <t>To Do</t>
        </is>
      </c>
      <c r="J191" s="6" t="inlineStr">
        <is>
          <t>25/10</t>
        </is>
      </c>
      <c r="K191" s="7" t="inlineStr"/>
      <c r="L191" s="7" t="inlineStr">
        <is>
          <t>T-185</t>
        </is>
      </c>
    </row>
    <row r="192">
      <c r="B192" s="6" t="inlineStr">
        <is>
          <t>T-187</t>
        </is>
      </c>
      <c r="C192" s="6" t="inlineStr">
        <is>
          <t>HU-43</t>
        </is>
      </c>
      <c r="D192" s="7" t="inlineStr">
        <is>
          <t>Consultar stock</t>
        </is>
      </c>
      <c r="E192" s="6" t="inlineStr">
        <is>
          <t>Triggers y funciones</t>
        </is>
      </c>
      <c r="F192" s="7" t="inlineStr">
        <is>
          <t>Implementar la función que calcula el saldo SUM(cantidad × signo) por almacén e insumo (HU-43)</t>
        </is>
      </c>
      <c r="G192" s="6" t="inlineStr">
        <is>
          <t>Adiel</t>
        </is>
      </c>
      <c r="H192" s="6" t="n">
        <v>1</v>
      </c>
      <c r="I192" s="6" t="inlineStr">
        <is>
          <t>To Do</t>
        </is>
      </c>
      <c r="J192" s="6" t="inlineStr">
        <is>
          <t>25/10</t>
        </is>
      </c>
      <c r="K192" s="7" t="inlineStr"/>
      <c r="L192" s="7" t="inlineStr">
        <is>
          <t>T-185</t>
        </is>
      </c>
    </row>
    <row r="193">
      <c r="B193" s="6" t="inlineStr">
        <is>
          <t>T-188</t>
        </is>
      </c>
      <c r="C193" s="6" t="inlineStr">
        <is>
          <t>HU-43</t>
        </is>
      </c>
      <c r="D193" s="7" t="inlineStr">
        <is>
          <t>Consultar stock</t>
        </is>
      </c>
      <c r="E193" s="6" t="inlineStr">
        <is>
          <t>Front-end web</t>
        </is>
      </c>
      <c r="F193" s="7" t="inlineStr">
        <is>
          <t>Programar la pantalla web de stock y kárdex</t>
        </is>
      </c>
      <c r="G193" s="6" t="inlineStr">
        <is>
          <t>Fernando</t>
        </is>
      </c>
      <c r="H193" s="6" t="n">
        <v>2</v>
      </c>
      <c r="I193" s="6" t="inlineStr">
        <is>
          <t>Done</t>
        </is>
      </c>
      <c r="J193" s="6" t="inlineStr">
        <is>
          <t>26/10</t>
        </is>
      </c>
      <c r="K193" s="7" t="inlineStr">
        <is>
          <t>pantalla hecha con datos simulados; falta conectarla a la API real</t>
        </is>
      </c>
      <c r="L193" s="7" t="inlineStr"/>
    </row>
    <row r="194">
      <c r="B194" s="6" t="inlineStr">
        <is>
          <t>T-189</t>
        </is>
      </c>
      <c r="C194" s="6" t="inlineStr">
        <is>
          <t>HU-43</t>
        </is>
      </c>
      <c r="D194" s="7" t="inlineStr">
        <is>
          <t>Consultar stock</t>
        </is>
      </c>
      <c r="E194" s="6" t="inlineStr">
        <is>
          <t>Front-end app</t>
        </is>
      </c>
      <c r="F194" s="7" t="inlineStr">
        <is>
          <t>Programar la consulta de stock en la app</t>
        </is>
      </c>
      <c r="G194" s="6" t="inlineStr">
        <is>
          <t>Nicolás</t>
        </is>
      </c>
      <c r="H194" s="6" t="n">
        <v>2</v>
      </c>
      <c r="I194" s="6" t="inlineStr">
        <is>
          <t>To Do</t>
        </is>
      </c>
      <c r="J194" s="6" t="inlineStr">
        <is>
          <t>26/10</t>
        </is>
      </c>
      <c r="K194" s="7" t="inlineStr"/>
      <c r="L194" s="7" t="inlineStr">
        <is>
          <t>T-183, T-235</t>
        </is>
      </c>
    </row>
    <row r="195">
      <c r="B195" s="6" t="inlineStr">
        <is>
          <t>T-190</t>
        </is>
      </c>
      <c r="C195" s="6" t="inlineStr">
        <is>
          <t>HU-43</t>
        </is>
      </c>
      <c r="D195" s="7" t="inlineStr">
        <is>
          <t>Consultar stock</t>
        </is>
      </c>
      <c r="E195" s="6" t="inlineStr">
        <is>
          <t>Conexión API</t>
        </is>
      </c>
      <c r="F195" s="7" t="inlineStr">
        <is>
          <t>Conectar la pantalla de stock y kárdex con la API real</t>
        </is>
      </c>
      <c r="G195" s="6" t="inlineStr">
        <is>
          <t>Henry</t>
        </is>
      </c>
      <c r="H195" s="6" t="n">
        <v>2</v>
      </c>
      <c r="I195" s="6" t="inlineStr">
        <is>
          <t>To Do</t>
        </is>
      </c>
      <c r="J195" s="6" t="inlineStr">
        <is>
          <t>26/10</t>
        </is>
      </c>
      <c r="K195" s="7" t="inlineStr"/>
      <c r="L195" s="7" t="inlineStr">
        <is>
          <t>T-186, T-188, T-234</t>
        </is>
      </c>
    </row>
    <row r="196">
      <c r="B196" s="6" t="inlineStr">
        <is>
          <t>T-191</t>
        </is>
      </c>
      <c r="C196" s="6" t="inlineStr">
        <is>
          <t>HU-43</t>
        </is>
      </c>
      <c r="D196" s="7" t="inlineStr">
        <is>
          <t>Consultar stock</t>
        </is>
      </c>
      <c r="E196" s="6" t="inlineStr">
        <is>
          <t>Pruebas</t>
        </is>
      </c>
      <c r="F196" s="7" t="inlineStr">
        <is>
          <t>Probar la funcionalidad de HU-43 (la API con Postman, la pantalla web y la app) contra cada condición final y aprobar su PR</t>
        </is>
      </c>
      <c r="G196" s="6" t="inlineStr">
        <is>
          <t>Fernando</t>
        </is>
      </c>
      <c r="H196" s="6" t="n">
        <v>1</v>
      </c>
      <c r="I196" s="6" t="inlineStr">
        <is>
          <t>To Do</t>
        </is>
      </c>
      <c r="J196" s="6" t="inlineStr">
        <is>
          <t>27/10</t>
        </is>
      </c>
      <c r="K196" s="7" t="inlineStr">
        <is>
          <t>alguien distinto del autor (T1, T5, T8)</t>
        </is>
      </c>
      <c r="L196" s="7" t="inlineStr">
        <is>
          <t>T-185, T-186, T-187, T-188, T-189, T-190, T-233</t>
        </is>
      </c>
    </row>
    <row r="197">
      <c r="B197" s="8" t="inlineStr">
        <is>
          <t>T-192</t>
        </is>
      </c>
      <c r="C197" s="8" t="inlineStr">
        <is>
          <t>HU-43</t>
        </is>
      </c>
      <c r="D197" s="9" t="inlineStr">
        <is>
          <t>Consultar stock</t>
        </is>
      </c>
      <c r="E197" s="8" t="inlineStr">
        <is>
          <t>Aceptación</t>
        </is>
      </c>
      <c r="F197" s="9" t="inlineStr">
        <is>
          <t>Aceptar HU-43 como Product Owner desde la interfaz y moverla a Done</t>
        </is>
      </c>
      <c r="G197" s="8" t="inlineStr">
        <is>
          <t>Adiel</t>
        </is>
      </c>
      <c r="H197" s="8" t="n">
        <v>0.5</v>
      </c>
      <c r="I197" s="8" t="inlineStr">
        <is>
          <t>To Do</t>
        </is>
      </c>
      <c r="J197" s="8" t="inlineStr">
        <is>
          <t>27/10</t>
        </is>
      </c>
      <c r="K197" s="9" t="inlineStr">
        <is>
          <t>mueve la HU a Done</t>
        </is>
      </c>
      <c r="L197" s="9" t="inlineStr">
        <is>
          <t>T-191</t>
        </is>
      </c>
    </row>
    <row r="198">
      <c r="B198" s="6" t="inlineStr">
        <is>
          <t>T-193</t>
        </is>
      </c>
      <c r="C198" s="6" t="inlineStr">
        <is>
          <t>HU-45</t>
        </is>
      </c>
      <c r="D198" s="7" t="inlineStr">
        <is>
          <t>Corregir movimientos</t>
        </is>
      </c>
      <c r="E198" s="6" t="inlineStr">
        <is>
          <t>Diseño UI</t>
        </is>
      </c>
      <c r="F198" s="7" t="inlineStr">
        <is>
          <t>Diseñar la interfaz de usuario de HU-45: pantalla 15 · Kárdex y 21 · Movimientos del día</t>
        </is>
      </c>
      <c r="G198" s="6" t="inlineStr">
        <is>
          <t>Fernando</t>
        </is>
      </c>
      <c r="H198" s="6" t="n">
        <v>1</v>
      </c>
      <c r="I198" s="6" t="inlineStr">
        <is>
          <t>Done</t>
        </is>
      </c>
      <c r="J198" s="6" t="inlineStr">
        <is>
          <t>23/10</t>
        </is>
      </c>
      <c r="K198" s="7" t="inlineStr">
        <is>
          <t>mockup en el lienzo «SIGRO · Pantallas y diagramas del Sprint 1», WCAG AA</t>
        </is>
      </c>
      <c r="L198" s="7" t="inlineStr"/>
    </row>
    <row r="199">
      <c r="B199" s="6" t="inlineStr">
        <is>
          <t>T-194</t>
        </is>
      </c>
      <c r="C199" s="6" t="inlineStr">
        <is>
          <t>HU-45</t>
        </is>
      </c>
      <c r="D199" s="7" t="inlineStr">
        <is>
          <t>Corregir movimientos</t>
        </is>
      </c>
      <c r="E199" s="6" t="inlineStr">
        <is>
          <t>Modelado UML</t>
        </is>
      </c>
      <c r="F199" s="7" t="inlineStr">
        <is>
          <t>Modelar la funcionalidad de HU-45 con el diagrama UML de estados del movimiento (vigente → revertido)</t>
        </is>
      </c>
      <c r="G199" s="6" t="inlineStr">
        <is>
          <t>Henry</t>
        </is>
      </c>
      <c r="H199" s="6" t="n">
        <v>1</v>
      </c>
      <c r="I199" s="6" t="inlineStr">
        <is>
          <t>To Do</t>
        </is>
      </c>
      <c r="J199" s="6" t="inlineStr">
        <is>
          <t>24/10</t>
        </is>
      </c>
      <c r="K199" s="7" t="inlineStr"/>
      <c r="L199" s="7" t="inlineStr">
        <is>
          <t>T-193</t>
        </is>
      </c>
    </row>
    <row r="200">
      <c r="B200" s="6" t="inlineStr">
        <is>
          <t>T-195</t>
        </is>
      </c>
      <c r="C200" s="6" t="inlineStr">
        <is>
          <t>HU-45</t>
        </is>
      </c>
      <c r="D200" s="7" t="inlineStr">
        <is>
          <t>Corregir movimientos</t>
        </is>
      </c>
      <c r="E200" s="6" t="inlineStr">
        <is>
          <t>Base de datos</t>
        </is>
      </c>
      <c r="F200" s="7" t="inlineStr">
        <is>
          <t>Implementar las tablas asociadas a HU-45: movimiento.movimiento_origen_id (reverso)</t>
        </is>
      </c>
      <c r="G200" s="6" t="inlineStr">
        <is>
          <t>Adiel</t>
        </is>
      </c>
      <c r="H200" s="6" t="n">
        <v>1</v>
      </c>
      <c r="I200" s="6" t="inlineStr">
        <is>
          <t>To Do</t>
        </is>
      </c>
      <c r="J200" s="6" t="inlineStr">
        <is>
          <t>24/10</t>
        </is>
      </c>
      <c r="K200" s="7" t="inlineStr"/>
      <c r="L200" s="7" t="inlineStr">
        <is>
          <t>T-194</t>
        </is>
      </c>
    </row>
    <row r="201">
      <c r="B201" s="6" t="inlineStr">
        <is>
          <t>T-196</t>
        </is>
      </c>
      <c r="C201" s="6" t="inlineStr">
        <is>
          <t>HU-45</t>
        </is>
      </c>
      <c r="D201" s="7" t="inlineStr">
        <is>
          <t>Corregir movimientos</t>
        </is>
      </c>
      <c r="E201" s="6" t="inlineStr">
        <is>
          <t>Backend</t>
        </is>
      </c>
      <c r="F201" s="7" t="inlineStr">
        <is>
          <t>Programar el back-end de HU-45 (entidad, repositorio, servicio y controlador): el reverso que apunta al original, sin UPDATE ni DELETE</t>
        </is>
      </c>
      <c r="G201" s="6" t="inlineStr">
        <is>
          <t>Adiel</t>
        </is>
      </c>
      <c r="H201" s="6" t="n">
        <v>3</v>
      </c>
      <c r="I201" s="6" t="inlineStr">
        <is>
          <t>To Do</t>
        </is>
      </c>
      <c r="J201" s="6" t="inlineStr">
        <is>
          <t>25/10</t>
        </is>
      </c>
      <c r="K201" s="7" t="inlineStr"/>
      <c r="L201" s="7" t="inlineStr">
        <is>
          <t>T-195</t>
        </is>
      </c>
    </row>
    <row r="202">
      <c r="B202" s="6" t="inlineStr">
        <is>
          <t>T-197</t>
        </is>
      </c>
      <c r="C202" s="6" t="inlineStr">
        <is>
          <t>HU-45</t>
        </is>
      </c>
      <c r="D202" s="7" t="inlineStr">
        <is>
          <t>Corregir movimientos</t>
        </is>
      </c>
      <c r="E202" s="6" t="inlineStr">
        <is>
          <t>Front-end web</t>
        </is>
      </c>
      <c r="F202" s="7" t="inlineStr">
        <is>
          <t>Programar la corrección con reverso desde el kárdex web</t>
        </is>
      </c>
      <c r="G202" s="6" t="inlineStr">
        <is>
          <t>Fernando</t>
        </is>
      </c>
      <c r="H202" s="6" t="n">
        <v>3</v>
      </c>
      <c r="I202" s="6" t="inlineStr">
        <is>
          <t>Done</t>
        </is>
      </c>
      <c r="J202" s="6" t="inlineStr">
        <is>
          <t>26/10</t>
        </is>
      </c>
      <c r="K202" s="7" t="inlineStr">
        <is>
          <t>pantalla hecha con datos simulados; falta conectarla a la API real</t>
        </is>
      </c>
      <c r="L202" s="7" t="inlineStr"/>
    </row>
    <row r="203">
      <c r="B203" s="6" t="inlineStr">
        <is>
          <t>T-198</t>
        </is>
      </c>
      <c r="C203" s="6" t="inlineStr">
        <is>
          <t>HU-45</t>
        </is>
      </c>
      <c r="D203" s="7" t="inlineStr">
        <is>
          <t>Corregir movimientos</t>
        </is>
      </c>
      <c r="E203" s="6" t="inlineStr">
        <is>
          <t>Conexión API</t>
        </is>
      </c>
      <c r="F203" s="7" t="inlineStr">
        <is>
          <t>Conectar el reverso con la API real</t>
        </is>
      </c>
      <c r="G203" s="6" t="inlineStr">
        <is>
          <t>Henry</t>
        </is>
      </c>
      <c r="H203" s="6" t="n">
        <v>3</v>
      </c>
      <c r="I203" s="6" t="inlineStr">
        <is>
          <t>To Do</t>
        </is>
      </c>
      <c r="J203" s="6" t="inlineStr">
        <is>
          <t>26/10</t>
        </is>
      </c>
      <c r="K203" s="7" t="inlineStr"/>
      <c r="L203" s="7" t="inlineStr">
        <is>
          <t>T-196, T-197, T-234</t>
        </is>
      </c>
    </row>
    <row r="204">
      <c r="B204" s="6" t="inlineStr">
        <is>
          <t>T-199</t>
        </is>
      </c>
      <c r="C204" s="6" t="inlineStr">
        <is>
          <t>HU-45</t>
        </is>
      </c>
      <c r="D204" s="7" t="inlineStr">
        <is>
          <t>Corregir movimientos</t>
        </is>
      </c>
      <c r="E204" s="6" t="inlineStr">
        <is>
          <t>Pruebas</t>
        </is>
      </c>
      <c r="F204" s="7" t="inlineStr">
        <is>
          <t>Probar la funcionalidad de HU-45 (la API con Postman y la pantalla web) contra cada condición final y aprobar su PR</t>
        </is>
      </c>
      <c r="G204" s="6" t="inlineStr">
        <is>
          <t>Fernando</t>
        </is>
      </c>
      <c r="H204" s="6" t="n">
        <v>1</v>
      </c>
      <c r="I204" s="6" t="inlineStr">
        <is>
          <t>To Do</t>
        </is>
      </c>
      <c r="J204" s="6" t="inlineStr">
        <is>
          <t>27/10</t>
        </is>
      </c>
      <c r="K204" s="7" t="inlineStr">
        <is>
          <t>alguien distinto del autor (T1, T5, T8)</t>
        </is>
      </c>
      <c r="L204" s="7" t="inlineStr">
        <is>
          <t>T-195, T-196, T-197, T-198, T-233</t>
        </is>
      </c>
    </row>
    <row r="205">
      <c r="B205" s="8" t="inlineStr">
        <is>
          <t>T-200</t>
        </is>
      </c>
      <c r="C205" s="8" t="inlineStr">
        <is>
          <t>HU-45</t>
        </is>
      </c>
      <c r="D205" s="9" t="inlineStr">
        <is>
          <t>Corregir movimientos</t>
        </is>
      </c>
      <c r="E205" s="8" t="inlineStr">
        <is>
          <t>Aceptación</t>
        </is>
      </c>
      <c r="F205" s="9" t="inlineStr">
        <is>
          <t>Aceptar HU-45 como Product Owner desde la interfaz y moverla a Done</t>
        </is>
      </c>
      <c r="G205" s="8" t="inlineStr">
        <is>
          <t>Adiel</t>
        </is>
      </c>
      <c r="H205" s="8" t="n">
        <v>0.5</v>
      </c>
      <c r="I205" s="8" t="inlineStr">
        <is>
          <t>To Do</t>
        </is>
      </c>
      <c r="J205" s="8" t="inlineStr">
        <is>
          <t>27/10</t>
        </is>
      </c>
      <c r="K205" s="9" t="inlineStr">
        <is>
          <t>mueve la HU a Done</t>
        </is>
      </c>
      <c r="L205" s="9" t="inlineStr">
        <is>
          <t>T-199</t>
        </is>
      </c>
    </row>
    <row r="206">
      <c r="B206" s="6" t="inlineStr">
        <is>
          <t>T-201</t>
        </is>
      </c>
      <c r="C206" s="6" t="inlineStr">
        <is>
          <t>HU-55</t>
        </is>
      </c>
      <c r="D206" s="7" t="inlineStr">
        <is>
          <t>Valorizar salidas</t>
        </is>
      </c>
      <c r="E206" s="6" t="inlineStr">
        <is>
          <t>Diseño UI</t>
        </is>
      </c>
      <c r="F206" s="7" t="inlineStr">
        <is>
          <t>Diseñar la interfaz de usuario de HU-55: pantalla 3 · Registrar salida y 13 · Tablero</t>
        </is>
      </c>
      <c r="G206" s="6" t="inlineStr">
        <is>
          <t>Fernando</t>
        </is>
      </c>
      <c r="H206" s="6" t="n">
        <v>1</v>
      </c>
      <c r="I206" s="6" t="inlineStr">
        <is>
          <t>Done</t>
        </is>
      </c>
      <c r="J206" s="6" t="inlineStr">
        <is>
          <t>23/10</t>
        </is>
      </c>
      <c r="K206" s="7" t="inlineStr">
        <is>
          <t>mockup en el lienzo «SIGRO · Pantallas y diagramas del Sprint 1», WCAG AA</t>
        </is>
      </c>
      <c r="L206" s="7" t="inlineStr"/>
    </row>
    <row r="207">
      <c r="B207" s="6" t="inlineStr">
        <is>
          <t>T-202</t>
        </is>
      </c>
      <c r="C207" s="6" t="inlineStr">
        <is>
          <t>HU-55</t>
        </is>
      </c>
      <c r="D207" s="7" t="inlineStr">
        <is>
          <t>Valorizar salidas</t>
        </is>
      </c>
      <c r="E207" s="6" t="inlineStr">
        <is>
          <t>Modelado UML</t>
        </is>
      </c>
      <c r="F207" s="7" t="inlineStr">
        <is>
          <t>Modelar la funcionalidad de HU-55 con el diagrama UML de secuencia de la recepción y el costo promedio ponderado</t>
        </is>
      </c>
      <c r="G207" s="6" t="inlineStr">
        <is>
          <t>Fernando</t>
        </is>
      </c>
      <c r="H207" s="6" t="n">
        <v>1</v>
      </c>
      <c r="I207" s="6" t="inlineStr">
        <is>
          <t>Done</t>
        </is>
      </c>
      <c r="J207" s="6" t="inlineStr">
        <is>
          <t>24/10</t>
        </is>
      </c>
      <c r="K207" s="7" t="inlineStr">
        <is>
          <t>ya está en el lienzo</t>
        </is>
      </c>
      <c r="L207" s="7" t="inlineStr"/>
    </row>
    <row r="208">
      <c r="B208" s="6" t="inlineStr">
        <is>
          <t>T-203</t>
        </is>
      </c>
      <c r="C208" s="6" t="inlineStr">
        <is>
          <t>HU-55</t>
        </is>
      </c>
      <c r="D208" s="7" t="inlineStr">
        <is>
          <t>Valorizar salidas</t>
        </is>
      </c>
      <c r="E208" s="6" t="inlineStr">
        <is>
          <t>Base de datos</t>
        </is>
      </c>
      <c r="F208" s="7" t="inlineStr">
        <is>
          <t>Implementar las tablas asociadas a HU-55: costo_promedio por insumo y almacén</t>
        </is>
      </c>
      <c r="G208" s="6" t="inlineStr">
        <is>
          <t>Adiel</t>
        </is>
      </c>
      <c r="H208" s="6" t="n">
        <v>1</v>
      </c>
      <c r="I208" s="6" t="inlineStr">
        <is>
          <t>To Do</t>
        </is>
      </c>
      <c r="J208" s="6" t="inlineStr">
        <is>
          <t>24/10</t>
        </is>
      </c>
      <c r="K208" s="7" t="inlineStr"/>
      <c r="L208" s="7" t="inlineStr">
        <is>
          <t>T-202</t>
        </is>
      </c>
    </row>
    <row r="209">
      <c r="B209" s="6" t="inlineStr">
        <is>
          <t>T-204</t>
        </is>
      </c>
      <c r="C209" s="6" t="inlineStr">
        <is>
          <t>HU-55</t>
        </is>
      </c>
      <c r="D209" s="7" t="inlineStr">
        <is>
          <t>Valorizar salidas</t>
        </is>
      </c>
      <c r="E209" s="6" t="inlineStr">
        <is>
          <t>Backend</t>
        </is>
      </c>
      <c r="F209" s="7" t="inlineStr">
        <is>
          <t>Programar el back-end de HU-55 (entidad, repositorio, servicio y controlador): el costo promedio ponderado congelado en cada salida, sin IGV de factura (NIC 2)</t>
        </is>
      </c>
      <c r="G209" s="6" t="inlineStr">
        <is>
          <t>Adiel</t>
        </is>
      </c>
      <c r="H209" s="6" t="n">
        <v>7</v>
      </c>
      <c r="I209" s="6" t="inlineStr">
        <is>
          <t>To Do</t>
        </is>
      </c>
      <c r="J209" s="6" t="inlineStr">
        <is>
          <t>25/10</t>
        </is>
      </c>
      <c r="K209" s="7" t="inlineStr"/>
      <c r="L209" s="7" t="inlineStr">
        <is>
          <t>T-203</t>
        </is>
      </c>
    </row>
    <row r="210">
      <c r="B210" s="6" t="inlineStr">
        <is>
          <t>T-205</t>
        </is>
      </c>
      <c r="C210" s="6" t="inlineStr">
        <is>
          <t>HU-55</t>
        </is>
      </c>
      <c r="D210" s="7" t="inlineStr">
        <is>
          <t>Valorizar salidas</t>
        </is>
      </c>
      <c r="E210" s="6" t="inlineStr">
        <is>
          <t>Triggers y funciones</t>
        </is>
      </c>
      <c r="F210" s="7" t="inlineStr">
        <is>
          <t>Implementar la función que recalcula el costo promedio ponderado en cada ingreso (HU-55)</t>
        </is>
      </c>
      <c r="G210" s="6" t="inlineStr">
        <is>
          <t>Adiel</t>
        </is>
      </c>
      <c r="H210" s="6" t="n">
        <v>1</v>
      </c>
      <c r="I210" s="6" t="inlineStr">
        <is>
          <t>To Do</t>
        </is>
      </c>
      <c r="J210" s="6" t="inlineStr">
        <is>
          <t>25/10</t>
        </is>
      </c>
      <c r="K210" s="7" t="inlineStr"/>
      <c r="L210" s="7" t="inlineStr">
        <is>
          <t>T-203</t>
        </is>
      </c>
    </row>
    <row r="211">
      <c r="B211" s="6" t="inlineStr">
        <is>
          <t>T-206</t>
        </is>
      </c>
      <c r="C211" s="6" t="inlineStr">
        <is>
          <t>HU-55</t>
        </is>
      </c>
      <c r="D211" s="7" t="inlineStr">
        <is>
          <t>Valorizar salidas</t>
        </is>
      </c>
      <c r="E211" s="6" t="inlineStr">
        <is>
          <t>Front-end web</t>
        </is>
      </c>
      <c r="F211" s="7" t="inlineStr">
        <is>
          <t>Mostrar la salida valorizada en el kárdex y en el reporte web</t>
        </is>
      </c>
      <c r="G211" s="6" t="inlineStr">
        <is>
          <t>Henry</t>
        </is>
      </c>
      <c r="H211" s="6" t="n">
        <v>7</v>
      </c>
      <c r="I211" s="6" t="inlineStr">
        <is>
          <t>To Do</t>
        </is>
      </c>
      <c r="J211" s="6" t="inlineStr">
        <is>
          <t>26/10</t>
        </is>
      </c>
      <c r="K211" s="7" t="inlineStr"/>
      <c r="L211" s="7" t="inlineStr">
        <is>
          <t>T-201</t>
        </is>
      </c>
    </row>
    <row r="212">
      <c r="B212" s="6" t="inlineStr">
        <is>
          <t>T-207</t>
        </is>
      </c>
      <c r="C212" s="6" t="inlineStr">
        <is>
          <t>HU-55</t>
        </is>
      </c>
      <c r="D212" s="7" t="inlineStr">
        <is>
          <t>Valorizar salidas</t>
        </is>
      </c>
      <c r="E212" s="6" t="inlineStr">
        <is>
          <t>Pruebas</t>
        </is>
      </c>
      <c r="F212" s="7" t="inlineStr">
        <is>
          <t>Probar la funcionalidad de HU-55 (la API con Postman y la pantalla web) contra cada condición final y aprobar su PR</t>
        </is>
      </c>
      <c r="G212" s="6" t="inlineStr">
        <is>
          <t>Fernando</t>
        </is>
      </c>
      <c r="H212" s="6" t="n">
        <v>1</v>
      </c>
      <c r="I212" s="6" t="inlineStr">
        <is>
          <t>To Do</t>
        </is>
      </c>
      <c r="J212" s="6" t="inlineStr">
        <is>
          <t>27/10</t>
        </is>
      </c>
      <c r="K212" s="7" t="inlineStr">
        <is>
          <t>alguien distinto del autor (T1, T5, T8)</t>
        </is>
      </c>
      <c r="L212" s="7" t="inlineStr">
        <is>
          <t>T-203, T-204, T-205, T-206, T-233</t>
        </is>
      </c>
    </row>
    <row r="213">
      <c r="B213" s="8" t="inlineStr">
        <is>
          <t>T-208</t>
        </is>
      </c>
      <c r="C213" s="8" t="inlineStr">
        <is>
          <t>HU-55</t>
        </is>
      </c>
      <c r="D213" s="9" t="inlineStr">
        <is>
          <t>Valorizar salidas</t>
        </is>
      </c>
      <c r="E213" s="8" t="inlineStr">
        <is>
          <t>Aceptación</t>
        </is>
      </c>
      <c r="F213" s="9" t="inlineStr">
        <is>
          <t>Aceptar HU-55 como Product Owner desde la interfaz y moverla a Done</t>
        </is>
      </c>
      <c r="G213" s="8" t="inlineStr">
        <is>
          <t>Adiel</t>
        </is>
      </c>
      <c r="H213" s="8" t="n">
        <v>0.5</v>
      </c>
      <c r="I213" s="8" t="inlineStr">
        <is>
          <t>To Do</t>
        </is>
      </c>
      <c r="J213" s="8" t="inlineStr">
        <is>
          <t>27/10</t>
        </is>
      </c>
      <c r="K213" s="9" t="inlineStr">
        <is>
          <t>mueve la HU a Done</t>
        </is>
      </c>
      <c r="L213" s="9" t="inlineStr">
        <is>
          <t>T-207</t>
        </is>
      </c>
    </row>
    <row r="214">
      <c r="B214" s="6" t="inlineStr">
        <is>
          <t>T-209</t>
        </is>
      </c>
      <c r="C214" s="6" t="inlineStr">
        <is>
          <t>HU-57</t>
        </is>
      </c>
      <c r="D214" s="7" t="inlineStr">
        <is>
          <t>Comparar consumo vs. lo planificado</t>
        </is>
      </c>
      <c r="E214" s="6" t="inlineStr">
        <is>
          <t>Diseño UI</t>
        </is>
      </c>
      <c r="F214" s="7" t="inlineStr">
        <is>
          <t>Diseñar la interfaz de usuario de HU-57: pantalla 13 · Gasto en recursos</t>
        </is>
      </c>
      <c r="G214" s="6" t="inlineStr">
        <is>
          <t>Fernando</t>
        </is>
      </c>
      <c r="H214" s="6" t="n">
        <v>1</v>
      </c>
      <c r="I214" s="6" t="inlineStr">
        <is>
          <t>Done</t>
        </is>
      </c>
      <c r="J214" s="6" t="inlineStr">
        <is>
          <t>23/10</t>
        </is>
      </c>
      <c r="K214" s="7" t="inlineStr">
        <is>
          <t>mockup en el lienzo «SIGRO · Pantallas y diagramas del Sprint 1», WCAG AA</t>
        </is>
      </c>
      <c r="L214" s="7" t="inlineStr"/>
    </row>
    <row r="215">
      <c r="B215" s="6" t="inlineStr">
        <is>
          <t>T-210</t>
        </is>
      </c>
      <c r="C215" s="6" t="inlineStr">
        <is>
          <t>HU-57</t>
        </is>
      </c>
      <c r="D215" s="7" t="inlineStr">
        <is>
          <t>Comparar consumo vs. lo planificado</t>
        </is>
      </c>
      <c r="E215" s="6" t="inlineStr">
        <is>
          <t>Modelado UML</t>
        </is>
      </c>
      <c r="F215" s="7" t="inlineStr">
        <is>
          <t>Modelar la funcionalidad de HU-57 con el diagrama UML de actividades de la comparación contra lo planificado</t>
        </is>
      </c>
      <c r="G215" s="6" t="inlineStr">
        <is>
          <t>Henry</t>
        </is>
      </c>
      <c r="H215" s="6" t="n">
        <v>1</v>
      </c>
      <c r="I215" s="6" t="inlineStr">
        <is>
          <t>To Do</t>
        </is>
      </c>
      <c r="J215" s="6" t="inlineStr">
        <is>
          <t>24/10</t>
        </is>
      </c>
      <c r="K215" s="7" t="inlineStr"/>
      <c r="L215" s="7" t="inlineStr">
        <is>
          <t>T-209</t>
        </is>
      </c>
    </row>
    <row r="216">
      <c r="B216" s="6" t="inlineStr">
        <is>
          <t>T-211</t>
        </is>
      </c>
      <c r="C216" s="6" t="inlineStr">
        <is>
          <t>HU-57</t>
        </is>
      </c>
      <c r="D216" s="7" t="inlineStr">
        <is>
          <t>Comparar consumo vs. lo planificado</t>
        </is>
      </c>
      <c r="E216" s="6" t="inlineStr">
        <is>
          <t>Base de datos</t>
        </is>
      </c>
      <c r="F216" s="7" t="inlineStr">
        <is>
          <t>Implementar las tablas asociadas a HU-57: vista de desviación contra requerimiento</t>
        </is>
      </c>
      <c r="G216" s="6" t="inlineStr">
        <is>
          <t>Adiel</t>
        </is>
      </c>
      <c r="H216" s="6" t="n">
        <v>1</v>
      </c>
      <c r="I216" s="6" t="inlineStr">
        <is>
          <t>To Do</t>
        </is>
      </c>
      <c r="J216" s="6" t="inlineStr">
        <is>
          <t>24/10</t>
        </is>
      </c>
      <c r="K216" s="7" t="inlineStr"/>
      <c r="L216" s="7" t="inlineStr">
        <is>
          <t>T-210</t>
        </is>
      </c>
    </row>
    <row r="217">
      <c r="B217" s="6" t="inlineStr">
        <is>
          <t>T-212</t>
        </is>
      </c>
      <c r="C217" s="6" t="inlineStr">
        <is>
          <t>HU-57</t>
        </is>
      </c>
      <c r="D217" s="7" t="inlineStr">
        <is>
          <t>Comparar consumo vs. lo planificado</t>
        </is>
      </c>
      <c r="E217" s="6" t="inlineStr">
        <is>
          <t>Backend</t>
        </is>
      </c>
      <c r="F217" s="7" t="inlineStr">
        <is>
          <t>Programar el back-end de HU-57 (entidad, repositorio, servicio y controlador): la comparación del consumo contra lo planificado en el S10</t>
        </is>
      </c>
      <c r="G217" s="6" t="inlineStr">
        <is>
          <t>Adiel</t>
        </is>
      </c>
      <c r="H217" s="6" t="n">
        <v>5</v>
      </c>
      <c r="I217" s="6" t="inlineStr">
        <is>
          <t>To Do</t>
        </is>
      </c>
      <c r="J217" s="6" t="inlineStr">
        <is>
          <t>25/10</t>
        </is>
      </c>
      <c r="K217" s="7" t="inlineStr"/>
      <c r="L217" s="7" t="inlineStr">
        <is>
          <t>T-211</t>
        </is>
      </c>
    </row>
    <row r="218">
      <c r="B218" s="6" t="inlineStr">
        <is>
          <t>T-213</t>
        </is>
      </c>
      <c r="C218" s="6" t="inlineStr">
        <is>
          <t>HU-57</t>
        </is>
      </c>
      <c r="D218" s="7" t="inlineStr">
        <is>
          <t>Comparar consumo vs. lo planificado</t>
        </is>
      </c>
      <c r="E218" s="6" t="inlineStr">
        <is>
          <t>Front-end web</t>
        </is>
      </c>
      <c r="F218" s="7" t="inlineStr">
        <is>
          <t>Programar la pantalla web «Gasto en recursos» con la desviación</t>
        </is>
      </c>
      <c r="G218" s="6" t="inlineStr">
        <is>
          <t>Fernando</t>
        </is>
      </c>
      <c r="H218" s="6" t="n">
        <v>5</v>
      </c>
      <c r="I218" s="6" t="inlineStr">
        <is>
          <t>Done</t>
        </is>
      </c>
      <c r="J218" s="6" t="inlineStr">
        <is>
          <t>26/10</t>
        </is>
      </c>
      <c r="K218" s="7" t="inlineStr">
        <is>
          <t>pantalla hecha con datos simulados; falta conectarla a la API real</t>
        </is>
      </c>
      <c r="L218" s="7" t="inlineStr"/>
    </row>
    <row r="219">
      <c r="B219" s="6" t="inlineStr">
        <is>
          <t>T-214</t>
        </is>
      </c>
      <c r="C219" s="6" t="inlineStr">
        <is>
          <t>HU-57</t>
        </is>
      </c>
      <c r="D219" s="7" t="inlineStr">
        <is>
          <t>Comparar consumo vs. lo planificado</t>
        </is>
      </c>
      <c r="E219" s="6" t="inlineStr">
        <is>
          <t>Conexión API</t>
        </is>
      </c>
      <c r="F219" s="7" t="inlineStr">
        <is>
          <t>Conectar la pantalla de desviación con la API real</t>
        </is>
      </c>
      <c r="G219" s="6" t="inlineStr">
        <is>
          <t>Henry</t>
        </is>
      </c>
      <c r="H219" s="6" t="n">
        <v>5</v>
      </c>
      <c r="I219" s="6" t="inlineStr">
        <is>
          <t>To Do</t>
        </is>
      </c>
      <c r="J219" s="6" t="inlineStr">
        <is>
          <t>26/10</t>
        </is>
      </c>
      <c r="K219" s="7" t="inlineStr"/>
      <c r="L219" s="7" t="inlineStr">
        <is>
          <t>T-212, T-213, T-234</t>
        </is>
      </c>
    </row>
    <row r="220">
      <c r="B220" s="6" t="inlineStr">
        <is>
          <t>T-215</t>
        </is>
      </c>
      <c r="C220" s="6" t="inlineStr">
        <is>
          <t>HU-57</t>
        </is>
      </c>
      <c r="D220" s="7" t="inlineStr">
        <is>
          <t>Comparar consumo vs. lo planificado</t>
        </is>
      </c>
      <c r="E220" s="6" t="inlineStr">
        <is>
          <t>Pruebas</t>
        </is>
      </c>
      <c r="F220" s="7" t="inlineStr">
        <is>
          <t>Probar la funcionalidad de HU-57 (la API con Postman y la pantalla web) contra cada condición final y aprobar su PR</t>
        </is>
      </c>
      <c r="G220" s="6" t="inlineStr">
        <is>
          <t>Fernando</t>
        </is>
      </c>
      <c r="H220" s="6" t="n">
        <v>1</v>
      </c>
      <c r="I220" s="6" t="inlineStr">
        <is>
          <t>To Do</t>
        </is>
      </c>
      <c r="J220" s="6" t="inlineStr">
        <is>
          <t>27/10</t>
        </is>
      </c>
      <c r="K220" s="7" t="inlineStr">
        <is>
          <t>alguien distinto del autor (T1, T5, T8)</t>
        </is>
      </c>
      <c r="L220" s="7" t="inlineStr">
        <is>
          <t>T-211, T-212, T-213, T-214, T-233</t>
        </is>
      </c>
    </row>
    <row r="221">
      <c r="B221" s="8" t="inlineStr">
        <is>
          <t>T-216</t>
        </is>
      </c>
      <c r="C221" s="8" t="inlineStr">
        <is>
          <t>HU-57</t>
        </is>
      </c>
      <c r="D221" s="9" t="inlineStr">
        <is>
          <t>Comparar consumo vs. lo planificado</t>
        </is>
      </c>
      <c r="E221" s="8" t="inlineStr">
        <is>
          <t>Aceptación</t>
        </is>
      </c>
      <c r="F221" s="9" t="inlineStr">
        <is>
          <t>Aceptar HU-57 como Product Owner desde la interfaz y moverla a Done</t>
        </is>
      </c>
      <c r="G221" s="8" t="inlineStr">
        <is>
          <t>Adiel</t>
        </is>
      </c>
      <c r="H221" s="8" t="n">
        <v>0.5</v>
      </c>
      <c r="I221" s="8" t="inlineStr">
        <is>
          <t>To Do</t>
        </is>
      </c>
      <c r="J221" s="8" t="inlineStr">
        <is>
          <t>27/10</t>
        </is>
      </c>
      <c r="K221" s="9" t="inlineStr">
        <is>
          <t>mueve la HU a Done</t>
        </is>
      </c>
      <c r="L221" s="9" t="inlineStr">
        <is>
          <t>T-215</t>
        </is>
      </c>
    </row>
    <row r="222">
      <c r="B222" s="6" t="inlineStr">
        <is>
          <t>T-217</t>
        </is>
      </c>
      <c r="C222" s="6" t="inlineStr">
        <is>
          <t>HU-62</t>
        </is>
      </c>
      <c r="D222" s="7" t="inlineStr">
        <is>
          <t>Registrar trabajadores</t>
        </is>
      </c>
      <c r="E222" s="6" t="inlineStr">
        <is>
          <t>Diseño UI</t>
        </is>
      </c>
      <c r="F222" s="7" t="inlineStr">
        <is>
          <t>Diseñar la interfaz de usuario de HU-62: pantalla 6 · Registrar trabajador</t>
        </is>
      </c>
      <c r="G222" s="6" t="inlineStr">
        <is>
          <t>Fernando</t>
        </is>
      </c>
      <c r="H222" s="6" t="n">
        <v>1</v>
      </c>
      <c r="I222" s="6" t="inlineStr">
        <is>
          <t>Done</t>
        </is>
      </c>
      <c r="J222" s="6" t="inlineStr">
        <is>
          <t>23/10</t>
        </is>
      </c>
      <c r="K222" s="7" t="inlineStr">
        <is>
          <t>mockup en el lienzo «SIGRO · Pantallas y diagramas del Sprint 1», WCAG AA</t>
        </is>
      </c>
      <c r="L222" s="7" t="inlineStr"/>
    </row>
    <row r="223">
      <c r="B223" s="6" t="inlineStr">
        <is>
          <t>T-218</t>
        </is>
      </c>
      <c r="C223" s="6" t="inlineStr">
        <is>
          <t>HU-62</t>
        </is>
      </c>
      <c r="D223" s="7" t="inlineStr">
        <is>
          <t>Registrar trabajadores</t>
        </is>
      </c>
      <c r="E223" s="6" t="inlineStr">
        <is>
          <t>Modelado UML</t>
        </is>
      </c>
      <c r="F223" s="7" t="inlineStr">
        <is>
          <t>Modelar la funcionalidad de HU-62 con el diagrama UML de secuencia del registro con consulta de DNI</t>
        </is>
      </c>
      <c r="G223" s="6" t="inlineStr">
        <is>
          <t>Nicolás</t>
        </is>
      </c>
      <c r="H223" s="6" t="n">
        <v>1</v>
      </c>
      <c r="I223" s="6" t="inlineStr">
        <is>
          <t>To Do</t>
        </is>
      </c>
      <c r="J223" s="6" t="inlineStr">
        <is>
          <t>24/10</t>
        </is>
      </c>
      <c r="K223" s="7" t="inlineStr"/>
      <c r="L223" s="7" t="inlineStr">
        <is>
          <t>T-217</t>
        </is>
      </c>
    </row>
    <row r="224">
      <c r="B224" s="6" t="inlineStr">
        <is>
          <t>T-219</t>
        </is>
      </c>
      <c r="C224" s="6" t="inlineStr">
        <is>
          <t>HU-62</t>
        </is>
      </c>
      <c r="D224" s="7" t="inlineStr">
        <is>
          <t>Registrar trabajadores</t>
        </is>
      </c>
      <c r="E224" s="6" t="inlineStr">
        <is>
          <t>Base de datos</t>
        </is>
      </c>
      <c r="F224" s="7" t="inlineStr">
        <is>
          <t>Implementar las tablas asociadas a HU-62: trabajador (único por obra, baja con fecha)</t>
        </is>
      </c>
      <c r="G224" s="6" t="inlineStr">
        <is>
          <t>Adiel</t>
        </is>
      </c>
      <c r="H224" s="6" t="n">
        <v>1</v>
      </c>
      <c r="I224" s="6" t="inlineStr">
        <is>
          <t>Done</t>
        </is>
      </c>
      <c r="J224" s="6" t="inlineStr">
        <is>
          <t>24/10</t>
        </is>
      </c>
      <c r="K224" s="7" t="inlineStr">
        <is>
          <t>migraciones 0001–0006 de la API</t>
        </is>
      </c>
      <c r="L224" s="7" t="inlineStr"/>
    </row>
    <row r="225">
      <c r="B225" s="6" t="inlineStr">
        <is>
          <t>T-220</t>
        </is>
      </c>
      <c r="C225" s="6" t="inlineStr">
        <is>
          <t>HU-62</t>
        </is>
      </c>
      <c r="D225" s="7" t="inlineStr">
        <is>
          <t>Registrar trabajadores</t>
        </is>
      </c>
      <c r="E225" s="6" t="inlineStr">
        <is>
          <t>Backend</t>
        </is>
      </c>
      <c r="F225" s="7" t="inlineStr">
        <is>
          <t>Programar el back-end de HU-62 (entidad, repositorio, servicio y controlador): el registro de trabajadores: único por obra y baja con fecha</t>
        </is>
      </c>
      <c r="G225" s="6" t="inlineStr">
        <is>
          <t>Adiel</t>
        </is>
      </c>
      <c r="H225" s="6" t="n">
        <v>2</v>
      </c>
      <c r="I225" s="6" t="inlineStr">
        <is>
          <t>Done</t>
        </is>
      </c>
      <c r="J225" s="6" t="inlineStr">
        <is>
          <t>25/10</t>
        </is>
      </c>
      <c r="K225" s="7" t="inlineStr">
        <is>
          <t>hecho en la API de Adiel (PR #1 fusionado a main), con pruebas</t>
        </is>
      </c>
      <c r="L225" s="7" t="inlineStr"/>
    </row>
    <row r="226">
      <c r="B226" s="6" t="inlineStr">
        <is>
          <t>T-221</t>
        </is>
      </c>
      <c r="C226" s="6" t="inlineStr">
        <is>
          <t>HU-62</t>
        </is>
      </c>
      <c r="D226" s="7" t="inlineStr">
        <is>
          <t>Registrar trabajadores</t>
        </is>
      </c>
      <c r="E226" s="6" t="inlineStr">
        <is>
          <t>Integración</t>
        </is>
      </c>
      <c r="F226" s="7" t="inlineStr">
        <is>
          <t>Programar la consulta de DNI en RENIEC desde el microservicio — integración con RENIEC (DNI) vía Factiliza</t>
        </is>
      </c>
      <c r="G226" s="6" t="inlineStr">
        <is>
          <t>Fernando</t>
        </is>
      </c>
      <c r="H226" s="6" t="n">
        <v>2</v>
      </c>
      <c r="I226" s="6" t="inlineStr">
        <is>
          <t>Done</t>
        </is>
      </c>
      <c r="J226" s="6" t="inlineStr">
        <is>
          <t>25/10</t>
        </is>
      </c>
      <c r="K226" s="7" t="inlineStr">
        <is>
          <t>probado con Factiliza</t>
        </is>
      </c>
      <c r="L226" s="7" t="inlineStr"/>
    </row>
    <row r="227">
      <c r="B227" s="6" t="inlineStr">
        <is>
          <t>T-222</t>
        </is>
      </c>
      <c r="C227" s="6" t="inlineStr">
        <is>
          <t>HU-62</t>
        </is>
      </c>
      <c r="D227" s="7" t="inlineStr">
        <is>
          <t>Registrar trabajadores</t>
        </is>
      </c>
      <c r="E227" s="6" t="inlineStr">
        <is>
          <t>Front-end app</t>
        </is>
      </c>
      <c r="F227" s="7" t="inlineStr">
        <is>
          <t>Programar en la app el registro de trabajadores con consulta de DNI</t>
        </is>
      </c>
      <c r="G227" s="6" t="inlineStr">
        <is>
          <t>Nicolás</t>
        </is>
      </c>
      <c r="H227" s="6" t="n">
        <v>2</v>
      </c>
      <c r="I227" s="6" t="inlineStr">
        <is>
          <t>To Do</t>
        </is>
      </c>
      <c r="J227" s="6" t="inlineStr">
        <is>
          <t>26/10</t>
        </is>
      </c>
      <c r="K227" s="7" t="inlineStr"/>
      <c r="L227" s="7" t="inlineStr">
        <is>
          <t>T-217, T-235</t>
        </is>
      </c>
    </row>
    <row r="228">
      <c r="B228" s="6" t="inlineStr">
        <is>
          <t>T-223</t>
        </is>
      </c>
      <c r="C228" s="6" t="inlineStr">
        <is>
          <t>HU-62</t>
        </is>
      </c>
      <c r="D228" s="7" t="inlineStr">
        <is>
          <t>Registrar trabajadores</t>
        </is>
      </c>
      <c r="E228" s="6" t="inlineStr">
        <is>
          <t>Pruebas</t>
        </is>
      </c>
      <c r="F228" s="7" t="inlineStr">
        <is>
          <t>Probar la funcionalidad de HU-62 (la API con Postman y la app) contra cada condición final y aprobar su PR</t>
        </is>
      </c>
      <c r="G228" s="6" t="inlineStr">
        <is>
          <t>Henry</t>
        </is>
      </c>
      <c r="H228" s="6" t="n">
        <v>1</v>
      </c>
      <c r="I228" s="6" t="inlineStr">
        <is>
          <t>To Do</t>
        </is>
      </c>
      <c r="J228" s="6" t="inlineStr">
        <is>
          <t>27/10</t>
        </is>
      </c>
      <c r="K228" s="7" t="inlineStr">
        <is>
          <t>alguien distinto del autor (T1, T5, T8)</t>
        </is>
      </c>
      <c r="L228" s="7" t="inlineStr">
        <is>
          <t>T-219, T-220, T-221, T-222, T-233</t>
        </is>
      </c>
    </row>
    <row r="229">
      <c r="B229" s="8" t="inlineStr">
        <is>
          <t>T-224</t>
        </is>
      </c>
      <c r="C229" s="8" t="inlineStr">
        <is>
          <t>HU-62</t>
        </is>
      </c>
      <c r="D229" s="9" t="inlineStr">
        <is>
          <t>Registrar trabajadores</t>
        </is>
      </c>
      <c r="E229" s="8" t="inlineStr">
        <is>
          <t>Aceptación</t>
        </is>
      </c>
      <c r="F229" s="9" t="inlineStr">
        <is>
          <t>Aceptar HU-62 como Product Owner desde la interfaz y moverla a Done</t>
        </is>
      </c>
      <c r="G229" s="8" t="inlineStr">
        <is>
          <t>Adiel</t>
        </is>
      </c>
      <c r="H229" s="8" t="n">
        <v>0.5</v>
      </c>
      <c r="I229" s="8" t="inlineStr">
        <is>
          <t>To Do</t>
        </is>
      </c>
      <c r="J229" s="8" t="inlineStr">
        <is>
          <t>27/10</t>
        </is>
      </c>
      <c r="K229" s="9" t="inlineStr">
        <is>
          <t>mueve la HU a Done</t>
        </is>
      </c>
      <c r="L229" s="9" t="inlineStr">
        <is>
          <t>T-223</t>
        </is>
      </c>
    </row>
    <row r="230">
      <c r="B230" s="6" t="inlineStr">
        <is>
          <t>T-225</t>
        </is>
      </c>
      <c r="C230" s="6" t="inlineStr">
        <is>
          <t>HU-63</t>
        </is>
      </c>
      <c r="D230" s="7" t="inlineStr">
        <is>
          <t>Tomar asistencia</t>
        </is>
      </c>
      <c r="E230" s="6" t="inlineStr">
        <is>
          <t>Diseño UI</t>
        </is>
      </c>
      <c r="F230" s="7" t="inlineStr">
        <is>
          <t>Diseñar la interfaz de usuario de HU-63: pantalla 7 · Asistencia de la jornada</t>
        </is>
      </c>
      <c r="G230" s="6" t="inlineStr">
        <is>
          <t>Fernando</t>
        </is>
      </c>
      <c r="H230" s="6" t="n">
        <v>1</v>
      </c>
      <c r="I230" s="6" t="inlineStr">
        <is>
          <t>Done</t>
        </is>
      </c>
      <c r="J230" s="6" t="inlineStr">
        <is>
          <t>23/10</t>
        </is>
      </c>
      <c r="K230" s="7" t="inlineStr">
        <is>
          <t>mockup en el lienzo «SIGRO · Pantallas y diagramas del Sprint 1», WCAG AA</t>
        </is>
      </c>
      <c r="L230" s="7" t="inlineStr"/>
    </row>
    <row r="231">
      <c r="B231" s="6" t="inlineStr">
        <is>
          <t>T-226</t>
        </is>
      </c>
      <c r="C231" s="6" t="inlineStr">
        <is>
          <t>HU-63</t>
        </is>
      </c>
      <c r="D231" s="7" t="inlineStr">
        <is>
          <t>Tomar asistencia</t>
        </is>
      </c>
      <c r="E231" s="6" t="inlineStr">
        <is>
          <t>Modelado UML</t>
        </is>
      </c>
      <c r="F231" s="7" t="inlineStr">
        <is>
          <t>Modelar la funcionalidad de HU-63 con el diagrama UML de actividades de la toma de asistencia</t>
        </is>
      </c>
      <c r="G231" s="6" t="inlineStr">
        <is>
          <t>Nicolás</t>
        </is>
      </c>
      <c r="H231" s="6" t="n">
        <v>1</v>
      </c>
      <c r="I231" s="6" t="inlineStr">
        <is>
          <t>To Do</t>
        </is>
      </c>
      <c r="J231" s="6" t="inlineStr">
        <is>
          <t>24/10</t>
        </is>
      </c>
      <c r="K231" s="7" t="inlineStr"/>
      <c r="L231" s="7" t="inlineStr">
        <is>
          <t>T-225</t>
        </is>
      </c>
    </row>
    <row r="232">
      <c r="B232" s="6" t="inlineStr">
        <is>
          <t>T-227</t>
        </is>
      </c>
      <c r="C232" s="6" t="inlineStr">
        <is>
          <t>HU-63</t>
        </is>
      </c>
      <c r="D232" s="7" t="inlineStr">
        <is>
          <t>Tomar asistencia</t>
        </is>
      </c>
      <c r="E232" s="6" t="inlineStr">
        <is>
          <t>Base de datos</t>
        </is>
      </c>
      <c r="F232" s="7" t="inlineStr">
        <is>
          <t>Implementar las tablas asociadas a HU-63: jornada (UNIQUE trabajador + fecha entre las vigentes)</t>
        </is>
      </c>
      <c r="G232" s="6" t="inlineStr">
        <is>
          <t>Adiel</t>
        </is>
      </c>
      <c r="H232" s="6" t="n">
        <v>1</v>
      </c>
      <c r="I232" s="6" t="inlineStr">
        <is>
          <t>Done</t>
        </is>
      </c>
      <c r="J232" s="6" t="inlineStr">
        <is>
          <t>24/10</t>
        </is>
      </c>
      <c r="K232" s="7" t="inlineStr">
        <is>
          <t>migraciones 0001–0006 de la API</t>
        </is>
      </c>
      <c r="L232" s="7" t="inlineStr"/>
    </row>
    <row r="233">
      <c r="B233" s="6" t="inlineStr">
        <is>
          <t>T-228</t>
        </is>
      </c>
      <c r="C233" s="6" t="inlineStr">
        <is>
          <t>HU-63</t>
        </is>
      </c>
      <c r="D233" s="7" t="inlineStr">
        <is>
          <t>Tomar asistencia</t>
        </is>
      </c>
      <c r="E233" s="6" t="inlineStr">
        <is>
          <t>Backend</t>
        </is>
      </c>
      <c r="F233" s="7" t="inlineStr">
        <is>
          <t>Programar el back-end de HU-63 (entidad, repositorio, servicio y controlador): la asistencia: una jornada por trabajador y fecha, corrección sin borrar</t>
        </is>
      </c>
      <c r="G233" s="6" t="inlineStr">
        <is>
          <t>Adiel</t>
        </is>
      </c>
      <c r="H233" s="6" t="n">
        <v>4</v>
      </c>
      <c r="I233" s="6" t="inlineStr">
        <is>
          <t>Done</t>
        </is>
      </c>
      <c r="J233" s="6" t="inlineStr">
        <is>
          <t>25/10</t>
        </is>
      </c>
      <c r="K233" s="7" t="inlineStr">
        <is>
          <t>tareo hecho en la API de Adiel; confirmar criterios</t>
        </is>
      </c>
      <c r="L233" s="7" t="inlineStr"/>
    </row>
    <row r="234">
      <c r="B234" s="6" t="inlineStr">
        <is>
          <t>T-229</t>
        </is>
      </c>
      <c r="C234" s="6" t="inlineStr">
        <is>
          <t>HU-63</t>
        </is>
      </c>
      <c r="D234" s="7" t="inlineStr">
        <is>
          <t>Tomar asistencia</t>
        </is>
      </c>
      <c r="E234" s="6" t="inlineStr">
        <is>
          <t>Triggers y funciones</t>
        </is>
      </c>
      <c r="F234" s="7" t="inlineStr">
        <is>
          <t>Implementar el índice único parcial (trabajador, fecha) entre las jornadas vigentes (HU-63)</t>
        </is>
      </c>
      <c r="G234" s="6" t="inlineStr">
        <is>
          <t>Adiel</t>
        </is>
      </c>
      <c r="H234" s="6" t="n">
        <v>1</v>
      </c>
      <c r="I234" s="6" t="inlineStr">
        <is>
          <t>Done</t>
        </is>
      </c>
      <c r="J234" s="6" t="inlineStr">
        <is>
          <t>25/10</t>
        </is>
      </c>
      <c r="K234" s="7" t="inlineStr"/>
      <c r="L234" s="7" t="inlineStr"/>
    </row>
    <row r="235">
      <c r="B235" s="6" t="inlineStr">
        <is>
          <t>T-230</t>
        </is>
      </c>
      <c r="C235" s="6" t="inlineStr">
        <is>
          <t>HU-63</t>
        </is>
      </c>
      <c r="D235" s="7" t="inlineStr">
        <is>
          <t>Tomar asistencia</t>
        </is>
      </c>
      <c r="E235" s="6" t="inlineStr">
        <is>
          <t>Front-end app</t>
        </is>
      </c>
      <c r="F235" s="7" t="inlineStr">
        <is>
          <t>Programar la pantalla de asistencia del día en la app (horas normales y extra)</t>
        </is>
      </c>
      <c r="G235" s="6" t="inlineStr">
        <is>
          <t>Nicolás</t>
        </is>
      </c>
      <c r="H235" s="6" t="n">
        <v>4</v>
      </c>
      <c r="I235" s="6" t="inlineStr">
        <is>
          <t>To Do</t>
        </is>
      </c>
      <c r="J235" s="6" t="inlineStr">
        <is>
          <t>26/10</t>
        </is>
      </c>
      <c r="K235" s="7" t="inlineStr"/>
      <c r="L235" s="7" t="inlineStr">
        <is>
          <t>T-225, T-235</t>
        </is>
      </c>
    </row>
    <row r="236">
      <c r="B236" s="6" t="inlineStr">
        <is>
          <t>T-231</t>
        </is>
      </c>
      <c r="C236" s="6" t="inlineStr">
        <is>
          <t>HU-63</t>
        </is>
      </c>
      <c r="D236" s="7" t="inlineStr">
        <is>
          <t>Tomar asistencia</t>
        </is>
      </c>
      <c r="E236" s="6" t="inlineStr">
        <is>
          <t>Pruebas</t>
        </is>
      </c>
      <c r="F236" s="7" t="inlineStr">
        <is>
          <t>Probar la funcionalidad de HU-63 (la API con Postman y la app en modo avión y al volver la señal) contra cada condición final y aprobar su PR</t>
        </is>
      </c>
      <c r="G236" s="6" t="inlineStr">
        <is>
          <t>Henry</t>
        </is>
      </c>
      <c r="H236" s="6" t="n">
        <v>1</v>
      </c>
      <c r="I236" s="6" t="inlineStr">
        <is>
          <t>To Do</t>
        </is>
      </c>
      <c r="J236" s="6" t="inlineStr">
        <is>
          <t>27/10</t>
        </is>
      </c>
      <c r="K236" s="7" t="inlineStr">
        <is>
          <t>alguien distinto del autor (T1, T5, T8)</t>
        </is>
      </c>
      <c r="L236" s="7" t="inlineStr">
        <is>
          <t>T-227, T-228, T-229, T-230, T-233</t>
        </is>
      </c>
    </row>
    <row r="237">
      <c r="B237" s="8" t="inlineStr">
        <is>
          <t>T-232</t>
        </is>
      </c>
      <c r="C237" s="8" t="inlineStr">
        <is>
          <t>HU-63</t>
        </is>
      </c>
      <c r="D237" s="9" t="inlineStr">
        <is>
          <t>Tomar asistencia</t>
        </is>
      </c>
      <c r="E237" s="8" t="inlineStr">
        <is>
          <t>Aceptación</t>
        </is>
      </c>
      <c r="F237" s="9" t="inlineStr">
        <is>
          <t>Aceptar HU-63 como Product Owner desde la interfaz y moverla a Done</t>
        </is>
      </c>
      <c r="G237" s="8" t="inlineStr">
        <is>
          <t>Adiel</t>
        </is>
      </c>
      <c r="H237" s="8" t="n">
        <v>0.5</v>
      </c>
      <c r="I237" s="8" t="inlineStr">
        <is>
          <t>To Do</t>
        </is>
      </c>
      <c r="J237" s="8" t="inlineStr">
        <is>
          <t>27/10</t>
        </is>
      </c>
      <c r="K237" s="9" t="inlineStr">
        <is>
          <t>mueve la HU a Done</t>
        </is>
      </c>
      <c r="L237" s="9" t="inlineStr">
        <is>
          <t>T-231</t>
        </is>
      </c>
    </row>
    <row r="238">
      <c r="B238" s="6" t="inlineStr">
        <is>
          <t>T-233</t>
        </is>
      </c>
      <c r="C238" s="6" t="inlineStr">
        <is>
          <t>—</t>
        </is>
      </c>
      <c r="D238" s="7" t="inlineStr">
        <is>
          <t>Transversal</t>
        </is>
      </c>
      <c r="E238" s="6" t="inlineStr">
        <is>
          <t>DevOps</t>
        </is>
      </c>
      <c r="F238" s="7" t="inlineStr">
        <is>
          <t>Desplegar el ambiente de pruebas (API, base de datos y web) que exige el T8 de la DoD</t>
        </is>
      </c>
      <c r="G238" s="6" t="inlineStr">
        <is>
          <t>Fernando</t>
        </is>
      </c>
      <c r="H238" s="6" t="n">
        <v>6</v>
      </c>
      <c r="I238" s="6" t="inlineStr">
        <is>
          <t>To Do</t>
        </is>
      </c>
      <c r="J238" s="6" t="inlineStr">
        <is>
          <t>24/10</t>
        </is>
      </c>
      <c r="K238" s="7" t="inlineStr">
        <is>
          <t>sin esto ninguna HU puede quedar Done</t>
        </is>
      </c>
      <c r="L238" s="7" t="inlineStr"/>
    </row>
    <row r="239">
      <c r="B239" s="6" t="inlineStr">
        <is>
          <t>T-234</t>
        </is>
      </c>
      <c r="C239" s="6" t="inlineStr">
        <is>
          <t>—</t>
        </is>
      </c>
      <c r="D239" s="7" t="inlineStr">
        <is>
          <t>Transversal</t>
        </is>
      </c>
      <c r="E239" s="6" t="inlineStr">
        <is>
          <t>Web</t>
        </is>
      </c>
      <c r="F239" s="7" t="inlineStr">
        <is>
          <t>Programar el ClienteHttp para que la web hable con la API real (snake_case ↔ camelCase, errores {codigo, mensaje})</t>
        </is>
      </c>
      <c r="G239" s="6" t="inlineStr">
        <is>
          <t>Henry</t>
        </is>
      </c>
      <c r="H239" s="6" t="n">
        <v>4</v>
      </c>
      <c r="I239" s="6" t="inlineStr">
        <is>
          <t>To Do</t>
        </is>
      </c>
      <c r="J239" s="6" t="inlineStr">
        <is>
          <t>26/10</t>
        </is>
      </c>
      <c r="K239" s="7" t="inlineStr">
        <is>
          <t>desbloquea todas las tareas «Conectar…»</t>
        </is>
      </c>
      <c r="L239" s="7" t="inlineStr"/>
    </row>
    <row r="240">
      <c r="B240" s="6" t="inlineStr">
        <is>
          <t>T-235</t>
        </is>
      </c>
      <c r="C240" s="6" t="inlineStr">
        <is>
          <t>—</t>
        </is>
      </c>
      <c r="D240" s="7" t="inlineStr">
        <is>
          <t>Transversal</t>
        </is>
      </c>
      <c r="E240" s="6" t="inlineStr">
        <is>
          <t>Android</t>
        </is>
      </c>
      <c r="F240" s="7" t="inlineStr">
        <is>
          <t>Crear el proyecto base de la app: Compose, Room, WorkManager y cliente de la API</t>
        </is>
      </c>
      <c r="G240" s="6" t="inlineStr">
        <is>
          <t>Nicolás</t>
        </is>
      </c>
      <c r="H240" s="6" t="n">
        <v>6</v>
      </c>
      <c r="I240" s="6" t="inlineStr">
        <is>
          <t>To Do</t>
        </is>
      </c>
      <c r="J240" s="6" t="inlineStr">
        <is>
          <t>26/10</t>
        </is>
      </c>
      <c r="K240" s="7" t="inlineStr">
        <is>
          <t>desbloquea todas las tareas Android</t>
        </is>
      </c>
      <c r="L240" s="7" t="inlineStr"/>
    </row>
    <row r="241">
      <c r="B241" s="6" t="inlineStr">
        <is>
          <t>T-236</t>
        </is>
      </c>
      <c r="C241" s="6" t="inlineStr">
        <is>
          <t>—</t>
        </is>
      </c>
      <c r="D241" s="7" t="inlineStr">
        <is>
          <t>Transversal</t>
        </is>
      </c>
      <c r="E241" s="6" t="inlineStr">
        <is>
          <t>Backend</t>
        </is>
      </c>
      <c r="F241" s="7" t="inlineStr">
        <is>
          <t>Cargar en la base las semillas de los 626 proveedores reales</t>
        </is>
      </c>
      <c r="G241" s="6" t="inlineStr">
        <is>
          <t>Adiel</t>
        </is>
      </c>
      <c r="H241" s="6" t="n">
        <v>1</v>
      </c>
      <c r="I241" s="6" t="inlineStr">
        <is>
          <t>To Do</t>
        </is>
      </c>
      <c r="J241" s="6" t="inlineStr">
        <is>
          <t>25/10</t>
        </is>
      </c>
      <c r="K241" s="7" t="inlineStr"/>
      <c r="L241" s="7" t="inlineStr"/>
    </row>
    <row r="242">
      <c r="B242" s="6" t="inlineStr">
        <is>
          <t>T-237</t>
        </is>
      </c>
      <c r="C242" s="6" t="inlineStr">
        <is>
          <t>—</t>
        </is>
      </c>
      <c r="D242" s="7" t="inlineStr">
        <is>
          <t>Transversal</t>
        </is>
      </c>
      <c r="E242" s="6" t="inlineStr">
        <is>
          <t>DevOps</t>
        </is>
      </c>
      <c r="F242" s="7" t="inlineStr">
        <is>
          <t>Configurar las pruebas automáticas en cada PR con GitHub Actions</t>
        </is>
      </c>
      <c r="G242" s="6" t="inlineStr">
        <is>
          <t>Adiel</t>
        </is>
      </c>
      <c r="H242" s="6" t="n">
        <v>3</v>
      </c>
      <c r="I242" s="6" t="inlineStr">
        <is>
          <t>To Do</t>
        </is>
      </c>
      <c r="J242" s="6" t="inlineStr">
        <is>
          <t>24/10</t>
        </is>
      </c>
      <c r="K242" s="7" t="inlineStr">
        <is>
          <t>T5 de la DoD</t>
        </is>
      </c>
      <c r="L242" s="7" t="inlineStr"/>
    </row>
    <row r="243">
      <c r="B243" s="6" t="inlineStr">
        <is>
          <t>T-238</t>
        </is>
      </c>
      <c r="C243" s="6" t="inlineStr">
        <is>
          <t>—</t>
        </is>
      </c>
      <c r="D243" s="7" t="inlineStr">
        <is>
          <t>Transversal</t>
        </is>
      </c>
      <c r="E243" s="6" t="inlineStr">
        <is>
          <t>Scrum</t>
        </is>
      </c>
      <c r="F243" s="7" t="inlineStr">
        <is>
          <t>Poner el repositorio en privado e invitar al docente como lector</t>
        </is>
      </c>
      <c r="G243" s="6" t="inlineStr">
        <is>
          <t>Fernando</t>
        </is>
      </c>
      <c r="H243" s="6" t="n">
        <v>0.5</v>
      </c>
      <c r="I243" s="6" t="inlineStr">
        <is>
          <t>To Do</t>
        </is>
      </c>
      <c r="J243" s="6" t="inlineStr">
        <is>
          <t>23/10</t>
        </is>
      </c>
      <c r="K243" s="7" t="inlineStr">
        <is>
          <t>hoy está público</t>
        </is>
      </c>
      <c r="L243" s="7" t="inlineStr"/>
    </row>
    <row r="244">
      <c r="B244" s="6" t="inlineStr">
        <is>
          <t>T-239</t>
        </is>
      </c>
      <c r="C244" s="6" t="inlineStr">
        <is>
          <t>—</t>
        </is>
      </c>
      <c r="D244" s="7" t="inlineStr">
        <is>
          <t>Transversal</t>
        </is>
      </c>
      <c r="E244" s="6" t="inlineStr">
        <is>
          <t>Scrum</t>
        </is>
      </c>
      <c r="F244" s="7" t="inlineStr">
        <is>
          <t>Armar el tablero en GitHub Projects con las plantillas de DoR y DoD</t>
        </is>
      </c>
      <c r="G244" s="6" t="inlineStr">
        <is>
          <t>Fernando</t>
        </is>
      </c>
      <c r="H244" s="6" t="n">
        <v>2</v>
      </c>
      <c r="I244" s="6" t="inlineStr">
        <is>
          <t>Doing</t>
        </is>
      </c>
      <c r="J244" s="6" t="inlineStr">
        <is>
          <t>23/10</t>
        </is>
      </c>
      <c r="K244" s="7" t="inlineStr"/>
      <c r="L244" s="7" t="inlineStr"/>
    </row>
    <row r="245">
      <c r="B245" s="6" t="inlineStr">
        <is>
          <t>T-240</t>
        </is>
      </c>
      <c r="C245" s="6" t="inlineStr">
        <is>
          <t>—</t>
        </is>
      </c>
      <c r="D245" s="7" t="inlineStr">
        <is>
          <t>Transversal</t>
        </is>
      </c>
      <c r="E245" s="6" t="inlineStr">
        <is>
          <t>Scrum</t>
        </is>
      </c>
      <c r="F245" s="7" t="inlineStr">
        <is>
          <t>Facilitar el Daily Scrum de 15 minutos cada día, registrarlo y actualizar el burndown</t>
        </is>
      </c>
      <c r="G245" s="6" t="inlineStr">
        <is>
          <t>Fernando</t>
        </is>
      </c>
      <c r="H245" s="6" t="n">
        <v>2</v>
      </c>
      <c r="I245" s="6" t="inlineStr">
        <is>
          <t>Doing</t>
        </is>
      </c>
      <c r="J245" s="6" t="inlineStr">
        <is>
          <t>27/10</t>
        </is>
      </c>
      <c r="K245" s="7" t="inlineStr">
        <is>
          <t>hasta el 28/10</t>
        </is>
      </c>
      <c r="L245" s="7" t="inlineStr"/>
    </row>
    <row r="246">
      <c r="B246" s="6" t="inlineStr">
        <is>
          <t>T-241</t>
        </is>
      </c>
      <c r="C246" s="6" t="inlineStr">
        <is>
          <t>—</t>
        </is>
      </c>
      <c r="D246" s="7" t="inlineStr">
        <is>
          <t>Transversal</t>
        </is>
      </c>
      <c r="E246" s="6" t="inlineStr">
        <is>
          <t>UX</t>
        </is>
      </c>
      <c r="F246" s="7" t="inlineStr">
        <is>
          <t>Simplificar los textos de cada pantalla web: título y una línea, con ayuda «?» bajo demanda</t>
        </is>
      </c>
      <c r="G246" s="6" t="inlineStr">
        <is>
          <t>Fernando</t>
        </is>
      </c>
      <c r="H246" s="6" t="n">
        <v>3</v>
      </c>
      <c r="I246" s="6" t="inlineStr">
        <is>
          <t>To Do</t>
        </is>
      </c>
      <c r="J246" s="6" t="inlineStr">
        <is>
          <t>26/10</t>
        </is>
      </c>
      <c r="K246" s="7" t="inlineStr">
        <is>
          <t>observación de Fernando: hoy hay demasiado texto</t>
        </is>
      </c>
      <c r="L246" s="7" t="inlineStr"/>
    </row>
    <row r="247">
      <c r="B247" s="6" t="inlineStr">
        <is>
          <t>T-242</t>
        </is>
      </c>
      <c r="C247" s="6" t="inlineStr">
        <is>
          <t>—</t>
        </is>
      </c>
      <c r="D247" s="7" t="inlineStr">
        <is>
          <t>Transversal</t>
        </is>
      </c>
      <c r="E247" s="6" t="inlineStr">
        <is>
          <t>UX</t>
        </is>
      </c>
      <c r="F247" s="7" t="inlineStr">
        <is>
          <t>Validar las pantallas con el cliente (Pool) en una sesión corta y registrar sus observaciones</t>
        </is>
      </c>
      <c r="G247" s="6" t="inlineStr">
        <is>
          <t>Fernando</t>
        </is>
      </c>
      <c r="H247" s="6" t="n">
        <v>1.5</v>
      </c>
      <c r="I247" s="6" t="inlineStr">
        <is>
          <t>To Do</t>
        </is>
      </c>
      <c r="J247" s="6" t="inlineStr">
        <is>
          <t>26/10</t>
        </is>
      </c>
      <c r="K247" s="7" t="inlineStr">
        <is>
          <t>que lo use quien lo va a usar</t>
        </is>
      </c>
      <c r="L247" s="7" t="inlineStr"/>
    </row>
    <row r="248">
      <c r="B248" s="6" t="inlineStr">
        <is>
          <t>T-243</t>
        </is>
      </c>
      <c r="C248" s="6" t="inlineStr">
        <is>
          <t>—</t>
        </is>
      </c>
      <c r="D248" s="7" t="inlineStr">
        <is>
          <t>Transversal</t>
        </is>
      </c>
      <c r="E248" s="6" t="inlineStr">
        <is>
          <t>UX</t>
        </is>
      </c>
      <c r="F248" s="7" t="inlineStr">
        <is>
          <t>Revisar la app con guantes y al sol: botones grandes, una acción por pantalla, contraste AA</t>
        </is>
      </c>
      <c r="G248" s="6" t="inlineStr">
        <is>
          <t>Nicolás</t>
        </is>
      </c>
      <c r="H248" s="6" t="n">
        <v>2</v>
      </c>
      <c r="I248" s="6" t="inlineStr">
        <is>
          <t>To Do</t>
        </is>
      </c>
      <c r="J248" s="6" t="inlineStr">
        <is>
          <t>26/10</t>
        </is>
      </c>
      <c r="K248" s="7" t="inlineStr">
        <is>
          <t>el almacenero trabaja en obra</t>
        </is>
      </c>
      <c r="L248" s="7" t="inlineStr"/>
    </row>
    <row r="249">
      <c r="B249" s="6" t="inlineStr">
        <is>
          <t>T-244</t>
        </is>
      </c>
      <c r="C249" s="6" t="inlineStr">
        <is>
          <t>—</t>
        </is>
      </c>
      <c r="D249" s="7" t="inlineStr">
        <is>
          <t>Transversal</t>
        </is>
      </c>
      <c r="E249" s="6" t="inlineStr">
        <is>
          <t>Modelado UML</t>
        </is>
      </c>
      <c r="F249" s="7" t="inlineStr">
        <is>
          <t>Modelar los 3 diagramas de casos de uso y los 3 de secuencia (importación S10, salida sin señal, recepción y costo promedio)</t>
        </is>
      </c>
      <c r="G249" s="6" t="inlineStr">
        <is>
          <t>Fernando</t>
        </is>
      </c>
      <c r="H249" s="6" t="n">
        <v>2</v>
      </c>
      <c r="I249" s="6" t="inlineStr">
        <is>
          <t>Done</t>
        </is>
      </c>
      <c r="J249" s="6" t="inlineStr">
        <is>
          <t>24/10</t>
        </is>
      </c>
      <c r="K249" s="7" t="inlineStr">
        <is>
          <t>en el lienzo; cubren HU-07, 35, 37, 38, 40 y 55</t>
        </is>
      </c>
      <c r="L249" s="7" t="inlineStr"/>
    </row>
    <row r="250">
      <c r="B250" s="6" t="inlineStr">
        <is>
          <t>T-245</t>
        </is>
      </c>
      <c r="C250" s="6" t="inlineStr">
        <is>
          <t>—</t>
        </is>
      </c>
      <c r="D250" s="7" t="inlineStr">
        <is>
          <t>Transversal</t>
        </is>
      </c>
      <c r="E250" s="6" t="inlineStr">
        <is>
          <t>Modelado UML</t>
        </is>
      </c>
      <c r="F250" s="7" t="inlineStr">
        <is>
          <t>Dibujar los diagramas de actividades del negocio y de estados</t>
        </is>
      </c>
      <c r="G250" s="6" t="inlineStr">
        <is>
          <t>Nicolás</t>
        </is>
      </c>
      <c r="H250" s="6" t="n">
        <v>2</v>
      </c>
      <c r="I250" s="6" t="inlineStr">
        <is>
          <t>Done</t>
        </is>
      </c>
      <c r="J250" s="6" t="inlineStr">
        <is>
          <t>24/10</t>
        </is>
      </c>
      <c r="K250" s="7" t="inlineStr">
        <is>
          <t>14 hojas: A1–A4 y E1–E3 (22/10)</t>
        </is>
      </c>
      <c r="L250" s="7" t="inlineStr"/>
    </row>
    <row r="251">
      <c r="B251" s="6" t="inlineStr">
        <is>
          <t>T-246</t>
        </is>
      </c>
      <c r="C251" s="6" t="inlineStr">
        <is>
          <t>—</t>
        </is>
      </c>
      <c r="D251" s="7" t="inlineStr">
        <is>
          <t>Transversal</t>
        </is>
      </c>
      <c r="E251" s="6" t="inlineStr">
        <is>
          <t>Modelado UML</t>
        </is>
      </c>
      <c r="F251" s="7" t="inlineStr">
        <is>
          <t>Dibujar la arquitectura en las cuatro vistas del C4 a partir del diagrama de microservicios</t>
        </is>
      </c>
      <c r="G251" s="6" t="inlineStr">
        <is>
          <t>Nicolás</t>
        </is>
      </c>
      <c r="H251" s="6" t="n">
        <v>4</v>
      </c>
      <c r="I251" s="6" t="inlineStr">
        <is>
          <t>To Do</t>
        </is>
      </c>
      <c r="J251" s="6" t="inlineStr">
        <is>
          <t>24/10</t>
        </is>
      </c>
      <c r="K251" s="7" t="inlineStr">
        <is>
          <t>parte de api/docs/diagrama-microservicios.png</t>
        </is>
      </c>
      <c r="L251" s="7" t="inlineStr"/>
    </row>
    <row r="252">
      <c r="B252" s="6" t="inlineStr">
        <is>
          <t>T-247</t>
        </is>
      </c>
      <c r="C252" s="6" t="inlineStr">
        <is>
          <t>—</t>
        </is>
      </c>
      <c r="D252" s="7" t="inlineStr">
        <is>
          <t>Transversal</t>
        </is>
      </c>
      <c r="E252" s="6" t="inlineStr">
        <is>
          <t>Review</t>
        </is>
      </c>
      <c r="F252" s="7" t="inlineStr">
        <is>
          <t>Preparar la demo de la Sprint Review: una compra que cruza recepción, salida y costo de punta a punta</t>
        </is>
      </c>
      <c r="G252" s="6" t="inlineStr">
        <is>
          <t>Fernando</t>
        </is>
      </c>
      <c r="H252" s="6" t="n">
        <v>2</v>
      </c>
      <c r="I252" s="6" t="inlineStr">
        <is>
          <t>To Do</t>
        </is>
      </c>
      <c r="J252" s="6" t="inlineStr">
        <is>
          <t>27/10</t>
        </is>
      </c>
      <c r="K252" s="7" t="inlineStr"/>
      <c r="L252" s="7" t="inlineStr"/>
    </row>
  </sheetData>
  <autoFilter ref="B5:L252"/>
  <conditionalFormatting sqref="B6:L252">
    <cfRule type="expression" priority="1" dxfId="3">
      <formula>$I6="To Do"</formula>
    </cfRule>
    <cfRule type="expression" priority="2" dxfId="1">
      <formula>$I6="Doing"</formula>
    </cfRule>
    <cfRule type="expression" priority="3" dxfId="0">
      <formula>$I6="Done"</formula>
    </cfRule>
  </conditionalFormatting>
  <dataValidations count="1">
    <dataValidation sqref="I6:I252" showDropDown="0" showInputMessage="0" showErrorMessage="0" allowBlank="0" type="list">
      <formula1>"To Do,Doing,Done"</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B2:H43"/>
  <sheetViews>
    <sheetView showGridLines="0" workbookViewId="0">
      <selection activeCell="A1" sqref="A1"/>
    </sheetView>
  </sheetViews>
  <sheetFormatPr baseColWidth="8" defaultRowHeight="15"/>
  <cols>
    <col width="2" customWidth="1" min="1" max="1"/>
    <col width="16" customWidth="1" min="2" max="2"/>
    <col width="36" customWidth="1" min="3" max="3"/>
    <col width="9" customWidth="1" min="4" max="4"/>
    <col width="9" customWidth="1" min="5" max="5"/>
    <col width="12" customWidth="1" min="6" max="6"/>
    <col width="10" customWidth="1" min="7" max="7"/>
    <col width="16" customWidth="1" min="8" max="8"/>
  </cols>
  <sheetData>
    <row r="2">
      <c r="B2" s="10" t="inlineStr">
        <is>
          <t>Resumen del tablero (se actualiza solo)</t>
        </is>
      </c>
    </row>
    <row r="4">
      <c r="B4" s="11" t="inlineStr">
        <is>
          <t>Responsable</t>
        </is>
      </c>
      <c r="C4" s="11" t="inlineStr">
        <is>
          <t>To Do</t>
        </is>
      </c>
      <c r="D4" s="11" t="inlineStr">
        <is>
          <t>Doing</t>
        </is>
      </c>
      <c r="E4" s="11" t="inlineStr">
        <is>
          <t>Done</t>
        </is>
      </c>
      <c r="F4" s="11" t="inlineStr">
        <is>
          <t>Horas pendientes</t>
        </is>
      </c>
      <c r="G4" s="11" t="inlineStr">
        <is>
          <t>Doing ≤ 2 (sin Scrum)</t>
        </is>
      </c>
    </row>
    <row r="5">
      <c r="B5" s="12" t="inlineStr">
        <is>
          <t>Fernando</t>
        </is>
      </c>
      <c r="C5" s="12">
        <f>COUNTIFS(Tablero!$G$6:$G$252,B5,Tablero!$I$6:$I$252,"To Do")</f>
        <v/>
      </c>
      <c r="D5" s="12">
        <f>COUNTIFS(Tablero!$G$6:$G$252,B5,Tablero!$I$6:$I$252,"Doing")</f>
        <v/>
      </c>
      <c r="E5" s="12">
        <f>COUNTIFS(Tablero!$G$6:$G$252,B5,Tablero!$I$6:$I$252,"Done")</f>
        <v/>
      </c>
      <c r="F5" s="12">
        <f>SUMIFS(Tablero!$H$6:$H$252,Tablero!$G$6:$G$252,B5,Tablero!$I$6:$I$252,"&lt;&gt;Done")</f>
        <v/>
      </c>
      <c r="G5" s="12">
        <f>IF(COUNTIFS(Tablero!$G$6:$G$252,B5,Tablero!$I$6:$I$252,"Doing",Tablero!$E$6:$E$252,"&lt;&gt;Scrum")&lt;=2,"ok","demasiado en curso")</f>
        <v/>
      </c>
    </row>
    <row r="6">
      <c r="B6" s="12" t="inlineStr">
        <is>
          <t>Henry</t>
        </is>
      </c>
      <c r="C6" s="12">
        <f>COUNTIFS(Tablero!$G$6:$G$252,B6,Tablero!$I$6:$I$252,"To Do")</f>
        <v/>
      </c>
      <c r="D6" s="12">
        <f>COUNTIFS(Tablero!$G$6:$G$252,B6,Tablero!$I$6:$I$252,"Doing")</f>
        <v/>
      </c>
      <c r="E6" s="12">
        <f>COUNTIFS(Tablero!$G$6:$G$252,B6,Tablero!$I$6:$I$252,"Done")</f>
        <v/>
      </c>
      <c r="F6" s="12">
        <f>SUMIFS(Tablero!$H$6:$H$252,Tablero!$G$6:$G$252,B6,Tablero!$I$6:$I$252,"&lt;&gt;Done")</f>
        <v/>
      </c>
      <c r="G6" s="12">
        <f>IF(COUNTIFS(Tablero!$G$6:$G$252,B6,Tablero!$I$6:$I$252,"Doing",Tablero!$E$6:$E$252,"&lt;&gt;Scrum")&lt;=2,"ok","demasiado en curso")</f>
        <v/>
      </c>
    </row>
    <row r="7">
      <c r="B7" s="12" t="inlineStr">
        <is>
          <t>Nicolás</t>
        </is>
      </c>
      <c r="C7" s="12">
        <f>COUNTIFS(Tablero!$G$6:$G$252,B7,Tablero!$I$6:$I$252,"To Do")</f>
        <v/>
      </c>
      <c r="D7" s="12">
        <f>COUNTIFS(Tablero!$G$6:$G$252,B7,Tablero!$I$6:$I$252,"Doing")</f>
        <v/>
      </c>
      <c r="E7" s="12">
        <f>COUNTIFS(Tablero!$G$6:$G$252,B7,Tablero!$I$6:$I$252,"Done")</f>
        <v/>
      </c>
      <c r="F7" s="12">
        <f>SUMIFS(Tablero!$H$6:$H$252,Tablero!$G$6:$G$252,B7,Tablero!$I$6:$I$252,"&lt;&gt;Done")</f>
        <v/>
      </c>
      <c r="G7" s="12">
        <f>IF(COUNTIFS(Tablero!$G$6:$G$252,B7,Tablero!$I$6:$I$252,"Doing",Tablero!$E$6:$E$252,"&lt;&gt;Scrum")&lt;=2,"ok","demasiado en curso")</f>
        <v/>
      </c>
    </row>
    <row r="8">
      <c r="B8" s="12" t="inlineStr">
        <is>
          <t>Adiel</t>
        </is>
      </c>
      <c r="C8" s="12">
        <f>COUNTIFS(Tablero!$G$6:$G$252,B8,Tablero!$I$6:$I$252,"To Do")</f>
        <v/>
      </c>
      <c r="D8" s="12">
        <f>COUNTIFS(Tablero!$G$6:$G$252,B8,Tablero!$I$6:$I$252,"Doing")</f>
        <v/>
      </c>
      <c r="E8" s="12">
        <f>COUNTIFS(Tablero!$G$6:$G$252,B8,Tablero!$I$6:$I$252,"Done")</f>
        <v/>
      </c>
      <c r="F8" s="12">
        <f>SUMIFS(Tablero!$H$6:$H$252,Tablero!$G$6:$G$252,B8,Tablero!$I$6:$I$252,"&lt;&gt;Done")</f>
        <v/>
      </c>
      <c r="G8" s="12">
        <f>IF(COUNTIFS(Tablero!$G$6:$G$252,B8,Tablero!$I$6:$I$252,"Doing",Tablero!$E$6:$E$252,"&lt;&gt;Scrum")&lt;=2,"ok","demasiado en curso")</f>
        <v/>
      </c>
    </row>
    <row r="9">
      <c r="B9" s="13" t="inlineStr">
        <is>
          <t>Total</t>
        </is>
      </c>
      <c r="C9" s="13">
        <f>SUM(C5:C8)</f>
        <v/>
      </c>
      <c r="D9" s="13">
        <f>SUM(D5:D8)</f>
        <v/>
      </c>
      <c r="E9" s="13">
        <f>SUM(E5:E8)</f>
        <v/>
      </c>
      <c r="F9" s="13">
        <f>SUM(F5:F8)</f>
        <v/>
      </c>
    </row>
    <row r="12">
      <c r="B12" s="11" t="inlineStr">
        <is>
          <t>HU</t>
        </is>
      </c>
      <c r="C12" s="11" t="inlineStr">
        <is>
          <t>Historia</t>
        </is>
      </c>
      <c r="D12" s="11" t="inlineStr">
        <is>
          <t>Puntos</t>
        </is>
      </c>
      <c r="E12" s="11" t="inlineStr">
        <is>
          <t>Tareas</t>
        </is>
      </c>
      <c r="F12" s="11" t="inlineStr">
        <is>
          <t>Tareas Done</t>
        </is>
      </c>
      <c r="G12" s="11" t="inlineStr">
        <is>
          <t>% avance</t>
        </is>
      </c>
      <c r="H12" s="11" t="inlineStr">
        <is>
          <t>Estado de la HU</t>
        </is>
      </c>
    </row>
    <row r="13">
      <c r="B13" s="12" t="inlineStr">
        <is>
          <t>HU-01</t>
        </is>
      </c>
      <c r="C13" s="12" t="inlineStr">
        <is>
          <t>Crear proyecto</t>
        </is>
      </c>
      <c r="D13" s="12" t="n">
        <v>3</v>
      </c>
      <c r="E13" s="12">
        <f>COUNTIF(Tablero!$C$6:$C$252,B13)</f>
        <v/>
      </c>
      <c r="F13" s="12">
        <f>COUNTIFS(Tablero!$C$6:$C$252,B13,Tablero!$I$6:$I$252,"Done")</f>
        <v/>
      </c>
      <c r="G13" s="14">
        <f>IF(E13=0,0,F13/E13)</f>
        <v/>
      </c>
      <c r="H13" s="12">
        <f>IF(COUNTIFS(Tablero!$C$6:$C$252,B13,Tablero!$E$6:$E$252,"Aceptación",Tablero!$I$6:$I$252,"Done")=1,"Done",IF(F13&gt;0,"Doing","To Do"))</f>
        <v/>
      </c>
    </row>
    <row r="14">
      <c r="B14" s="12" t="inlineStr">
        <is>
          <t>HU-03</t>
        </is>
      </c>
      <c r="C14" s="12" t="inlineStr">
        <is>
          <t>Reportar la obra en semanas</t>
        </is>
      </c>
      <c r="D14" s="12" t="n">
        <v>3</v>
      </c>
      <c r="E14" s="12">
        <f>COUNTIF(Tablero!$C$6:$C$252,B14)</f>
        <v/>
      </c>
      <c r="F14" s="12">
        <f>COUNTIFS(Tablero!$C$6:$C$252,B14,Tablero!$I$6:$I$252,"Done")</f>
        <v/>
      </c>
      <c r="G14" s="14">
        <f>IF(E14=0,0,F14/E14)</f>
        <v/>
      </c>
      <c r="H14" s="12">
        <f>IF(COUNTIFS(Tablero!$C$6:$C$252,B14,Tablero!$E$6:$E$252,"Aceptación",Tablero!$I$6:$I$252,"Done")=1,"Done",IF(F14&gt;0,"Doing","To Do"))</f>
        <v/>
      </c>
    </row>
    <row r="15">
      <c r="B15" s="12" t="inlineStr">
        <is>
          <t>HU-07</t>
        </is>
      </c>
      <c r="C15" s="12" t="inlineStr">
        <is>
          <t>Importar catálogo de insumos del S10</t>
        </is>
      </c>
      <c r="D15" s="12" t="n">
        <v>8</v>
      </c>
      <c r="E15" s="12">
        <f>COUNTIF(Tablero!$C$6:$C$252,B15)</f>
        <v/>
      </c>
      <c r="F15" s="12">
        <f>COUNTIFS(Tablero!$C$6:$C$252,B15,Tablero!$I$6:$I$252,"Done")</f>
        <v/>
      </c>
      <c r="G15" s="14">
        <f>IF(E15=0,0,F15/E15)</f>
        <v/>
      </c>
      <c r="H15" s="12">
        <f>IF(COUNTIFS(Tablero!$C$6:$C$252,B15,Tablero!$E$6:$E$252,"Aceptación",Tablero!$I$6:$I$252,"Done")=1,"Done",IF(F15&gt;0,"Doing","To Do"))</f>
        <v/>
      </c>
    </row>
    <row r="16">
      <c r="B16" s="12" t="inlineStr">
        <is>
          <t>HU-08</t>
        </is>
      </c>
      <c r="C16" s="12" t="inlineStr">
        <is>
          <t>Registrar insumos</t>
        </is>
      </c>
      <c r="D16" s="12" t="n">
        <v>5</v>
      </c>
      <c r="E16" s="12">
        <f>COUNTIF(Tablero!$C$6:$C$252,B16)</f>
        <v/>
      </c>
      <c r="F16" s="12">
        <f>COUNTIFS(Tablero!$C$6:$C$252,B16,Tablero!$I$6:$I$252,"Done")</f>
        <v/>
      </c>
      <c r="G16" s="14">
        <f>IF(E16=0,0,F16/E16)</f>
        <v/>
      </c>
      <c r="H16" s="12">
        <f>IF(COUNTIFS(Tablero!$C$6:$C$252,B16,Tablero!$E$6:$E$252,"Aceptación",Tablero!$I$6:$I$252,"Done")=1,"Done",IF(F16&gt;0,"Doing","To Do"))</f>
        <v/>
      </c>
    </row>
    <row r="17">
      <c r="B17" s="12" t="inlineStr">
        <is>
          <t>HU-12</t>
        </is>
      </c>
      <c r="C17" s="12" t="inlineStr">
        <is>
          <t>Loguear usuario</t>
        </is>
      </c>
      <c r="D17" s="12" t="n">
        <v>5</v>
      </c>
      <c r="E17" s="12">
        <f>COUNTIF(Tablero!$C$6:$C$252,B17)</f>
        <v/>
      </c>
      <c r="F17" s="12">
        <f>COUNTIFS(Tablero!$C$6:$C$252,B17,Tablero!$I$6:$I$252,"Done")</f>
        <v/>
      </c>
      <c r="G17" s="14">
        <f>IF(E17=0,0,F17/E17)</f>
        <v/>
      </c>
      <c r="H17" s="12">
        <f>IF(COUNTIFS(Tablero!$C$6:$C$252,B17,Tablero!$E$6:$E$252,"Aceptación",Tablero!$I$6:$I$252,"Done")=1,"Done",IF(F17&gt;0,"Doing","To Do"))</f>
        <v/>
      </c>
    </row>
    <row r="18">
      <c r="B18" s="12" t="inlineStr">
        <is>
          <t>HU-13</t>
        </is>
      </c>
      <c r="C18" s="12" t="inlineStr">
        <is>
          <t>Asignar roles</t>
        </is>
      </c>
      <c r="D18" s="12" t="n">
        <v>5</v>
      </c>
      <c r="E18" s="12">
        <f>COUNTIF(Tablero!$C$6:$C$252,B18)</f>
        <v/>
      </c>
      <c r="F18" s="12">
        <f>COUNTIFS(Tablero!$C$6:$C$252,B18,Tablero!$I$6:$I$252,"Done")</f>
        <v/>
      </c>
      <c r="G18" s="14">
        <f>IF(E18=0,0,F18/E18)</f>
        <v/>
      </c>
      <c r="H18" s="12">
        <f>IF(COUNTIFS(Tablero!$C$6:$C$252,B18,Tablero!$E$6:$E$252,"Aceptación",Tablero!$I$6:$I$252,"Done")=1,"Done",IF(F18&gt;0,"Doing","To Do"))</f>
        <v/>
      </c>
    </row>
    <row r="19">
      <c r="B19" s="12" t="inlineStr">
        <is>
          <t>HU-14</t>
        </is>
      </c>
      <c r="C19" s="12" t="inlineStr">
        <is>
          <t>Asignar usuarios a obras</t>
        </is>
      </c>
      <c r="D19" s="12" t="n">
        <v>3</v>
      </c>
      <c r="E19" s="12">
        <f>COUNTIF(Tablero!$C$6:$C$252,B19)</f>
        <v/>
      </c>
      <c r="F19" s="12">
        <f>COUNTIFS(Tablero!$C$6:$C$252,B19,Tablero!$I$6:$I$252,"Done")</f>
        <v/>
      </c>
      <c r="G19" s="14">
        <f>IF(E19=0,0,F19/E19)</f>
        <v/>
      </c>
      <c r="H19" s="12">
        <f>IF(COUNTIFS(Tablero!$C$6:$C$252,B19,Tablero!$E$6:$E$252,"Aceptación",Tablero!$I$6:$I$252,"Done")=1,"Done",IF(F19&gt;0,"Doing","To Do"))</f>
        <v/>
      </c>
    </row>
    <row r="20">
      <c r="B20" s="12" t="inlineStr">
        <is>
          <t>HU-15</t>
        </is>
      </c>
      <c r="C20" s="12" t="inlineStr">
        <is>
          <t>Autorizar celular de la obra</t>
        </is>
      </c>
      <c r="D20" s="12" t="n">
        <v>5</v>
      </c>
      <c r="E20" s="12">
        <f>COUNTIF(Tablero!$C$6:$C$252,B20)</f>
        <v/>
      </c>
      <c r="F20" s="12">
        <f>COUNTIFS(Tablero!$C$6:$C$252,B20,Tablero!$I$6:$I$252,"Done")</f>
        <v/>
      </c>
      <c r="G20" s="14">
        <f>IF(E20=0,0,F20/E20)</f>
        <v/>
      </c>
      <c r="H20" s="12">
        <f>IF(COUNTIFS(Tablero!$C$6:$C$252,B20,Tablero!$E$6:$E$252,"Aceptación",Tablero!$I$6:$I$252,"Done")=1,"Done",IF(F20&gt;0,"Doing","To Do"))</f>
        <v/>
      </c>
    </row>
    <row r="21">
      <c r="B21" s="12" t="inlineStr">
        <is>
          <t>HU-16</t>
        </is>
      </c>
      <c r="C21" s="12" t="inlineStr">
        <is>
          <t>Importar precios unitarios</t>
        </is>
      </c>
      <c r="D21" s="12" t="n">
        <v>8</v>
      </c>
      <c r="E21" s="12">
        <f>COUNTIF(Tablero!$C$6:$C$252,B21)</f>
        <v/>
      </c>
      <c r="F21" s="12">
        <f>COUNTIFS(Tablero!$C$6:$C$252,B21,Tablero!$I$6:$I$252,"Done")</f>
        <v/>
      </c>
      <c r="G21" s="14">
        <f>IF(E21=0,0,F21/E21)</f>
        <v/>
      </c>
      <c r="H21" s="12">
        <f>IF(COUNTIFS(Tablero!$C$6:$C$252,B21,Tablero!$E$6:$E$252,"Aceptación",Tablero!$I$6:$I$252,"Done")=1,"Done",IF(F21&gt;0,"Doing","To Do"))</f>
        <v/>
      </c>
    </row>
    <row r="22">
      <c r="B22" s="12" t="inlineStr">
        <is>
          <t>HU-17</t>
        </is>
      </c>
      <c r="C22" s="12" t="inlineStr">
        <is>
          <t>Convertir unidades (kg a varillas)</t>
        </is>
      </c>
      <c r="D22" s="12" t="n">
        <v>3</v>
      </c>
      <c r="E22" s="12">
        <f>COUNTIF(Tablero!$C$6:$C$252,B22)</f>
        <v/>
      </c>
      <c r="F22" s="12">
        <f>COUNTIFS(Tablero!$C$6:$C$252,B22,Tablero!$I$6:$I$252,"Done")</f>
        <v/>
      </c>
      <c r="G22" s="14">
        <f>IF(E22=0,0,F22/E22)</f>
        <v/>
      </c>
      <c r="H22" s="12">
        <f>IF(COUNTIFS(Tablero!$C$6:$C$252,B22,Tablero!$E$6:$E$252,"Aceptación",Tablero!$I$6:$I$252,"Done")=1,"Done",IF(F22&gt;0,"Doing","To Do"))</f>
        <v/>
      </c>
    </row>
    <row r="23">
      <c r="B23" s="12" t="inlineStr">
        <is>
          <t>HU-19</t>
        </is>
      </c>
      <c r="C23" s="12" t="inlineStr">
        <is>
          <t>Importar requerimiento de la obra</t>
        </is>
      </c>
      <c r="D23" s="12" t="n">
        <v>5</v>
      </c>
      <c r="E23" s="12">
        <f>COUNTIF(Tablero!$C$6:$C$252,B23)</f>
        <v/>
      </c>
      <c r="F23" s="12">
        <f>COUNTIFS(Tablero!$C$6:$C$252,B23,Tablero!$I$6:$I$252,"Done")</f>
        <v/>
      </c>
      <c r="G23" s="14">
        <f>IF(E23=0,0,F23/E23)</f>
        <v/>
      </c>
      <c r="H23" s="12">
        <f>IF(COUNTIFS(Tablero!$C$6:$C$252,B23,Tablero!$E$6:$E$252,"Aceptación",Tablero!$I$6:$I$252,"Done")=1,"Done",IF(F23&gt;0,"Doing","To Do"))</f>
        <v/>
      </c>
    </row>
    <row r="24">
      <c r="B24" s="12" t="inlineStr">
        <is>
          <t>HU-23</t>
        </is>
      </c>
      <c r="C24" s="12" t="inlineStr">
        <is>
          <t>Consultar cuánto se compró y consumió</t>
        </is>
      </c>
      <c r="D24" s="12" t="n">
        <v>5</v>
      </c>
      <c r="E24" s="12">
        <f>COUNTIF(Tablero!$C$6:$C$252,B24)</f>
        <v/>
      </c>
      <c r="F24" s="12">
        <f>COUNTIFS(Tablero!$C$6:$C$252,B24,Tablero!$I$6:$I$252,"Done")</f>
        <v/>
      </c>
      <c r="G24" s="14">
        <f>IF(E24=0,0,F24/E24)</f>
        <v/>
      </c>
      <c r="H24" s="12">
        <f>IF(COUNTIFS(Tablero!$C$6:$C$252,B24,Tablero!$E$6:$E$252,"Aceptación",Tablero!$I$6:$I$252,"Done")=1,"Done",IF(F24&gt;0,"Doing","To Do"))</f>
        <v/>
      </c>
    </row>
    <row r="25">
      <c r="B25" s="12" t="inlineStr">
        <is>
          <t>HU-24</t>
        </is>
      </c>
      <c r="C25" s="12" t="inlineStr">
        <is>
          <t>Consultar cuánto falta comprar</t>
        </is>
      </c>
      <c r="D25" s="12" t="n">
        <v>3</v>
      </c>
      <c r="E25" s="12">
        <f>COUNTIF(Tablero!$C$6:$C$252,B25)</f>
        <v/>
      </c>
      <c r="F25" s="12">
        <f>COUNTIFS(Tablero!$C$6:$C$252,B25,Tablero!$I$6:$I$252,"Done")</f>
        <v/>
      </c>
      <c r="G25" s="14">
        <f>IF(E25=0,0,F25/E25)</f>
        <v/>
      </c>
      <c r="H25" s="12">
        <f>IF(COUNTIFS(Tablero!$C$6:$C$252,B25,Tablero!$E$6:$E$252,"Aceptación",Tablero!$I$6:$I$252,"Done")=1,"Done",IF(F25&gt;0,"Doing","To Do"))</f>
        <v/>
      </c>
    </row>
    <row r="26">
      <c r="B26" s="12" t="inlineStr">
        <is>
          <t>HU-25</t>
        </is>
      </c>
      <c r="C26" s="12" t="inlineStr">
        <is>
          <t>Definir punto de reposición</t>
        </is>
      </c>
      <c r="D26" s="12" t="n">
        <v>5</v>
      </c>
      <c r="E26" s="12">
        <f>COUNTIF(Tablero!$C$6:$C$252,B26)</f>
        <v/>
      </c>
      <c r="F26" s="12">
        <f>COUNTIFS(Tablero!$C$6:$C$252,B26,Tablero!$I$6:$I$252,"Done")</f>
        <v/>
      </c>
      <c r="G26" s="14">
        <f>IF(E26=0,0,F26/E26)</f>
        <v/>
      </c>
      <c r="H26" s="12">
        <f>IF(COUNTIFS(Tablero!$C$6:$C$252,B26,Tablero!$E$6:$E$252,"Aceptación",Tablero!$I$6:$I$252,"Done")=1,"Done",IF(F26&gt;0,"Doing","To Do"))</f>
        <v/>
      </c>
    </row>
    <row r="27">
      <c r="B27" s="12" t="inlineStr">
        <is>
          <t>HU-26</t>
        </is>
      </c>
      <c r="C27" s="12" t="inlineStr">
        <is>
          <t>Avisar cuándo reponer</t>
        </is>
      </c>
      <c r="D27" s="12" t="n">
        <v>5</v>
      </c>
      <c r="E27" s="12">
        <f>COUNTIF(Tablero!$C$6:$C$252,B27)</f>
        <v/>
      </c>
      <c r="F27" s="12">
        <f>COUNTIFS(Tablero!$C$6:$C$252,B27,Tablero!$I$6:$I$252,"Done")</f>
        <v/>
      </c>
      <c r="G27" s="14">
        <f>IF(E27=0,0,F27/E27)</f>
        <v/>
      </c>
      <c r="H27" s="12">
        <f>IF(COUNTIFS(Tablero!$C$6:$C$252,B27,Tablero!$E$6:$E$252,"Aceptación",Tablero!$I$6:$I$252,"Done")=1,"Done",IF(F27&gt;0,"Doing","To Do"))</f>
        <v/>
      </c>
    </row>
    <row r="28">
      <c r="B28" s="12" t="inlineStr">
        <is>
          <t>HU-27</t>
        </is>
      </c>
      <c r="C28" s="12" t="inlineStr">
        <is>
          <t>Sugerir cuánto comprar</t>
        </is>
      </c>
      <c r="D28" s="12" t="n">
        <v>5</v>
      </c>
      <c r="E28" s="12">
        <f>COUNTIF(Tablero!$C$6:$C$252,B28)</f>
        <v/>
      </c>
      <c r="F28" s="12">
        <f>COUNTIFS(Tablero!$C$6:$C$252,B28,Tablero!$I$6:$I$252,"Done")</f>
        <v/>
      </c>
      <c r="G28" s="14">
        <f>IF(E28=0,0,F28/E28)</f>
        <v/>
      </c>
      <c r="H28" s="12">
        <f>IF(COUNTIFS(Tablero!$C$6:$C$252,B28,Tablero!$E$6:$E$252,"Aceptación",Tablero!$I$6:$I$252,"Done")=1,"Done",IF(F28&gt;0,"Doing","To Do"))</f>
        <v/>
      </c>
    </row>
    <row r="29">
      <c r="B29" s="12" t="inlineStr">
        <is>
          <t>HU-29</t>
        </is>
      </c>
      <c r="C29" s="12" t="inlineStr">
        <is>
          <t>Consultar proveedores</t>
        </is>
      </c>
      <c r="D29" s="12" t="n">
        <v>3</v>
      </c>
      <c r="E29" s="12">
        <f>COUNTIF(Tablero!$C$6:$C$252,B29)</f>
        <v/>
      </c>
      <c r="F29" s="12">
        <f>COUNTIFS(Tablero!$C$6:$C$252,B29,Tablero!$I$6:$I$252,"Done")</f>
        <v/>
      </c>
      <c r="G29" s="14">
        <f>IF(E29=0,0,F29/E29)</f>
        <v/>
      </c>
      <c r="H29" s="12">
        <f>IF(COUNTIFS(Tablero!$C$6:$C$252,B29,Tablero!$E$6:$E$252,"Aceptación",Tablero!$I$6:$I$252,"Done")=1,"Done",IF(F29&gt;0,"Doing","To Do"))</f>
        <v/>
      </c>
    </row>
    <row r="30">
      <c r="B30" s="12" t="inlineStr">
        <is>
          <t>HU-30</t>
        </is>
      </c>
      <c r="C30" s="12" t="inlineStr">
        <is>
          <t>Registrar proveedores</t>
        </is>
      </c>
      <c r="D30" s="12" t="n">
        <v>3</v>
      </c>
      <c r="E30" s="12">
        <f>COUNTIF(Tablero!$C$6:$C$252,B30)</f>
        <v/>
      </c>
      <c r="F30" s="12">
        <f>COUNTIFS(Tablero!$C$6:$C$252,B30,Tablero!$I$6:$I$252,"Done")</f>
        <v/>
      </c>
      <c r="G30" s="14">
        <f>IF(E30=0,0,F30/E30)</f>
        <v/>
      </c>
      <c r="H30" s="12">
        <f>IF(COUNTIFS(Tablero!$C$6:$C$252,B30,Tablero!$E$6:$E$252,"Aceptación",Tablero!$I$6:$I$252,"Done")=1,"Done",IF(F30&gt;0,"Doing","To Do"))</f>
        <v/>
      </c>
    </row>
    <row r="31">
      <c r="B31" s="12" t="inlineStr">
        <is>
          <t>HU-32</t>
        </is>
      </c>
      <c r="C31" s="12" t="inlineStr">
        <is>
          <t>Registrar compras</t>
        </is>
      </c>
      <c r="D31" s="12" t="n">
        <v>8</v>
      </c>
      <c r="E31" s="12">
        <f>COUNTIF(Tablero!$C$6:$C$252,B31)</f>
        <v/>
      </c>
      <c r="F31" s="12">
        <f>COUNTIFS(Tablero!$C$6:$C$252,B31,Tablero!$I$6:$I$252,"Done")</f>
        <v/>
      </c>
      <c r="G31" s="14">
        <f>IF(E31=0,0,F31/E31)</f>
        <v/>
      </c>
      <c r="H31" s="12">
        <f>IF(COUNTIFS(Tablero!$C$6:$C$252,B31,Tablero!$E$6:$E$252,"Aceptación",Tablero!$I$6:$I$252,"Done")=1,"Done",IF(F31&gt;0,"Doing","To Do"))</f>
        <v/>
      </c>
    </row>
    <row r="32">
      <c r="B32" s="12" t="inlineStr">
        <is>
          <t>HU-35</t>
        </is>
      </c>
      <c r="C32" s="12" t="inlineStr">
        <is>
          <t>Recibir compras</t>
        </is>
      </c>
      <c r="D32" s="12" t="n">
        <v>8</v>
      </c>
      <c r="E32" s="12">
        <f>COUNTIF(Tablero!$C$6:$C$252,B32)</f>
        <v/>
      </c>
      <c r="F32" s="12">
        <f>COUNTIFS(Tablero!$C$6:$C$252,B32,Tablero!$I$6:$I$252,"Done")</f>
        <v/>
      </c>
      <c r="G32" s="14">
        <f>IF(E32=0,0,F32/E32)</f>
        <v/>
      </c>
      <c r="H32" s="12">
        <f>IF(COUNTIFS(Tablero!$C$6:$C$252,B32,Tablero!$E$6:$E$252,"Aceptación",Tablero!$I$6:$I$252,"Done")=1,"Done",IF(F32&gt;0,"Doing","To Do"))</f>
        <v/>
      </c>
    </row>
    <row r="33">
      <c r="B33" s="12" t="inlineStr">
        <is>
          <t>HU-37</t>
        </is>
      </c>
      <c r="C33" s="12" t="inlineStr">
        <is>
          <t>Registrar sin señal</t>
        </is>
      </c>
      <c r="D33" s="12" t="n">
        <v>8</v>
      </c>
      <c r="E33" s="12">
        <f>COUNTIF(Tablero!$C$6:$C$252,B33)</f>
        <v/>
      </c>
      <c r="F33" s="12">
        <f>COUNTIFS(Tablero!$C$6:$C$252,B33,Tablero!$I$6:$I$252,"Done")</f>
        <v/>
      </c>
      <c r="G33" s="14">
        <f>IF(E33=0,0,F33/E33)</f>
        <v/>
      </c>
      <c r="H33" s="12">
        <f>IF(COUNTIFS(Tablero!$C$6:$C$252,B33,Tablero!$E$6:$E$252,"Aceptación",Tablero!$I$6:$I$252,"Done")=1,"Done",IF(F33&gt;0,"Doing","To Do"))</f>
        <v/>
      </c>
    </row>
    <row r="34">
      <c r="B34" s="12" t="inlineStr">
        <is>
          <t>HU-38</t>
        </is>
      </c>
      <c r="C34" s="12" t="inlineStr">
        <is>
          <t>Sincronizar pendientes</t>
        </is>
      </c>
      <c r="D34" s="12" t="n">
        <v>5</v>
      </c>
      <c r="E34" s="12">
        <f>COUNTIF(Tablero!$C$6:$C$252,B34)</f>
        <v/>
      </c>
      <c r="F34" s="12">
        <f>COUNTIFS(Tablero!$C$6:$C$252,B34,Tablero!$I$6:$I$252,"Done")</f>
        <v/>
      </c>
      <c r="G34" s="14">
        <f>IF(E34=0,0,F34/E34)</f>
        <v/>
      </c>
      <c r="H34" s="12">
        <f>IF(COUNTIFS(Tablero!$C$6:$C$252,B34,Tablero!$E$6:$E$252,"Aceptación",Tablero!$I$6:$I$252,"Done")=1,"Done",IF(F34&gt;0,"Doing","To Do"))</f>
        <v/>
      </c>
    </row>
    <row r="35">
      <c r="B35" s="12" t="inlineStr">
        <is>
          <t>HU-40</t>
        </is>
      </c>
      <c r="C35" s="12" t="inlineStr">
        <is>
          <t>Registrar salidas de material</t>
        </is>
      </c>
      <c r="D35" s="12" t="n">
        <v>8</v>
      </c>
      <c r="E35" s="12">
        <f>COUNTIF(Tablero!$C$6:$C$252,B35)</f>
        <v/>
      </c>
      <c r="F35" s="12">
        <f>COUNTIFS(Tablero!$C$6:$C$252,B35,Tablero!$I$6:$I$252,"Done")</f>
        <v/>
      </c>
      <c r="G35" s="14">
        <f>IF(E35=0,0,F35/E35)</f>
        <v/>
      </c>
      <c r="H35" s="12">
        <f>IF(COUNTIFS(Tablero!$C$6:$C$252,B35,Tablero!$E$6:$E$252,"Aceptación",Tablero!$I$6:$I$252,"Done")=1,"Done",IF(F35&gt;0,"Doing","To Do"))</f>
        <v/>
      </c>
    </row>
    <row r="36">
      <c r="B36" s="12" t="inlineStr">
        <is>
          <t>HU-43</t>
        </is>
      </c>
      <c r="C36" s="12" t="inlineStr">
        <is>
          <t>Consultar stock</t>
        </is>
      </c>
      <c r="D36" s="12" t="n">
        <v>5</v>
      </c>
      <c r="E36" s="12">
        <f>COUNTIF(Tablero!$C$6:$C$252,B36)</f>
        <v/>
      </c>
      <c r="F36" s="12">
        <f>COUNTIFS(Tablero!$C$6:$C$252,B36,Tablero!$I$6:$I$252,"Done")</f>
        <v/>
      </c>
      <c r="G36" s="14">
        <f>IF(E36=0,0,F36/E36)</f>
        <v/>
      </c>
      <c r="H36" s="12">
        <f>IF(COUNTIFS(Tablero!$C$6:$C$252,B36,Tablero!$E$6:$E$252,"Aceptación",Tablero!$I$6:$I$252,"Done")=1,"Done",IF(F36&gt;0,"Doing","To Do"))</f>
        <v/>
      </c>
    </row>
    <row r="37">
      <c r="B37" s="12" t="inlineStr">
        <is>
          <t>HU-45</t>
        </is>
      </c>
      <c r="C37" s="12" t="inlineStr">
        <is>
          <t>Corregir movimientos</t>
        </is>
      </c>
      <c r="D37" s="12" t="n">
        <v>5</v>
      </c>
      <c r="E37" s="12">
        <f>COUNTIF(Tablero!$C$6:$C$252,B37)</f>
        <v/>
      </c>
      <c r="F37" s="12">
        <f>COUNTIFS(Tablero!$C$6:$C$252,B37,Tablero!$I$6:$I$252,"Done")</f>
        <v/>
      </c>
      <c r="G37" s="14">
        <f>IF(E37=0,0,F37/E37)</f>
        <v/>
      </c>
      <c r="H37" s="12">
        <f>IF(COUNTIFS(Tablero!$C$6:$C$252,B37,Tablero!$E$6:$E$252,"Aceptación",Tablero!$I$6:$I$252,"Done")=1,"Done",IF(F37&gt;0,"Doing","To Do"))</f>
        <v/>
      </c>
    </row>
    <row r="38">
      <c r="B38" s="12" t="inlineStr">
        <is>
          <t>HU-55</t>
        </is>
      </c>
      <c r="C38" s="12" t="inlineStr">
        <is>
          <t>Valorizar salidas</t>
        </is>
      </c>
      <c r="D38" s="12" t="n">
        <v>8</v>
      </c>
      <c r="E38" s="12">
        <f>COUNTIF(Tablero!$C$6:$C$252,B38)</f>
        <v/>
      </c>
      <c r="F38" s="12">
        <f>COUNTIFS(Tablero!$C$6:$C$252,B38,Tablero!$I$6:$I$252,"Done")</f>
        <v/>
      </c>
      <c r="G38" s="14">
        <f>IF(E38=0,0,F38/E38)</f>
        <v/>
      </c>
      <c r="H38" s="12">
        <f>IF(COUNTIFS(Tablero!$C$6:$C$252,B38,Tablero!$E$6:$E$252,"Aceptación",Tablero!$I$6:$I$252,"Done")=1,"Done",IF(F38&gt;0,"Doing","To Do"))</f>
        <v/>
      </c>
    </row>
    <row r="39">
      <c r="B39" s="12" t="inlineStr">
        <is>
          <t>HU-57</t>
        </is>
      </c>
      <c r="C39" s="12" t="inlineStr">
        <is>
          <t>Comparar consumo vs. lo planificado</t>
        </is>
      </c>
      <c r="D39" s="12" t="n">
        <v>8</v>
      </c>
      <c r="E39" s="12">
        <f>COUNTIF(Tablero!$C$6:$C$252,B39)</f>
        <v/>
      </c>
      <c r="F39" s="12">
        <f>COUNTIFS(Tablero!$C$6:$C$252,B39,Tablero!$I$6:$I$252,"Done")</f>
        <v/>
      </c>
      <c r="G39" s="14">
        <f>IF(E39=0,0,F39/E39)</f>
        <v/>
      </c>
      <c r="H39" s="12">
        <f>IF(COUNTIFS(Tablero!$C$6:$C$252,B39,Tablero!$E$6:$E$252,"Aceptación",Tablero!$I$6:$I$252,"Done")=1,"Done",IF(F39&gt;0,"Doing","To Do"))</f>
        <v/>
      </c>
    </row>
    <row r="40">
      <c r="B40" s="12" t="inlineStr">
        <is>
          <t>HU-62</t>
        </is>
      </c>
      <c r="C40" s="12" t="inlineStr">
        <is>
          <t>Registrar trabajadores</t>
        </is>
      </c>
      <c r="D40" s="12" t="n">
        <v>3</v>
      </c>
      <c r="E40" s="12">
        <f>COUNTIF(Tablero!$C$6:$C$252,B40)</f>
        <v/>
      </c>
      <c r="F40" s="12">
        <f>COUNTIFS(Tablero!$C$6:$C$252,B40,Tablero!$I$6:$I$252,"Done")</f>
        <v/>
      </c>
      <c r="G40" s="14">
        <f>IF(E40=0,0,F40/E40)</f>
        <v/>
      </c>
      <c r="H40" s="12">
        <f>IF(COUNTIFS(Tablero!$C$6:$C$252,B40,Tablero!$E$6:$E$252,"Aceptación",Tablero!$I$6:$I$252,"Done")=1,"Done",IF(F40&gt;0,"Doing","To Do"))</f>
        <v/>
      </c>
    </row>
    <row r="41">
      <c r="B41" s="12" t="inlineStr">
        <is>
          <t>HU-63</t>
        </is>
      </c>
      <c r="C41" s="12" t="inlineStr">
        <is>
          <t>Tomar asistencia</t>
        </is>
      </c>
      <c r="D41" s="12" t="n">
        <v>5</v>
      </c>
      <c r="E41" s="12">
        <f>COUNTIF(Tablero!$C$6:$C$252,B41)</f>
        <v/>
      </c>
      <c r="F41" s="12">
        <f>COUNTIFS(Tablero!$C$6:$C$252,B41,Tablero!$I$6:$I$252,"Done")</f>
        <v/>
      </c>
      <c r="G41" s="14">
        <f>IF(E41=0,0,F41/E41)</f>
        <v/>
      </c>
      <c r="H41" s="12">
        <f>IF(COUNTIFS(Tablero!$C$6:$C$252,B41,Tablero!$E$6:$E$252,"Aceptación",Tablero!$I$6:$I$252,"Done")=1,"Done",IF(F41&gt;0,"Doing","To Do"))</f>
        <v/>
      </c>
    </row>
    <row r="42">
      <c r="B42" s="13" t="inlineStr">
        <is>
          <t>Puntos terminados (velocidad)</t>
        </is>
      </c>
      <c r="D42" s="13">
        <f>SUMIF(H13:H41,"Done",D13:D41)</f>
        <v/>
      </c>
    </row>
    <row r="43">
      <c r="B43" s="13" t="inlineStr">
        <is>
          <t>Puntos comprometidos</t>
        </is>
      </c>
      <c r="D43" s="13">
        <f>SUM(D13:D41)</f>
        <v/>
      </c>
    </row>
  </sheetData>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B2:C12"/>
  <sheetViews>
    <sheetView showGridLines="0" workbookViewId="0">
      <selection activeCell="A1" sqref="A1"/>
    </sheetView>
  </sheetViews>
  <sheetFormatPr baseColWidth="8" defaultRowHeight="15"/>
  <cols>
    <col width="2" customWidth="1" min="1" max="1"/>
    <col width="26" customWidth="1" min="2" max="2"/>
    <col width="110" customWidth="1" min="3" max="3"/>
  </cols>
  <sheetData>
    <row r="2">
      <c r="B2" s="10" t="inlineStr">
        <is>
          <t>Reglas del tablero</t>
        </is>
      </c>
    </row>
    <row r="4" ht="34" customHeight="1">
      <c r="B4" s="15" t="inlineStr">
        <is>
          <t>Columnas</t>
        </is>
      </c>
      <c r="C4" s="16" t="inlineStr">
        <is>
          <t>To Do → Doing → Done. Una tarjeta por TAREA; la HU queda Done cuando su tarea «Aceptar … como Product Owner» pasa a Done.</t>
        </is>
      </c>
    </row>
    <row r="5" ht="34" customHeight="1">
      <c r="B5" s="15" t="inlineStr">
        <is>
          <t>Criterio de las tareas</t>
        </is>
      </c>
      <c r="C5" s="16" t="inlineStr">
        <is>
          <t>Una tarea entra solo si produce algo que la DoD verifica o si desbloquea a otra. Lo ya hecho se cuenta una vez; el diseño de pantallas y el UML se hacen por flujo, no por HU.</t>
        </is>
      </c>
    </row>
    <row r="6" ht="34" customHeight="1">
      <c r="B6" s="15" t="inlineStr">
        <is>
          <t>Entrada a Doing (DoR)</t>
        </is>
      </c>
      <c r="C6" s="16" t="inlineStr">
        <is>
          <t>Una tarea solo pasa a Doing si su HU cumple L1–L12: entre ellos recursos identificados, requisitos técnicos y accesos de red.</t>
        </is>
      </c>
    </row>
    <row r="7" ht="34" customHeight="1">
      <c r="B7" s="15" t="inlineStr">
        <is>
          <t>Entrada a Done (DoD)</t>
        </is>
      </c>
      <c r="C7" s="16" t="inlineStr">
        <is>
          <t>La tarea de cierre pasa a Done solo con T1–T10 y las condiciones finales de la tarjeta verificadas desde la interfaz y aceptadas por el PO.</t>
        </is>
      </c>
    </row>
    <row r="8" ht="34" customHeight="1">
      <c r="B8" s="15" t="inlineStr">
        <is>
          <t>Límite de trabajo en curso</t>
        </is>
      </c>
      <c r="C8" s="16" t="inlineStr">
        <is>
          <t>Máximo 2 tareas en Doing por persona: se termina antes de empezar otra.</t>
        </is>
      </c>
    </row>
    <row r="9" ht="34" customHeight="1">
      <c r="B9" s="15" t="inlineStr">
        <is>
          <t>Daily Scrum</t>
        </is>
      </c>
      <c r="C9" s="16" t="inlineStr">
        <is>
          <t>Todos los días, 15 minutos, frente al tablero: qué terminé, qué hago hoy, qué me bloquea. Se mueve la tarjeta en la reunión, no después.</t>
        </is>
      </c>
    </row>
    <row r="10" ht="34" customHeight="1">
      <c r="B10" s="15" t="inlineStr">
        <is>
          <t>Fecha de cierre</t>
        </is>
      </c>
      <c r="C10" s="16" t="inlineStr">
        <is>
          <t>Lunes 27/10 (penúltimo día): todo en Done. Martes 28/10: Sprint Review y Retrospectiva. Lo que no llegue vuelve al Product Backlog, no se arrastra a escondidas.</t>
        </is>
      </c>
    </row>
    <row r="11" ht="34" customHeight="1">
      <c r="B11" s="15" t="inlineStr">
        <is>
          <t>Bloqueos</t>
        </is>
      </c>
      <c r="C11" s="16" t="inlineStr">
        <is>
          <t>Las tareas «Conectar… a la API real» dependen del ClienteHttp (Henry) y del ambiente de pruebas (Adiel): esas dos van primero.</t>
        </is>
      </c>
    </row>
    <row r="12" ht="34" customHeight="1">
      <c r="B12" s="15" t="inlineStr">
        <is>
          <t>Reparto</t>
        </is>
      </c>
      <c r="C12" s="16" t="inlineStr">
        <is>
          <t>Web: Fernando y Henry · App Android: Nicolás · Backend: Adiel (además PO) · Integraciones: Fernando (además Scrum Master).</t>
        </is>
      </c>
    </row>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2026-10-22T22:27:45Z</dcterms:created>
  <dcterms:modified xmlns:dcterms="http://purl.org/dc/terms/" xmlns:xsi="http://www.w3.org/2001/XMLSchema-instance" xsi:type="dcterms:W3CDTF">2026-10-22T22:27:45Z</dcterms:modified>
</cp:coreProperties>
</file>