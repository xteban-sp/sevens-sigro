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r HU y tareas" sheetId="1" state="visible" r:id="rId1"/>
    <sheet xmlns:r="http://schemas.openxmlformats.org/officeDocument/2006/relationships" name="Tablero" sheetId="2" state="visible" r:id="rId2"/>
    <sheet xmlns:r="http://schemas.openxmlformats.org/officeDocument/2006/relationships" name="Resumen" sheetId="3" state="visible" r:id="rId3"/>
    <sheet xmlns:r="http://schemas.openxmlformats.org/officeDocument/2006/relationships" name="Reglas del tablero" sheetId="4" state="visible" r:id="rId4"/>
  </sheets>
  <definedNames>
    <definedName name="_xlnm._FilterDatabase" localSheetId="1" hidden="1">'Tablero'!$B$5:$L$161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9A3E00"/>
      <sz val="16"/>
    </font>
    <font>
      <color rgb="0070777D"/>
      <sz val="10"/>
    </font>
    <font>
      <b val="1"/>
      <color rgb="00FFFFFF"/>
    </font>
    <font>
      <sz val="10"/>
    </font>
    <font>
      <b val="1"/>
      <sz val="10"/>
    </font>
    <font>
      <b val="1"/>
      <color rgb="009A3E00"/>
      <sz val="14"/>
    </font>
    <font>
      <b val="1"/>
    </font>
    <font>
      <b val="1"/>
      <color rgb="009A3E00"/>
      <sz val="11"/>
    </font>
    <font>
      <i val="1"/>
      <color rgb="0070777D"/>
      <sz val="10"/>
    </font>
  </fonts>
  <fills count="4">
    <fill>
      <patternFill/>
    </fill>
    <fill>
      <patternFill patternType="gray125"/>
    </fill>
    <fill>
      <patternFill patternType="solid">
        <fgColor rgb="00C2410C"/>
      </patternFill>
    </fill>
    <fill>
      <patternFill patternType="solid">
        <fgColor rgb="00FFF1E5"/>
      </patternFill>
    </fill>
  </fills>
  <borders count="2">
    <border>
      <left/>
      <right/>
      <top/>
      <bottom/>
      <diagonal/>
    </border>
    <border>
      <left style="thin">
        <color rgb="00D9D9D4"/>
      </left>
      <right style="thin">
        <color rgb="00D9D9D4"/>
      </right>
      <top style="thin">
        <color rgb="00D9D9D4"/>
      </top>
      <bottom style="thin">
        <color rgb="00D9D9D4"/>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8" fillId="3" borderId="1" pivotButton="0" quotePrefix="0" xfId="0"/>
    <xf numFmtId="0" fontId="9" fillId="0" borderId="0" applyAlignment="1" pivotButton="0" quotePrefix="0" xfId="0">
      <alignmen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pivotButton="0" quotePrefix="0" xfId="0"/>
    <xf numFmtId="0" fontId="3" fillId="2" borderId="1" pivotButton="0" quotePrefix="0" xfId="0"/>
    <xf numFmtId="0" fontId="0" fillId="0" borderId="1" pivotButton="0" quotePrefix="0" xfId="0"/>
    <xf numFmtId="0" fontId="7" fillId="0" borderId="0" pivotButton="0" quotePrefix="0" xfId="0"/>
    <xf numFmtId="9" fontId="0" fillId="0" borderId="1" pivotButton="0" quotePrefix="0" xfId="0"/>
    <xf numFmtId="0" fontId="7" fillId="3"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dxfs count="4">
    <dxf>
      <fill>
        <patternFill patternType="solid">
          <fgColor rgb="00E7F6EC"/>
        </patternFill>
      </fill>
    </dxf>
    <dxf>
      <fill>
        <patternFill patternType="solid">
          <fgColor rgb="00FDF2E3"/>
        </patternFill>
      </fill>
    </dxf>
    <dxf>
      <fill>
        <patternFill patternType="solid">
          <fgColor rgb="00FCEBEB"/>
        </patternFill>
      </fill>
    </dxf>
    <dxf>
      <fill>
        <patternFill patternType="solid">
          <fgColor rgb="00F3F3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K22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66" customWidth="1" min="3" max="3"/>
    <col width="13" customWidth="1" min="4" max="4"/>
    <col width="13" customWidth="1" min="5" max="5"/>
    <col width="7" customWidth="1" min="6" max="6"/>
    <col width="8" customWidth="1" min="7" max="7"/>
    <col width="9" customWidth="1" min="8" max="8"/>
    <col width="16" customWidth="1" min="9" max="9"/>
    <col width="10" customWidth="1" min="10" max="10"/>
    <col width="40" customWidth="1" min="11" max="11"/>
  </cols>
  <sheetData>
    <row r="2">
      <c r="B2" s="1" t="inlineStr">
        <is>
          <t>SIGRO · Sprint 1 · Historias de usuario y sus tareas (para validar)</t>
        </is>
      </c>
    </row>
    <row r="3">
      <c r="B3" s="2" t="inlineStr">
        <is>
          <t>Cada integrante revisa las tareas de su área y marca «¿De acuerdo?». Si es «No», escribe qué cambiar. Lo validado pasa al tablero de GitHub.</t>
        </is>
      </c>
    </row>
    <row r="5">
      <c r="B5" s="3" t="inlineStr">
        <is>
          <t>HU / ID</t>
        </is>
      </c>
      <c r="C5" s="3" t="inlineStr">
        <is>
          <t>Historia de usuario / tarea</t>
        </is>
      </c>
      <c r="D5" s="3" t="inlineStr">
        <is>
          <t>Fase / área</t>
        </is>
      </c>
      <c r="E5" s="3" t="inlineStr">
        <is>
          <t>Responsable</t>
        </is>
      </c>
      <c r="F5" s="3" t="inlineStr">
        <is>
          <t>Horas</t>
        </is>
      </c>
      <c r="G5" s="3" t="inlineStr">
        <is>
          <t>Estado</t>
        </is>
      </c>
      <c r="H5" s="3" t="inlineStr">
        <is>
          <t>Fecha límite</t>
        </is>
      </c>
      <c r="I5" s="3" t="inlineStr">
        <is>
          <t>Depende de</t>
        </is>
      </c>
      <c r="J5" s="3" t="inlineStr">
        <is>
          <t>¿De acuerdo?</t>
        </is>
      </c>
      <c r="K5" s="3" t="inlineStr">
        <is>
          <t>Observación</t>
        </is>
      </c>
    </row>
    <row r="6">
      <c r="B6" s="4" t="inlineStr">
        <is>
          <t>HU-01 · Crear proyecto   3 pts</t>
        </is>
      </c>
    </row>
    <row r="7" ht="18" customHeight="1">
      <c r="B7" s="5" t="inlineStr">
        <is>
          <t>Como residente de obra, quiero crear el proyecto con su nombre y su plazo, para acotar todo el movimiento a ese periodo.</t>
        </is>
      </c>
    </row>
    <row r="8" ht="30" customHeight="1">
      <c r="B8" s="6" t="inlineStr">
        <is>
          <t>T-001</t>
        </is>
      </c>
      <c r="C8" s="7" t="inlineStr">
        <is>
          <t>Programar el endpoint para crear la obra, validando nombre y plazo obligatorios, fin ≥ inicio y estado inicial «en ejecución»</t>
        </is>
      </c>
      <c r="D8" s="6" t="inlineStr">
        <is>
          <t>Backend</t>
        </is>
      </c>
      <c r="E8" s="6" t="inlineStr">
        <is>
          <t>Adiel</t>
        </is>
      </c>
      <c r="F8" s="6" t="n">
        <v>2</v>
      </c>
      <c r="G8" s="6" t="inlineStr">
        <is>
          <t>Done</t>
        </is>
      </c>
      <c r="H8" s="6" t="inlineStr">
        <is>
          <t>25/10</t>
        </is>
      </c>
      <c r="I8" s="6" t="n"/>
      <c r="J8" s="6" t="n"/>
      <c r="K8" s="7" t="inlineStr">
        <is>
          <t>hecho en la API de Adiel (PR #1 fusionado a main), con pruebas</t>
        </is>
      </c>
    </row>
    <row r="9" ht="30" customHeight="1">
      <c r="B9" s="6" t="inlineStr">
        <is>
          <t>T-002</t>
        </is>
      </c>
      <c r="C9" s="7" t="inlineStr">
        <is>
          <t>Programar la pantalla web para crear la obra</t>
        </is>
      </c>
      <c r="D9" s="6" t="inlineStr">
        <is>
          <t>Web</t>
        </is>
      </c>
      <c r="E9" s="6" t="inlineStr">
        <is>
          <t>Fernando</t>
        </is>
      </c>
      <c r="F9" s="6" t="n">
        <v>2</v>
      </c>
      <c r="G9" s="6" t="inlineStr">
        <is>
          <t>Done</t>
        </is>
      </c>
      <c r="H9" s="6" t="inlineStr">
        <is>
          <t>26/10</t>
        </is>
      </c>
      <c r="I9" s="6" t="n"/>
      <c r="J9" s="6" t="n"/>
      <c r="K9" s="7" t="inlineStr">
        <is>
          <t>pantalla hecha con datos simulados; falta conectarla a la API real</t>
        </is>
      </c>
    </row>
    <row r="10" ht="30" customHeight="1">
      <c r="B10" s="6" t="inlineStr">
        <is>
          <t>T-003</t>
        </is>
      </c>
      <c r="C10" s="7" t="inlineStr">
        <is>
          <t>Conectar la pantalla «Crear la obra» con el endpoint real de la API</t>
        </is>
      </c>
      <c r="D10" s="6" t="inlineStr">
        <is>
          <t>Web</t>
        </is>
      </c>
      <c r="E10" s="6" t="inlineStr">
        <is>
          <t>Fernando</t>
        </is>
      </c>
      <c r="F10" s="6" t="n">
        <v>2</v>
      </c>
      <c r="G10" s="6" t="inlineStr">
        <is>
          <t>To Do</t>
        </is>
      </c>
      <c r="H10" s="6" t="inlineStr">
        <is>
          <t>26/10</t>
        </is>
      </c>
      <c r="I10" s="6" t="inlineStr">
        <is>
          <t>T-001, T-140</t>
        </is>
      </c>
      <c r="J10" s="6" t="n"/>
      <c r="K10" s="7" t="n"/>
    </row>
    <row r="11" ht="30" customHeight="1">
      <c r="B11" s="6" t="inlineStr">
        <is>
          <t>T-004</t>
        </is>
      </c>
      <c r="C11" s="7" t="inlineStr">
        <is>
          <t>Probar HU-01 en el ambiente de pruebas contra sus condiciones finales y aprobar su PR</t>
        </is>
      </c>
      <c r="D11" s="6" t="inlineStr">
        <is>
          <t>Pruebas</t>
        </is>
      </c>
      <c r="E11" s="6" t="inlineStr">
        <is>
          <t>Henry</t>
        </is>
      </c>
      <c r="F11" s="6" t="n">
        <v>1</v>
      </c>
      <c r="G11" s="6" t="inlineStr">
        <is>
          <t>To Do</t>
        </is>
      </c>
      <c r="H11" s="6" t="inlineStr">
        <is>
          <t>27/10</t>
        </is>
      </c>
      <c r="I11" s="6" t="inlineStr">
        <is>
          <t>T-001, T-002, T-003, T-139</t>
        </is>
      </c>
      <c r="J11" s="6" t="n"/>
      <c r="K11" s="7" t="inlineStr">
        <is>
          <t>alguien distinto del autor (T1, T5, T8)</t>
        </is>
      </c>
    </row>
    <row r="12" ht="30" customHeight="1">
      <c r="B12" s="8" t="inlineStr">
        <is>
          <t>T-005</t>
        </is>
      </c>
      <c r="C12" s="9" t="inlineStr">
        <is>
          <t>Aceptar HU-01 como Product Owner desde la interfaz y moverla a Done</t>
        </is>
      </c>
      <c r="D12" s="8" t="inlineStr">
        <is>
          <t>Aceptación</t>
        </is>
      </c>
      <c r="E12" s="8" t="inlineStr">
        <is>
          <t>Adiel</t>
        </is>
      </c>
      <c r="F12" s="8" t="n">
        <v>0.5</v>
      </c>
      <c r="G12" s="8" t="inlineStr">
        <is>
          <t>To Do</t>
        </is>
      </c>
      <c r="H12" s="8" t="inlineStr">
        <is>
          <t>27/10</t>
        </is>
      </c>
      <c r="I12" s="8" t="inlineStr">
        <is>
          <t>T-004</t>
        </is>
      </c>
      <c r="J12" s="8" t="n"/>
      <c r="K12" s="9" t="inlineStr">
        <is>
          <t>mueve la HU a Done</t>
        </is>
      </c>
    </row>
    <row r="13">
      <c r="B13" s="4" t="inlineStr">
        <is>
          <t>HU-03 · Reportar la obra en semanas   3 pts</t>
        </is>
      </c>
    </row>
    <row r="14" ht="18" customHeight="1">
      <c r="B14" s="5" t="inlineStr">
        <is>
          <t>Como residente de obra, quiero dividir el plazo de la obra en periodos semanales de control, para comparar lo consumido de un periodo con otro sin armar el corte a mano.</t>
        </is>
      </c>
    </row>
    <row r="15" ht="30" customHeight="1">
      <c r="B15" s="6" t="inlineStr">
        <is>
          <t>T-006</t>
        </is>
      </c>
      <c r="C15" s="7" t="inlineStr">
        <is>
          <t>Programar la generación automática de semanas al crear la obra y al ampliar el plazo, con sus pruebas</t>
        </is>
      </c>
      <c r="D15" s="6" t="inlineStr">
        <is>
          <t>Backend</t>
        </is>
      </c>
      <c r="E15" s="6" t="inlineStr">
        <is>
          <t>Adiel</t>
        </is>
      </c>
      <c r="F15" s="6" t="n">
        <v>2</v>
      </c>
      <c r="G15" s="6" t="inlineStr">
        <is>
          <t>To Do</t>
        </is>
      </c>
      <c r="H15" s="6" t="inlineStr">
        <is>
          <t>25/10</t>
        </is>
      </c>
      <c r="I15" s="6" t="n"/>
      <c r="J15" s="6" t="n"/>
      <c r="K15" s="7" t="inlineStr">
        <is>
          <t>confirmar si la API ya las genera</t>
        </is>
      </c>
    </row>
    <row r="16" ht="30" customHeight="1">
      <c r="B16" s="6" t="inlineStr">
        <is>
          <t>T-007</t>
        </is>
      </c>
      <c r="C16" s="7" t="inlineStr">
        <is>
          <t>Programar la tira de semanas en la web (cerrada, en curso, por venir)</t>
        </is>
      </c>
      <c r="D16" s="6" t="inlineStr">
        <is>
          <t>Web</t>
        </is>
      </c>
      <c r="E16" s="6" t="inlineStr">
        <is>
          <t>Fernando</t>
        </is>
      </c>
      <c r="F16" s="6" t="n">
        <v>2</v>
      </c>
      <c r="G16" s="6" t="inlineStr">
        <is>
          <t>Done</t>
        </is>
      </c>
      <c r="H16" s="6" t="inlineStr">
        <is>
          <t>26/10</t>
        </is>
      </c>
      <c r="I16" s="6" t="n"/>
      <c r="J16" s="6" t="n"/>
      <c r="K16" s="7" t="inlineStr">
        <is>
          <t>pantalla hecha con datos simulados; falta conectarla a la API real</t>
        </is>
      </c>
    </row>
    <row r="17" ht="30" customHeight="1">
      <c r="B17" s="6" t="inlineStr">
        <is>
          <t>T-008</t>
        </is>
      </c>
      <c r="C17" s="7" t="inlineStr">
        <is>
          <t>Conectar la tira de semanas con la API real</t>
        </is>
      </c>
      <c r="D17" s="6" t="inlineStr">
        <is>
          <t>Web</t>
        </is>
      </c>
      <c r="E17" s="6" t="inlineStr">
        <is>
          <t>Fernando</t>
        </is>
      </c>
      <c r="F17" s="6" t="n">
        <v>2</v>
      </c>
      <c r="G17" s="6" t="inlineStr">
        <is>
          <t>To Do</t>
        </is>
      </c>
      <c r="H17" s="6" t="inlineStr">
        <is>
          <t>26/10</t>
        </is>
      </c>
      <c r="I17" s="6" t="inlineStr">
        <is>
          <t>T-006, T-140</t>
        </is>
      </c>
      <c r="J17" s="6" t="n"/>
      <c r="K17" s="7" t="n"/>
    </row>
    <row r="18" ht="30" customHeight="1">
      <c r="B18" s="6" t="inlineStr">
        <is>
          <t>T-009</t>
        </is>
      </c>
      <c r="C18" s="7" t="inlineStr">
        <is>
          <t>Probar HU-03 en el ambiente de pruebas contra sus condiciones finales y aprobar su PR</t>
        </is>
      </c>
      <c r="D18" s="6" t="inlineStr">
        <is>
          <t>Pruebas</t>
        </is>
      </c>
      <c r="E18" s="6" t="inlineStr">
        <is>
          <t>Henry</t>
        </is>
      </c>
      <c r="F18" s="6" t="n">
        <v>1</v>
      </c>
      <c r="G18" s="6" t="inlineStr">
        <is>
          <t>To Do</t>
        </is>
      </c>
      <c r="H18" s="6" t="inlineStr">
        <is>
          <t>27/10</t>
        </is>
      </c>
      <c r="I18" s="6" t="inlineStr">
        <is>
          <t>T-006, T-007, T-008, T-139</t>
        </is>
      </c>
      <c r="J18" s="6" t="n"/>
      <c r="K18" s="7" t="inlineStr">
        <is>
          <t>alguien distinto del autor (T1, T5, T8)</t>
        </is>
      </c>
    </row>
    <row r="19" ht="30" customHeight="1">
      <c r="B19" s="8" t="inlineStr">
        <is>
          <t>T-010</t>
        </is>
      </c>
      <c r="C19" s="9" t="inlineStr">
        <is>
          <t>Aceptar HU-03 como Product Owner desde la interfaz y moverla a Done</t>
        </is>
      </c>
      <c r="D19" s="8" t="inlineStr">
        <is>
          <t>Aceptación</t>
        </is>
      </c>
      <c r="E19" s="8" t="inlineStr">
        <is>
          <t>Adiel</t>
        </is>
      </c>
      <c r="F19" s="8" t="n">
        <v>0.5</v>
      </c>
      <c r="G19" s="8" t="inlineStr">
        <is>
          <t>To Do</t>
        </is>
      </c>
      <c r="H19" s="8" t="inlineStr">
        <is>
          <t>27/10</t>
        </is>
      </c>
      <c r="I19" s="8" t="inlineStr">
        <is>
          <t>T-009</t>
        </is>
      </c>
      <c r="J19" s="8" t="n"/>
      <c r="K19" s="9" t="inlineStr">
        <is>
          <t>mueve la HU a Done</t>
        </is>
      </c>
    </row>
    <row r="20">
      <c r="B20" s="4" t="inlineStr">
        <is>
          <t>HU-07 · Importar catálogo de insumos del S10   8 pts</t>
        </is>
      </c>
    </row>
    <row r="21" ht="18" customHeight="1">
      <c r="B21" s="5" t="inlineStr">
        <is>
          <t>Como residente de obra, quiero importar el catálogo de insumos del S10, para evitar cargar a mano cientos de insumos.</t>
        </is>
      </c>
    </row>
    <row r="22" ht="30" customHeight="1">
      <c r="B22" s="6" t="inlineStr">
        <is>
          <t>T-011</t>
        </is>
      </c>
      <c r="C22" s="7" t="inlineStr">
        <is>
          <t>Programar el lector del PDF «Relación de insumos» del S10 en el microservicio</t>
        </is>
      </c>
      <c r="D22" s="6" t="inlineStr">
        <is>
          <t>Integraciones</t>
        </is>
      </c>
      <c r="E22" s="6" t="inlineStr">
        <is>
          <t>Fernando</t>
        </is>
      </c>
      <c r="F22" s="6" t="n">
        <v>4</v>
      </c>
      <c r="G22" s="6" t="inlineStr">
        <is>
          <t>Done</t>
        </is>
      </c>
      <c r="H22" s="6" t="inlineStr">
        <is>
          <t>25/10</t>
        </is>
      </c>
      <c r="I22" s="6" t="n"/>
      <c r="J22" s="6" t="n"/>
      <c r="K22" s="7" t="inlineStr">
        <is>
          <t>probado con el archivo real: 284 insumos, 0 fallidos, total exacto</t>
        </is>
      </c>
    </row>
    <row r="23" ht="30" customHeight="1">
      <c r="B23" s="6" t="inlineStr">
        <is>
          <t>T-012</t>
        </is>
      </c>
      <c r="C23" s="7" t="inlineStr">
        <is>
          <t>Programar el endpoint que aplica la importación: crear o actualizar insumos por código sin tocar saldos</t>
        </is>
      </c>
      <c r="D23" s="6" t="inlineStr">
        <is>
          <t>Backend</t>
        </is>
      </c>
      <c r="E23" s="6" t="inlineStr">
        <is>
          <t>Adiel</t>
        </is>
      </c>
      <c r="F23" s="6" t="n">
        <v>4</v>
      </c>
      <c r="G23" s="6" t="inlineStr">
        <is>
          <t>To Do</t>
        </is>
      </c>
      <c r="H23" s="6" t="inlineStr">
        <is>
          <t>25/10</t>
        </is>
      </c>
      <c r="I23" s="6" t="n"/>
      <c r="J23" s="6" t="n"/>
      <c r="K23" s="7" t="n"/>
    </row>
    <row r="24" ht="30" customHeight="1">
      <c r="B24" s="6" t="inlineStr">
        <is>
          <t>T-013</t>
        </is>
      </c>
      <c r="C24" s="7" t="inlineStr">
        <is>
          <t>Configurar la llamada de la API a Integraciones con el token de servicio en docker compose</t>
        </is>
      </c>
      <c r="D24" s="6" t="inlineStr">
        <is>
          <t>Backend</t>
        </is>
      </c>
      <c r="E24" s="6" t="inlineStr">
        <is>
          <t>Adiel</t>
        </is>
      </c>
      <c r="F24" s="6" t="n">
        <v>4</v>
      </c>
      <c r="G24" s="6" t="inlineStr">
        <is>
          <t>To Do</t>
        </is>
      </c>
      <c r="H24" s="6" t="inlineStr">
        <is>
          <t>25/10</t>
        </is>
      </c>
      <c r="I24" s="6" t="n"/>
      <c r="J24" s="6" t="n"/>
      <c r="K24" s="7" t="inlineStr">
        <is>
          <t>decisión B del 22/10</t>
        </is>
      </c>
    </row>
    <row r="25" ht="30" customHeight="1">
      <c r="B25" s="6" t="inlineStr">
        <is>
          <t>T-014</t>
        </is>
      </c>
      <c r="C25" s="7" t="inlineStr">
        <is>
          <t>Programar la pantalla web «Importar del S10» con el resumen de creados, actualizados y fallidos</t>
        </is>
      </c>
      <c r="D25" s="6" t="inlineStr">
        <is>
          <t>Web</t>
        </is>
      </c>
      <c r="E25" s="6" t="inlineStr">
        <is>
          <t>Fernando</t>
        </is>
      </c>
      <c r="F25" s="6" t="n">
        <v>4</v>
      </c>
      <c r="G25" s="6" t="inlineStr">
        <is>
          <t>Done</t>
        </is>
      </c>
      <c r="H25" s="6" t="inlineStr">
        <is>
          <t>26/10</t>
        </is>
      </c>
      <c r="I25" s="6" t="n"/>
      <c r="J25" s="6" t="n"/>
      <c r="K25" s="7" t="inlineStr">
        <is>
          <t>conectada al micro real</t>
        </is>
      </c>
    </row>
    <row r="26" ht="30" customHeight="1">
      <c r="B26" s="6" t="inlineStr">
        <is>
          <t>T-015</t>
        </is>
      </c>
      <c r="C26" s="7" t="inlineStr">
        <is>
          <t>Probar HU-07 en el ambiente de pruebas contra sus condiciones finales y aprobar su PR</t>
        </is>
      </c>
      <c r="D26" s="6" t="inlineStr">
        <is>
          <t>Pruebas</t>
        </is>
      </c>
      <c r="E26" s="6" t="inlineStr">
        <is>
          <t>Henry</t>
        </is>
      </c>
      <c r="F26" s="6" t="n">
        <v>1</v>
      </c>
      <c r="G26" s="6" t="inlineStr">
        <is>
          <t>To Do</t>
        </is>
      </c>
      <c r="H26" s="6" t="inlineStr">
        <is>
          <t>27/10</t>
        </is>
      </c>
      <c r="I26" s="6" t="inlineStr">
        <is>
          <t>T-011, T-012, T-013, T-014, T-139</t>
        </is>
      </c>
      <c r="J26" s="6" t="n"/>
      <c r="K26" s="7" t="inlineStr">
        <is>
          <t>alguien distinto del autor (T1, T5, T8)</t>
        </is>
      </c>
    </row>
    <row r="27" ht="30" customHeight="1">
      <c r="B27" s="8" t="inlineStr">
        <is>
          <t>T-016</t>
        </is>
      </c>
      <c r="C27" s="9" t="inlineStr">
        <is>
          <t>Aceptar HU-07 como Product Owner desde la interfaz y moverla a Done</t>
        </is>
      </c>
      <c r="D27" s="8" t="inlineStr">
        <is>
          <t>Aceptación</t>
        </is>
      </c>
      <c r="E27" s="8" t="inlineStr">
        <is>
          <t>Adiel</t>
        </is>
      </c>
      <c r="F27" s="8" t="n">
        <v>0.5</v>
      </c>
      <c r="G27" s="8" t="inlineStr">
        <is>
          <t>To Do</t>
        </is>
      </c>
      <c r="H27" s="8" t="inlineStr">
        <is>
          <t>27/10</t>
        </is>
      </c>
      <c r="I27" s="8" t="inlineStr">
        <is>
          <t>T-015</t>
        </is>
      </c>
      <c r="J27" s="8" t="n"/>
      <c r="K27" s="9" t="inlineStr">
        <is>
          <t>mueve la HU a Done</t>
        </is>
      </c>
    </row>
    <row r="28">
      <c r="B28" s="4" t="inlineStr">
        <is>
          <t>HU-08 · Registrar insumos   5 pts</t>
        </is>
      </c>
    </row>
    <row r="29" ht="18" customHeight="1">
      <c r="B29" s="5" t="inlineStr">
        <is>
          <t>Como almacenero, quiero registrar un insumo con información estandarizada, para identificarlo de la misma manera en todas las obras.</t>
        </is>
      </c>
    </row>
    <row r="30" ht="30" customHeight="1">
      <c r="B30" s="6" t="inlineStr">
        <is>
          <t>T-017</t>
        </is>
      </c>
      <c r="C30" s="7" t="inlineStr">
        <is>
          <t>Programar el endpoint del catálogo: generar código único, rechazar duplicados y marcar «por verificar»</t>
        </is>
      </c>
      <c r="D30" s="6" t="inlineStr">
        <is>
          <t>Backend</t>
        </is>
      </c>
      <c r="E30" s="6" t="inlineStr">
        <is>
          <t>Adiel</t>
        </is>
      </c>
      <c r="F30" s="6" t="n">
        <v>3</v>
      </c>
      <c r="G30" s="6" t="inlineStr">
        <is>
          <t>To Do</t>
        </is>
      </c>
      <c r="H30" s="6" t="inlineStr">
        <is>
          <t>25/10</t>
        </is>
      </c>
      <c r="I30" s="6" t="n"/>
      <c r="J30" s="6" t="n"/>
      <c r="K30" s="7" t="n"/>
    </row>
    <row r="31" ht="30" customHeight="1">
      <c r="B31" s="6" t="inlineStr">
        <is>
          <t>T-018</t>
        </is>
      </c>
      <c r="C31" s="7" t="inlineStr">
        <is>
          <t>Programar la pantalla web del catálogo para ver, dar de alta y editar insumos</t>
        </is>
      </c>
      <c r="D31" s="6" t="inlineStr">
        <is>
          <t>Web</t>
        </is>
      </c>
      <c r="E31" s="6" t="inlineStr">
        <is>
          <t>Fernando</t>
        </is>
      </c>
      <c r="F31" s="6" t="n">
        <v>3</v>
      </c>
      <c r="G31" s="6" t="inlineStr">
        <is>
          <t>Done</t>
        </is>
      </c>
      <c r="H31" s="6" t="inlineStr">
        <is>
          <t>26/10</t>
        </is>
      </c>
      <c r="I31" s="6" t="n"/>
      <c r="J31" s="6" t="n"/>
      <c r="K31" s="7" t="inlineStr">
        <is>
          <t>pantalla hecha con datos simulados; falta conectarla a la API real</t>
        </is>
      </c>
    </row>
    <row r="32" ht="30" customHeight="1">
      <c r="B32" s="6" t="inlineStr">
        <is>
          <t>T-019</t>
        </is>
      </c>
      <c r="C32" s="7" t="inlineStr">
        <is>
          <t>Conectar la pantalla del catálogo con la API real</t>
        </is>
      </c>
      <c r="D32" s="6" t="inlineStr">
        <is>
          <t>Web</t>
        </is>
      </c>
      <c r="E32" s="6" t="inlineStr">
        <is>
          <t>Fernando</t>
        </is>
      </c>
      <c r="F32" s="6" t="n">
        <v>3</v>
      </c>
      <c r="G32" s="6" t="inlineStr">
        <is>
          <t>To Do</t>
        </is>
      </c>
      <c r="H32" s="6" t="inlineStr">
        <is>
          <t>26/10</t>
        </is>
      </c>
      <c r="I32" s="6" t="inlineStr">
        <is>
          <t>T-017, T-140</t>
        </is>
      </c>
      <c r="J32" s="6" t="n"/>
      <c r="K32" s="7" t="n"/>
    </row>
    <row r="33" ht="30" customHeight="1">
      <c r="B33" s="6" t="inlineStr">
        <is>
          <t>T-020</t>
        </is>
      </c>
      <c r="C33" s="7" t="inlineStr">
        <is>
          <t>Probar HU-08 en el ambiente de pruebas contra sus condiciones finales y aprobar su PR</t>
        </is>
      </c>
      <c r="D33" s="6" t="inlineStr">
        <is>
          <t>Pruebas</t>
        </is>
      </c>
      <c r="E33" s="6" t="inlineStr">
        <is>
          <t>Henry</t>
        </is>
      </c>
      <c r="F33" s="6" t="n">
        <v>1</v>
      </c>
      <c r="G33" s="6" t="inlineStr">
        <is>
          <t>To Do</t>
        </is>
      </c>
      <c r="H33" s="6" t="inlineStr">
        <is>
          <t>27/10</t>
        </is>
      </c>
      <c r="I33" s="6" t="inlineStr">
        <is>
          <t>T-017, T-018, T-019, T-139</t>
        </is>
      </c>
      <c r="J33" s="6" t="n"/>
      <c r="K33" s="7" t="inlineStr">
        <is>
          <t>alguien distinto del autor (T1, T5, T8)</t>
        </is>
      </c>
    </row>
    <row r="34" ht="30" customHeight="1">
      <c r="B34" s="8" t="inlineStr">
        <is>
          <t>T-021</t>
        </is>
      </c>
      <c r="C34" s="9" t="inlineStr">
        <is>
          <t>Aceptar HU-08 como Product Owner desde la interfaz y moverla a Done</t>
        </is>
      </c>
      <c r="D34" s="8" t="inlineStr">
        <is>
          <t>Aceptación</t>
        </is>
      </c>
      <c r="E34" s="8" t="inlineStr">
        <is>
          <t>Adiel</t>
        </is>
      </c>
      <c r="F34" s="8" t="n">
        <v>0.5</v>
      </c>
      <c r="G34" s="8" t="inlineStr">
        <is>
          <t>To Do</t>
        </is>
      </c>
      <c r="H34" s="8" t="inlineStr">
        <is>
          <t>27/10</t>
        </is>
      </c>
      <c r="I34" s="8" t="inlineStr">
        <is>
          <t>T-020</t>
        </is>
      </c>
      <c r="J34" s="8" t="n"/>
      <c r="K34" s="9" t="inlineStr">
        <is>
          <t>mueve la HU a Done</t>
        </is>
      </c>
    </row>
    <row r="35">
      <c r="B35" s="4" t="inlineStr">
        <is>
          <t>HU-12 · Loguear usuario   5 pts</t>
        </is>
      </c>
    </row>
    <row r="36" ht="18" customHeight="1">
      <c r="B36" s="5" t="inlineStr">
        <is>
          <t>Como administrador, quiero entrar al sistema con mi usuario y contraseña, para que mis registros queden atribuidos a mí.</t>
        </is>
      </c>
    </row>
    <row r="37" ht="30" customHeight="1">
      <c r="B37" s="6" t="inlineStr">
        <is>
          <t>T-022</t>
        </is>
      </c>
      <c r="C37" s="7" t="inlineStr">
        <is>
          <t>Programar el login con Argon2id, sesión que caduca y se renueva, y bloqueo por intentos fallidos</t>
        </is>
      </c>
      <c r="D37" s="6" t="inlineStr">
        <is>
          <t>Backend</t>
        </is>
      </c>
      <c r="E37" s="6" t="inlineStr">
        <is>
          <t>Adiel</t>
        </is>
      </c>
      <c r="F37" s="6" t="n">
        <v>3</v>
      </c>
      <c r="G37" s="6" t="inlineStr">
        <is>
          <t>Done</t>
        </is>
      </c>
      <c r="H37" s="6" t="inlineStr">
        <is>
          <t>25/10</t>
        </is>
      </c>
      <c r="I37" s="6" t="n"/>
      <c r="J37" s="6" t="n"/>
      <c r="K37" s="7" t="inlineStr">
        <is>
          <t>hecho en la API de Adiel (PR #1 fusionado a main), con pruebas</t>
        </is>
      </c>
    </row>
    <row r="38" ht="30" customHeight="1">
      <c r="B38" s="6" t="inlineStr">
        <is>
          <t>T-023</t>
        </is>
      </c>
      <c r="C38" s="7" t="inlineStr">
        <is>
          <t>Programar la pantalla web de login y el manejo de la sesión</t>
        </is>
      </c>
      <c r="D38" s="6" t="inlineStr">
        <is>
          <t>Web</t>
        </is>
      </c>
      <c r="E38" s="6" t="inlineStr">
        <is>
          <t>Henry</t>
        </is>
      </c>
      <c r="F38" s="6" t="n">
        <v>3</v>
      </c>
      <c r="G38" s="6" t="inlineStr">
        <is>
          <t>To Do</t>
        </is>
      </c>
      <c r="H38" s="6" t="inlineStr">
        <is>
          <t>26/10</t>
        </is>
      </c>
      <c r="I38" s="6" t="n"/>
      <c r="J38" s="6" t="n"/>
      <c r="K38" s="7" t="n"/>
    </row>
    <row r="39" ht="30" customHeight="1">
      <c r="B39" s="6" t="inlineStr">
        <is>
          <t>T-024</t>
        </is>
      </c>
      <c r="C39" s="7" t="inlineStr">
        <is>
          <t>Programar el login en la app del almacenero</t>
        </is>
      </c>
      <c r="D39" s="6" t="inlineStr">
        <is>
          <t>Android</t>
        </is>
      </c>
      <c r="E39" s="6" t="inlineStr">
        <is>
          <t>Nicolás</t>
        </is>
      </c>
      <c r="F39" s="6" t="n">
        <v>3</v>
      </c>
      <c r="G39" s="6" t="inlineStr">
        <is>
          <t>To Do</t>
        </is>
      </c>
      <c r="H39" s="6" t="inlineStr">
        <is>
          <t>26/10</t>
        </is>
      </c>
      <c r="I39" s="6" t="inlineStr">
        <is>
          <t>T-141</t>
        </is>
      </c>
      <c r="J39" s="6" t="n"/>
      <c r="K39" s="7" t="n"/>
    </row>
    <row r="40" ht="30" customHeight="1">
      <c r="B40" s="6" t="inlineStr">
        <is>
          <t>T-025</t>
        </is>
      </c>
      <c r="C40" s="7" t="inlineStr">
        <is>
          <t>Probar HU-12 en el ambiente de pruebas contra sus condiciones finales y aprobar su PR</t>
        </is>
      </c>
      <c r="D40" s="6" t="inlineStr">
        <is>
          <t>Pruebas</t>
        </is>
      </c>
      <c r="E40" s="6" t="inlineStr">
        <is>
          <t>Henry</t>
        </is>
      </c>
      <c r="F40" s="6" t="n">
        <v>1</v>
      </c>
      <c r="G40" s="6" t="inlineStr">
        <is>
          <t>To Do</t>
        </is>
      </c>
      <c r="H40" s="6" t="inlineStr">
        <is>
          <t>27/10</t>
        </is>
      </c>
      <c r="I40" s="6" t="inlineStr">
        <is>
          <t>T-022, T-023, T-024, T-139</t>
        </is>
      </c>
      <c r="J40" s="6" t="n"/>
      <c r="K40" s="7" t="inlineStr">
        <is>
          <t>alguien distinto del autor (T1, T5, T8)</t>
        </is>
      </c>
    </row>
    <row r="41" ht="30" customHeight="1">
      <c r="B41" s="8" t="inlineStr">
        <is>
          <t>T-026</t>
        </is>
      </c>
      <c r="C41" s="9" t="inlineStr">
        <is>
          <t>Aceptar HU-12 como Product Owner desde la interfaz y moverla a Done</t>
        </is>
      </c>
      <c r="D41" s="8" t="inlineStr">
        <is>
          <t>Aceptación</t>
        </is>
      </c>
      <c r="E41" s="8" t="inlineStr">
        <is>
          <t>Adiel</t>
        </is>
      </c>
      <c r="F41" s="8" t="n">
        <v>0.5</v>
      </c>
      <c r="G41" s="8" t="inlineStr">
        <is>
          <t>To Do</t>
        </is>
      </c>
      <c r="H41" s="8" t="inlineStr">
        <is>
          <t>27/10</t>
        </is>
      </c>
      <c r="I41" s="8" t="inlineStr">
        <is>
          <t>T-025</t>
        </is>
      </c>
      <c r="J41" s="8" t="n"/>
      <c r="K41" s="9" t="inlineStr">
        <is>
          <t>mueve la HU a Done</t>
        </is>
      </c>
    </row>
    <row r="42">
      <c r="B42" s="4" t="inlineStr">
        <is>
          <t>HU-13 · Asignar roles   5 pts</t>
        </is>
      </c>
    </row>
    <row r="43" ht="18" customHeight="1">
      <c r="B43" s="5" t="inlineStr">
        <is>
          <t>Como administrador, quiero asignar a cada persona un usuario y un rol, para limitar lo que cada quien ve y registra.</t>
        </is>
      </c>
    </row>
    <row r="44" ht="30" customHeight="1">
      <c r="B44" s="6" t="inlineStr">
        <is>
          <t>T-027</t>
        </is>
      </c>
      <c r="C44" s="7" t="inlineStr">
        <is>
          <t>Programar los roles y verificar sus permisos en el servidor</t>
        </is>
      </c>
      <c r="D44" s="6" t="inlineStr">
        <is>
          <t>Backend</t>
        </is>
      </c>
      <c r="E44" s="6" t="inlineStr">
        <is>
          <t>Adiel</t>
        </is>
      </c>
      <c r="F44" s="6" t="n">
        <v>4</v>
      </c>
      <c r="G44" s="6" t="inlineStr">
        <is>
          <t>Done</t>
        </is>
      </c>
      <c r="H44" s="6" t="inlineStr">
        <is>
          <t>25/10</t>
        </is>
      </c>
      <c r="I44" s="6" t="n"/>
      <c r="J44" s="6" t="n"/>
      <c r="K44" s="7" t="inlineStr">
        <is>
          <t>hecho en la API de Adiel (PR #1 fusionado a main), con pruebas</t>
        </is>
      </c>
    </row>
    <row r="45" ht="30" customHeight="1">
      <c r="B45" s="6" t="inlineStr">
        <is>
          <t>T-028</t>
        </is>
      </c>
      <c r="C45" s="7" t="inlineStr">
        <is>
          <t>Programar la pantalla web para crear usuarios, asignar su rol y darlos de baja</t>
        </is>
      </c>
      <c r="D45" s="6" t="inlineStr">
        <is>
          <t>Web</t>
        </is>
      </c>
      <c r="E45" s="6" t="inlineStr">
        <is>
          <t>Henry</t>
        </is>
      </c>
      <c r="F45" s="6" t="n">
        <v>4</v>
      </c>
      <c r="G45" s="6" t="inlineStr">
        <is>
          <t>To Do</t>
        </is>
      </c>
      <c r="H45" s="6" t="inlineStr">
        <is>
          <t>26/10</t>
        </is>
      </c>
      <c r="I45" s="6" t="n"/>
      <c r="J45" s="6" t="n"/>
      <c r="K45" s="7" t="n"/>
    </row>
    <row r="46" ht="30" customHeight="1">
      <c r="B46" s="6" t="inlineStr">
        <is>
          <t>T-029</t>
        </is>
      </c>
      <c r="C46" s="7" t="inlineStr">
        <is>
          <t>Probar HU-13 en el ambiente de pruebas contra sus condiciones finales y aprobar su PR</t>
        </is>
      </c>
      <c r="D46" s="6" t="inlineStr">
        <is>
          <t>Pruebas</t>
        </is>
      </c>
      <c r="E46" s="6" t="inlineStr">
        <is>
          <t>Fernando</t>
        </is>
      </c>
      <c r="F46" s="6" t="n">
        <v>1</v>
      </c>
      <c r="G46" s="6" t="inlineStr">
        <is>
          <t>To Do</t>
        </is>
      </c>
      <c r="H46" s="6" t="inlineStr">
        <is>
          <t>27/10</t>
        </is>
      </c>
      <c r="I46" s="6" t="inlineStr">
        <is>
          <t>T-027, T-028, T-139</t>
        </is>
      </c>
      <c r="J46" s="6" t="n"/>
      <c r="K46" s="7" t="inlineStr">
        <is>
          <t>alguien distinto del autor (T1, T5, T8)</t>
        </is>
      </c>
    </row>
    <row r="47" ht="30" customHeight="1">
      <c r="B47" s="8" t="inlineStr">
        <is>
          <t>T-030</t>
        </is>
      </c>
      <c r="C47" s="9" t="inlineStr">
        <is>
          <t>Aceptar HU-13 como Product Owner desde la interfaz y moverla a Done</t>
        </is>
      </c>
      <c r="D47" s="8" t="inlineStr">
        <is>
          <t>Aceptación</t>
        </is>
      </c>
      <c r="E47" s="8" t="inlineStr">
        <is>
          <t>Adiel</t>
        </is>
      </c>
      <c r="F47" s="8" t="n">
        <v>0.5</v>
      </c>
      <c r="G47" s="8" t="inlineStr">
        <is>
          <t>To Do</t>
        </is>
      </c>
      <c r="H47" s="8" t="inlineStr">
        <is>
          <t>27/10</t>
        </is>
      </c>
      <c r="I47" s="8" t="inlineStr">
        <is>
          <t>T-029</t>
        </is>
      </c>
      <c r="J47" s="8" t="n"/>
      <c r="K47" s="9" t="inlineStr">
        <is>
          <t>mueve la HU a Done</t>
        </is>
      </c>
    </row>
    <row r="48">
      <c r="B48" s="4" t="inlineStr">
        <is>
          <t>HU-14 · Asignar usuarios a obras   3 pts</t>
        </is>
      </c>
    </row>
    <row r="49" ht="18" customHeight="1">
      <c r="B49" s="5" t="inlineStr">
        <is>
          <t>Como administrador, quiero asignar usuarios a los proyectos, para que cada quien opere solo en sus obras.</t>
        </is>
      </c>
    </row>
    <row r="50" ht="30" customHeight="1">
      <c r="B50" s="6" t="inlineStr">
        <is>
          <t>T-031</t>
        </is>
      </c>
      <c r="C50" s="7" t="inlineStr">
        <is>
          <t>Programar el endpoint para asignar usuarios a obras</t>
        </is>
      </c>
      <c r="D50" s="6" t="inlineStr">
        <is>
          <t>Backend</t>
        </is>
      </c>
      <c r="E50" s="6" t="inlineStr">
        <is>
          <t>Adiel</t>
        </is>
      </c>
      <c r="F50" s="6" t="n">
        <v>2</v>
      </c>
      <c r="G50" s="6" t="inlineStr">
        <is>
          <t>Done</t>
        </is>
      </c>
      <c r="H50" s="6" t="inlineStr">
        <is>
          <t>25/10</t>
        </is>
      </c>
      <c r="I50" s="6" t="n"/>
      <c r="J50" s="6" t="n"/>
      <c r="K50" s="7" t="inlineStr">
        <is>
          <t>hecho en la API de Adiel (PR #1 fusionado a main), con pruebas</t>
        </is>
      </c>
    </row>
    <row r="51" ht="30" customHeight="1">
      <c r="B51" s="6" t="inlineStr">
        <is>
          <t>T-032</t>
        </is>
      </c>
      <c r="C51" s="7" t="inlineStr">
        <is>
          <t>Programar la pantalla web para asignar usuarios a obras</t>
        </is>
      </c>
      <c r="D51" s="6" t="inlineStr">
        <is>
          <t>Web</t>
        </is>
      </c>
      <c r="E51" s="6" t="inlineStr">
        <is>
          <t>Henry</t>
        </is>
      </c>
      <c r="F51" s="6" t="n">
        <v>2</v>
      </c>
      <c r="G51" s="6" t="inlineStr">
        <is>
          <t>To Do</t>
        </is>
      </c>
      <c r="H51" s="6" t="inlineStr">
        <is>
          <t>26/10</t>
        </is>
      </c>
      <c r="I51" s="6" t="n"/>
      <c r="J51" s="6" t="n"/>
      <c r="K51" s="7" t="n"/>
    </row>
    <row r="52" ht="30" customHeight="1">
      <c r="B52" s="6" t="inlineStr">
        <is>
          <t>T-033</t>
        </is>
      </c>
      <c r="C52" s="7" t="inlineStr">
        <is>
          <t>Probar HU-14 en el ambiente de pruebas contra sus condiciones finales y aprobar su PR</t>
        </is>
      </c>
      <c r="D52" s="6" t="inlineStr">
        <is>
          <t>Pruebas</t>
        </is>
      </c>
      <c r="E52" s="6" t="inlineStr">
        <is>
          <t>Fernando</t>
        </is>
      </c>
      <c r="F52" s="6" t="n">
        <v>1</v>
      </c>
      <c r="G52" s="6" t="inlineStr">
        <is>
          <t>To Do</t>
        </is>
      </c>
      <c r="H52" s="6" t="inlineStr">
        <is>
          <t>27/10</t>
        </is>
      </c>
      <c r="I52" s="6" t="inlineStr">
        <is>
          <t>T-031, T-032, T-139</t>
        </is>
      </c>
      <c r="J52" s="6" t="n"/>
      <c r="K52" s="7" t="inlineStr">
        <is>
          <t>alguien distinto del autor (T1, T5, T8)</t>
        </is>
      </c>
    </row>
    <row r="53" ht="30" customHeight="1">
      <c r="B53" s="8" t="inlineStr">
        <is>
          <t>T-034</t>
        </is>
      </c>
      <c r="C53" s="9" t="inlineStr">
        <is>
          <t>Aceptar HU-14 como Product Owner desde la interfaz y moverla a Done</t>
        </is>
      </c>
      <c r="D53" s="8" t="inlineStr">
        <is>
          <t>Aceptación</t>
        </is>
      </c>
      <c r="E53" s="8" t="inlineStr">
        <is>
          <t>Adiel</t>
        </is>
      </c>
      <c r="F53" s="8" t="n">
        <v>0.5</v>
      </c>
      <c r="G53" s="8" t="inlineStr">
        <is>
          <t>To Do</t>
        </is>
      </c>
      <c r="H53" s="8" t="inlineStr">
        <is>
          <t>27/10</t>
        </is>
      </c>
      <c r="I53" s="8" t="inlineStr">
        <is>
          <t>T-033</t>
        </is>
      </c>
      <c r="J53" s="8" t="n"/>
      <c r="K53" s="9" t="inlineStr">
        <is>
          <t>mueve la HU a Done</t>
        </is>
      </c>
    </row>
    <row r="54">
      <c r="B54" s="4" t="inlineStr">
        <is>
          <t>HU-15 · Autorizar celular de la obra   5 pts</t>
        </is>
      </c>
    </row>
    <row r="55" ht="18" customHeight="1">
      <c r="B55" s="5" t="inlineStr">
        <is>
          <t>Como administrador, quiero autorizar el dispositivo que registra movimientos en cada obra, para impedir que un equipo ajeno opere en nombre de la obra.</t>
        </is>
      </c>
    </row>
    <row r="56" ht="30" customHeight="1">
      <c r="B56" s="6" t="inlineStr">
        <is>
          <t>T-035</t>
        </is>
      </c>
      <c r="C56" s="7" t="inlineStr">
        <is>
          <t>Programar el registro de dispositivos autorizados por obra (máximo dos) y el rechazo del no autorizado</t>
        </is>
      </c>
      <c r="D56" s="6" t="inlineStr">
        <is>
          <t>Backend</t>
        </is>
      </c>
      <c r="E56" s="6" t="inlineStr">
        <is>
          <t>Adiel</t>
        </is>
      </c>
      <c r="F56" s="6" t="n">
        <v>3</v>
      </c>
      <c r="G56" s="6" t="inlineStr">
        <is>
          <t>Done</t>
        </is>
      </c>
      <c r="H56" s="6" t="inlineStr">
        <is>
          <t>25/10</t>
        </is>
      </c>
      <c r="I56" s="6" t="n"/>
      <c r="J56" s="6" t="n"/>
      <c r="K56" s="7" t="inlineStr">
        <is>
          <t>hecho en la API de Adiel (PR #1 fusionado a main), con pruebas</t>
        </is>
      </c>
    </row>
    <row r="57" ht="30" customHeight="1">
      <c r="B57" s="6" t="inlineStr">
        <is>
          <t>T-036</t>
        </is>
      </c>
      <c r="C57" s="7" t="inlineStr">
        <is>
          <t>Programar en la app la generación del código del dispositivo en la primera instalación</t>
        </is>
      </c>
      <c r="D57" s="6" t="inlineStr">
        <is>
          <t>Android</t>
        </is>
      </c>
      <c r="E57" s="6" t="inlineStr">
        <is>
          <t>Nicolás</t>
        </is>
      </c>
      <c r="F57" s="6" t="n">
        <v>3</v>
      </c>
      <c r="G57" s="6" t="inlineStr">
        <is>
          <t>To Do</t>
        </is>
      </c>
      <c r="H57" s="6" t="inlineStr">
        <is>
          <t>26/10</t>
        </is>
      </c>
      <c r="I57" s="6" t="inlineStr">
        <is>
          <t>T-141</t>
        </is>
      </c>
      <c r="J57" s="6" t="n"/>
      <c r="K57" s="7" t="n"/>
    </row>
    <row r="58" ht="30" customHeight="1">
      <c r="B58" s="6" t="inlineStr">
        <is>
          <t>T-037</t>
        </is>
      </c>
      <c r="C58" s="7" t="inlineStr">
        <is>
          <t>Programar la pantalla web para autorizar o cambiar el celular de la obra</t>
        </is>
      </c>
      <c r="D58" s="6" t="inlineStr">
        <is>
          <t>Web</t>
        </is>
      </c>
      <c r="E58" s="6" t="inlineStr">
        <is>
          <t>Henry</t>
        </is>
      </c>
      <c r="F58" s="6" t="n">
        <v>3</v>
      </c>
      <c r="G58" s="6" t="inlineStr">
        <is>
          <t>To Do</t>
        </is>
      </c>
      <c r="H58" s="6" t="inlineStr">
        <is>
          <t>26/10</t>
        </is>
      </c>
      <c r="I58" s="6" t="n"/>
      <c r="J58" s="6" t="n"/>
      <c r="K58" s="7" t="n"/>
    </row>
    <row r="59" ht="30" customHeight="1">
      <c r="B59" s="6" t="inlineStr">
        <is>
          <t>T-038</t>
        </is>
      </c>
      <c r="C59" s="7" t="inlineStr">
        <is>
          <t>Probar HU-15 en el ambiente de pruebas contra sus condiciones finales y aprobar su PR</t>
        </is>
      </c>
      <c r="D59" s="6" t="inlineStr">
        <is>
          <t>Pruebas</t>
        </is>
      </c>
      <c r="E59" s="6" t="inlineStr">
        <is>
          <t>Henry</t>
        </is>
      </c>
      <c r="F59" s="6" t="n">
        <v>1</v>
      </c>
      <c r="G59" s="6" t="inlineStr">
        <is>
          <t>To Do</t>
        </is>
      </c>
      <c r="H59" s="6" t="inlineStr">
        <is>
          <t>27/10</t>
        </is>
      </c>
      <c r="I59" s="6" t="inlineStr">
        <is>
          <t>T-035, T-036, T-037, T-139</t>
        </is>
      </c>
      <c r="J59" s="6" t="n"/>
      <c r="K59" s="7" t="inlineStr">
        <is>
          <t>alguien distinto del autor (T1, T5, T8)</t>
        </is>
      </c>
    </row>
    <row r="60" ht="30" customHeight="1">
      <c r="B60" s="8" t="inlineStr">
        <is>
          <t>T-039</t>
        </is>
      </c>
      <c r="C60" s="9" t="inlineStr">
        <is>
          <t>Aceptar HU-15 como Product Owner desde la interfaz y moverla a Done</t>
        </is>
      </c>
      <c r="D60" s="8" t="inlineStr">
        <is>
          <t>Aceptación</t>
        </is>
      </c>
      <c r="E60" s="8" t="inlineStr">
        <is>
          <t>Adiel</t>
        </is>
      </c>
      <c r="F60" s="8" t="n">
        <v>0.5</v>
      </c>
      <c r="G60" s="8" t="inlineStr">
        <is>
          <t>To Do</t>
        </is>
      </c>
      <c r="H60" s="8" t="inlineStr">
        <is>
          <t>27/10</t>
        </is>
      </c>
      <c r="I60" s="8" t="inlineStr">
        <is>
          <t>T-038</t>
        </is>
      </c>
      <c r="J60" s="8" t="n"/>
      <c r="K60" s="9" t="inlineStr">
        <is>
          <t>mueve la HU a Done</t>
        </is>
      </c>
    </row>
    <row r="61">
      <c r="B61" s="4" t="inlineStr">
        <is>
          <t>HU-16 · Importar precios unitarios   8 pts</t>
        </is>
      </c>
    </row>
    <row r="62" ht="18" customHeight="1">
      <c r="B62" s="5" t="inlineStr">
        <is>
          <t>Como residente de obra, quiero importar el análisis de precios unitarios del S10, para conocer cuánto material exige cada partida.</t>
        </is>
      </c>
    </row>
    <row r="63" ht="30" customHeight="1">
      <c r="B63" s="6" t="inlineStr">
        <is>
          <t>T-040</t>
        </is>
      </c>
      <c r="C63" s="7" t="inlineStr">
        <is>
          <t>Programar el lector del PDF del APU (371 páginas), identificando la partida por código y descripción</t>
        </is>
      </c>
      <c r="D63" s="6" t="inlineStr">
        <is>
          <t>Integraciones</t>
        </is>
      </c>
      <c r="E63" s="6" t="inlineStr">
        <is>
          <t>Fernando</t>
        </is>
      </c>
      <c r="F63" s="6" t="n">
        <v>5</v>
      </c>
      <c r="G63" s="6" t="inlineStr">
        <is>
          <t>Doing</t>
        </is>
      </c>
      <c r="H63" s="6" t="inlineStr">
        <is>
          <t>25/10</t>
        </is>
      </c>
      <c r="I63" s="6" t="n"/>
      <c r="J63" s="6" t="n"/>
      <c r="K63" s="7" t="inlineStr">
        <is>
          <t>extracción ya probada: 6 902 filas, 1 217 partidas</t>
        </is>
      </c>
    </row>
    <row r="64" ht="30" customHeight="1">
      <c r="B64" s="6" t="inlineStr">
        <is>
          <t>T-041</t>
        </is>
      </c>
      <c r="C64" s="7" t="inlineStr">
        <is>
          <t>Crear la tabla partida–recurso y programar el endpoint que la guarda</t>
        </is>
      </c>
      <c r="D64" s="6" t="inlineStr">
        <is>
          <t>Backend</t>
        </is>
      </c>
      <c r="E64" s="6" t="inlineStr">
        <is>
          <t>Adiel</t>
        </is>
      </c>
      <c r="F64" s="6" t="n">
        <v>5</v>
      </c>
      <c r="G64" s="6" t="inlineStr">
        <is>
          <t>To Do</t>
        </is>
      </c>
      <c r="H64" s="6" t="inlineStr">
        <is>
          <t>25/10</t>
        </is>
      </c>
      <c r="I64" s="6" t="n"/>
      <c r="J64" s="6" t="n"/>
      <c r="K64" s="7" t="n"/>
    </row>
    <row r="65" ht="30" customHeight="1">
      <c r="B65" s="6" t="inlineStr">
        <is>
          <t>T-042</t>
        </is>
      </c>
      <c r="C65" s="7" t="inlineStr">
        <is>
          <t>Programar la pantalla web para importar el APU</t>
        </is>
      </c>
      <c r="D65" s="6" t="inlineStr">
        <is>
          <t>Web</t>
        </is>
      </c>
      <c r="E65" s="6" t="inlineStr">
        <is>
          <t>Fernando</t>
        </is>
      </c>
      <c r="F65" s="6" t="n">
        <v>5</v>
      </c>
      <c r="G65" s="6" t="inlineStr">
        <is>
          <t>To Do</t>
        </is>
      </c>
      <c r="H65" s="6" t="inlineStr">
        <is>
          <t>26/10</t>
        </is>
      </c>
      <c r="I65" s="6" t="n"/>
      <c r="J65" s="6" t="n"/>
      <c r="K65" s="7" t="n"/>
    </row>
    <row r="66" ht="30" customHeight="1">
      <c r="B66" s="6" t="inlineStr">
        <is>
          <t>T-043</t>
        </is>
      </c>
      <c r="C66" s="7" t="inlineStr">
        <is>
          <t>Probar HU-16 en el ambiente de pruebas contra sus condiciones finales y aprobar su PR</t>
        </is>
      </c>
      <c r="D66" s="6" t="inlineStr">
        <is>
          <t>Pruebas</t>
        </is>
      </c>
      <c r="E66" s="6" t="inlineStr">
        <is>
          <t>Henry</t>
        </is>
      </c>
      <c r="F66" s="6" t="n">
        <v>1</v>
      </c>
      <c r="G66" s="6" t="inlineStr">
        <is>
          <t>To Do</t>
        </is>
      </c>
      <c r="H66" s="6" t="inlineStr">
        <is>
          <t>27/10</t>
        </is>
      </c>
      <c r="I66" s="6" t="inlineStr">
        <is>
          <t>T-040, T-041, T-042, T-139</t>
        </is>
      </c>
      <c r="J66" s="6" t="n"/>
      <c r="K66" s="7" t="inlineStr">
        <is>
          <t>alguien distinto del autor (T1, T5, T8)</t>
        </is>
      </c>
    </row>
    <row r="67" ht="30" customHeight="1">
      <c r="B67" s="8" t="inlineStr">
        <is>
          <t>T-044</t>
        </is>
      </c>
      <c r="C67" s="9" t="inlineStr">
        <is>
          <t>Aceptar HU-16 como Product Owner desde la interfaz y moverla a Done</t>
        </is>
      </c>
      <c r="D67" s="8" t="inlineStr">
        <is>
          <t>Aceptación</t>
        </is>
      </c>
      <c r="E67" s="8" t="inlineStr">
        <is>
          <t>Adiel</t>
        </is>
      </c>
      <c r="F67" s="8" t="n">
        <v>0.5</v>
      </c>
      <c r="G67" s="8" t="inlineStr">
        <is>
          <t>To Do</t>
        </is>
      </c>
      <c r="H67" s="8" t="inlineStr">
        <is>
          <t>27/10</t>
        </is>
      </c>
      <c r="I67" s="8" t="inlineStr">
        <is>
          <t>T-043</t>
        </is>
      </c>
      <c r="J67" s="8" t="n"/>
      <c r="K67" s="9" t="inlineStr">
        <is>
          <t>mueve la HU a Done</t>
        </is>
      </c>
    </row>
    <row r="68">
      <c r="B68" s="4" t="inlineStr">
        <is>
          <t>HU-17 · Convertir unidades (kg a varillas)   3 pts</t>
        </is>
      </c>
    </row>
    <row r="69" ht="18" customHeight="1">
      <c r="B69" s="5" t="inlineStr">
        <is>
          <t>Como almacenero, quiero registrar el factor entre la unidad del S10 y la unidad de compra, para comparar en una misma unidad lo presupuestado, lo comprado y lo consumido.</t>
        </is>
      </c>
    </row>
    <row r="70" ht="30" customHeight="1">
      <c r="B70" s="6" t="inlineStr">
        <is>
          <t>T-045</t>
        </is>
      </c>
      <c r="C70" s="7" t="inlineStr">
        <is>
          <t>Programar el registro del factor de conversión con su fecha y su usuario</t>
        </is>
      </c>
      <c r="D70" s="6" t="inlineStr">
        <is>
          <t>Backend</t>
        </is>
      </c>
      <c r="E70" s="6" t="inlineStr">
        <is>
          <t>Adiel</t>
        </is>
      </c>
      <c r="F70" s="6" t="n">
        <v>2</v>
      </c>
      <c r="G70" s="6" t="inlineStr">
        <is>
          <t>To Do</t>
        </is>
      </c>
      <c r="H70" s="6" t="inlineStr">
        <is>
          <t>25/10</t>
        </is>
      </c>
      <c r="I70" s="6" t="n"/>
      <c r="J70" s="6" t="n"/>
      <c r="K70" s="7" t="n"/>
    </row>
    <row r="71" ht="30" customHeight="1">
      <c r="B71" s="6" t="inlineStr">
        <is>
          <t>T-046</t>
        </is>
      </c>
      <c r="C71" s="7" t="inlineStr">
        <is>
          <t>Programar el formulario web del factor de conversión (kg ↔ varillas)</t>
        </is>
      </c>
      <c r="D71" s="6" t="inlineStr">
        <is>
          <t>Web</t>
        </is>
      </c>
      <c r="E71" s="6" t="inlineStr">
        <is>
          <t>Fernando</t>
        </is>
      </c>
      <c r="F71" s="6" t="n">
        <v>2</v>
      </c>
      <c r="G71" s="6" t="inlineStr">
        <is>
          <t>To Do</t>
        </is>
      </c>
      <c r="H71" s="6" t="inlineStr">
        <is>
          <t>26/10</t>
        </is>
      </c>
      <c r="I71" s="6" t="n"/>
      <c r="J71" s="6" t="n"/>
      <c r="K71" s="7" t="n"/>
    </row>
    <row r="72" ht="30" customHeight="1">
      <c r="B72" s="6" t="inlineStr">
        <is>
          <t>T-047</t>
        </is>
      </c>
      <c r="C72" s="7" t="inlineStr">
        <is>
          <t>Probar HU-17 en el ambiente de pruebas contra sus condiciones finales y aprobar su PR</t>
        </is>
      </c>
      <c r="D72" s="6" t="inlineStr">
        <is>
          <t>Pruebas</t>
        </is>
      </c>
      <c r="E72" s="6" t="inlineStr">
        <is>
          <t>Henry</t>
        </is>
      </c>
      <c r="F72" s="6" t="n">
        <v>1</v>
      </c>
      <c r="G72" s="6" t="inlineStr">
        <is>
          <t>To Do</t>
        </is>
      </c>
      <c r="H72" s="6" t="inlineStr">
        <is>
          <t>27/10</t>
        </is>
      </c>
      <c r="I72" s="6" t="inlineStr">
        <is>
          <t>T-045, T-046, T-139</t>
        </is>
      </c>
      <c r="J72" s="6" t="n"/>
      <c r="K72" s="7" t="inlineStr">
        <is>
          <t>alguien distinto del autor (T1, T5, T8)</t>
        </is>
      </c>
    </row>
    <row r="73" ht="30" customHeight="1">
      <c r="B73" s="8" t="inlineStr">
        <is>
          <t>T-048</t>
        </is>
      </c>
      <c r="C73" s="9" t="inlineStr">
        <is>
          <t>Aceptar HU-17 como Product Owner desde la interfaz y moverla a Done</t>
        </is>
      </c>
      <c r="D73" s="8" t="inlineStr">
        <is>
          <t>Aceptación</t>
        </is>
      </c>
      <c r="E73" s="8" t="inlineStr">
        <is>
          <t>Adiel</t>
        </is>
      </c>
      <c r="F73" s="8" t="n">
        <v>0.5</v>
      </c>
      <c r="G73" s="8" t="inlineStr">
        <is>
          <t>To Do</t>
        </is>
      </c>
      <c r="H73" s="8" t="inlineStr">
        <is>
          <t>27/10</t>
        </is>
      </c>
      <c r="I73" s="8" t="inlineStr">
        <is>
          <t>T-047</t>
        </is>
      </c>
      <c r="J73" s="8" t="n"/>
      <c r="K73" s="9" t="inlineStr">
        <is>
          <t>mueve la HU a Done</t>
        </is>
      </c>
    </row>
    <row r="74">
      <c r="B74" s="4" t="inlineStr">
        <is>
          <t>HU-19 · Importar requerimiento de la obra   5 pts</t>
        </is>
      </c>
    </row>
    <row r="75" ht="18" customHeight="1">
      <c r="B75" s="5" t="inlineStr">
        <is>
          <t>Como residente de obra, quiero importar el requerimiento total de la obra desde el reporte de recursos del S10, para fijar el cien por ciento contra el que se controla todo.</t>
        </is>
      </c>
    </row>
    <row r="76" ht="30" customHeight="1">
      <c r="B76" s="6" t="inlineStr">
        <is>
          <t>T-049</t>
        </is>
      </c>
      <c r="C76" s="7" t="inlineStr">
        <is>
          <t>Adaptar el lector de la Relación de insumos para obtener el requerimiento total</t>
        </is>
      </c>
      <c r="D76" s="6" t="inlineStr">
        <is>
          <t>Integraciones</t>
        </is>
      </c>
      <c r="E76" s="6" t="inlineStr">
        <is>
          <t>Fernando</t>
        </is>
      </c>
      <c r="F76" s="6" t="n">
        <v>3</v>
      </c>
      <c r="G76" s="6" t="inlineStr">
        <is>
          <t>To Do</t>
        </is>
      </c>
      <c r="H76" s="6" t="inlineStr">
        <is>
          <t>25/10</t>
        </is>
      </c>
      <c r="I76" s="6" t="n"/>
      <c r="J76" s="6" t="n"/>
      <c r="K76" s="7" t="inlineStr">
        <is>
          <t>el lector ya trae cantidades y precios</t>
        </is>
      </c>
    </row>
    <row r="77" ht="30" customHeight="1">
      <c r="B77" s="6" t="inlineStr">
        <is>
          <t>T-050</t>
        </is>
      </c>
      <c r="C77" s="7" t="inlineStr">
        <is>
          <t>Programar el guardado del requerimiento total y de sus ajustes con motivo</t>
        </is>
      </c>
      <c r="D77" s="6" t="inlineStr">
        <is>
          <t>Backend</t>
        </is>
      </c>
      <c r="E77" s="6" t="inlineStr">
        <is>
          <t>Adiel</t>
        </is>
      </c>
      <c r="F77" s="6" t="n">
        <v>3</v>
      </c>
      <c r="G77" s="6" t="inlineStr">
        <is>
          <t>To Do</t>
        </is>
      </c>
      <c r="H77" s="6" t="inlineStr">
        <is>
          <t>25/10</t>
        </is>
      </c>
      <c r="I77" s="6" t="n"/>
      <c r="J77" s="6" t="n"/>
      <c r="K77" s="7" t="n"/>
    </row>
    <row r="78" ht="30" customHeight="1">
      <c r="B78" s="6" t="inlineStr">
        <is>
          <t>T-051</t>
        </is>
      </c>
      <c r="C78" s="7" t="inlineStr">
        <is>
          <t>Programar la pantalla web del requerimiento total</t>
        </is>
      </c>
      <c r="D78" s="6" t="inlineStr">
        <is>
          <t>Web</t>
        </is>
      </c>
      <c r="E78" s="6" t="inlineStr">
        <is>
          <t>Fernando</t>
        </is>
      </c>
      <c r="F78" s="6" t="n">
        <v>3</v>
      </c>
      <c r="G78" s="6" t="inlineStr">
        <is>
          <t>To Do</t>
        </is>
      </c>
      <c r="H78" s="6" t="inlineStr">
        <is>
          <t>26/10</t>
        </is>
      </c>
      <c r="I78" s="6" t="n"/>
      <c r="J78" s="6" t="n"/>
      <c r="K78" s="7" t="n"/>
    </row>
    <row r="79" ht="30" customHeight="1">
      <c r="B79" s="6" t="inlineStr">
        <is>
          <t>T-052</t>
        </is>
      </c>
      <c r="C79" s="7" t="inlineStr">
        <is>
          <t>Probar HU-19 en el ambiente de pruebas contra sus condiciones finales y aprobar su PR</t>
        </is>
      </c>
      <c r="D79" s="6" t="inlineStr">
        <is>
          <t>Pruebas</t>
        </is>
      </c>
      <c r="E79" s="6" t="inlineStr">
        <is>
          <t>Henry</t>
        </is>
      </c>
      <c r="F79" s="6" t="n">
        <v>1</v>
      </c>
      <c r="G79" s="6" t="inlineStr">
        <is>
          <t>To Do</t>
        </is>
      </c>
      <c r="H79" s="6" t="inlineStr">
        <is>
          <t>27/10</t>
        </is>
      </c>
      <c r="I79" s="6" t="inlineStr">
        <is>
          <t>T-049, T-050, T-051, T-139</t>
        </is>
      </c>
      <c r="J79" s="6" t="n"/>
      <c r="K79" s="7" t="inlineStr">
        <is>
          <t>alguien distinto del autor (T1, T5, T8)</t>
        </is>
      </c>
    </row>
    <row r="80" ht="30" customHeight="1">
      <c r="B80" s="8" t="inlineStr">
        <is>
          <t>T-053</t>
        </is>
      </c>
      <c r="C80" s="9" t="inlineStr">
        <is>
          <t>Aceptar HU-19 como Product Owner desde la interfaz y moverla a Done</t>
        </is>
      </c>
      <c r="D80" s="8" t="inlineStr">
        <is>
          <t>Aceptación</t>
        </is>
      </c>
      <c r="E80" s="8" t="inlineStr">
        <is>
          <t>Adiel</t>
        </is>
      </c>
      <c r="F80" s="8" t="n">
        <v>0.5</v>
      </c>
      <c r="G80" s="8" t="inlineStr">
        <is>
          <t>To Do</t>
        </is>
      </c>
      <c r="H80" s="8" t="inlineStr">
        <is>
          <t>27/10</t>
        </is>
      </c>
      <c r="I80" s="8" t="inlineStr">
        <is>
          <t>T-052</t>
        </is>
      </c>
      <c r="J80" s="8" t="n"/>
      <c r="K80" s="9" t="inlineStr">
        <is>
          <t>mueve la HU a Done</t>
        </is>
      </c>
    </row>
    <row r="81">
      <c r="B81" s="4" t="inlineStr">
        <is>
          <t>HU-23 · Consultar cuánto se compró y consumió   5 pts</t>
        </is>
      </c>
    </row>
    <row r="82" ht="18" customHeight="1">
      <c r="B82" s="5" t="inlineStr">
        <is>
          <t>Como residente de obra, quiero consultar qué porcentaje de cada insumo se compró y se consumió, para distinguir lo que ingresó de lo que se usó.</t>
        </is>
      </c>
    </row>
    <row r="83" ht="30" customHeight="1">
      <c r="B83" s="6" t="inlineStr">
        <is>
          <t>T-054</t>
        </is>
      </c>
      <c r="C83" s="7" t="inlineStr">
        <is>
          <t>Programar la consulta de avance: requerido, comprado, recibido y consumido por insumo</t>
        </is>
      </c>
      <c r="D83" s="6" t="inlineStr">
        <is>
          <t>Backend</t>
        </is>
      </c>
      <c r="E83" s="6" t="inlineStr">
        <is>
          <t>Adiel</t>
        </is>
      </c>
      <c r="F83" s="6" t="n">
        <v>3</v>
      </c>
      <c r="G83" s="6" t="inlineStr">
        <is>
          <t>To Do</t>
        </is>
      </c>
      <c r="H83" s="6" t="inlineStr">
        <is>
          <t>25/10</t>
        </is>
      </c>
      <c r="I83" s="6" t="n"/>
      <c r="J83" s="6" t="n"/>
      <c r="K83" s="7" t="n"/>
    </row>
    <row r="84" ht="30" customHeight="1">
      <c r="B84" s="6" t="inlineStr">
        <is>
          <t>T-055</t>
        </is>
      </c>
      <c r="C84" s="7" t="inlineStr">
        <is>
          <t>Programar la pantalla web de avance de compra y consumo</t>
        </is>
      </c>
      <c r="D84" s="6" t="inlineStr">
        <is>
          <t>Web</t>
        </is>
      </c>
      <c r="E84" s="6" t="inlineStr">
        <is>
          <t>Fernando</t>
        </is>
      </c>
      <c r="F84" s="6" t="n">
        <v>3</v>
      </c>
      <c r="G84" s="6" t="inlineStr">
        <is>
          <t>Done</t>
        </is>
      </c>
      <c r="H84" s="6" t="inlineStr">
        <is>
          <t>26/10</t>
        </is>
      </c>
      <c r="I84" s="6" t="n"/>
      <c r="J84" s="6" t="n"/>
      <c r="K84" s="7" t="inlineStr">
        <is>
          <t>pantalla hecha con datos simulados; falta conectarla a la API real</t>
        </is>
      </c>
    </row>
    <row r="85" ht="30" customHeight="1">
      <c r="B85" s="6" t="inlineStr">
        <is>
          <t>T-056</t>
        </is>
      </c>
      <c r="C85" s="7" t="inlineStr">
        <is>
          <t>Conectar la pantalla de avance con la API real</t>
        </is>
      </c>
      <c r="D85" s="6" t="inlineStr">
        <is>
          <t>Web</t>
        </is>
      </c>
      <c r="E85" s="6" t="inlineStr">
        <is>
          <t>Fernando</t>
        </is>
      </c>
      <c r="F85" s="6" t="n">
        <v>3</v>
      </c>
      <c r="G85" s="6" t="inlineStr">
        <is>
          <t>To Do</t>
        </is>
      </c>
      <c r="H85" s="6" t="inlineStr">
        <is>
          <t>26/10</t>
        </is>
      </c>
      <c r="I85" s="6" t="inlineStr">
        <is>
          <t>T-054, T-140</t>
        </is>
      </c>
      <c r="J85" s="6" t="n"/>
      <c r="K85" s="7" t="n"/>
    </row>
    <row r="86" ht="30" customHeight="1">
      <c r="B86" s="6" t="inlineStr">
        <is>
          <t>T-057</t>
        </is>
      </c>
      <c r="C86" s="7" t="inlineStr">
        <is>
          <t>Probar HU-23 en el ambiente de pruebas contra sus condiciones finales y aprobar su PR</t>
        </is>
      </c>
      <c r="D86" s="6" t="inlineStr">
        <is>
          <t>Pruebas</t>
        </is>
      </c>
      <c r="E86" s="6" t="inlineStr">
        <is>
          <t>Henry</t>
        </is>
      </c>
      <c r="F86" s="6" t="n">
        <v>1</v>
      </c>
      <c r="G86" s="6" t="inlineStr">
        <is>
          <t>To Do</t>
        </is>
      </c>
      <c r="H86" s="6" t="inlineStr">
        <is>
          <t>27/10</t>
        </is>
      </c>
      <c r="I86" s="6" t="inlineStr">
        <is>
          <t>T-054, T-055, T-056, T-139</t>
        </is>
      </c>
      <c r="J86" s="6" t="n"/>
      <c r="K86" s="7" t="inlineStr">
        <is>
          <t>alguien distinto del autor (T1, T5, T8)</t>
        </is>
      </c>
    </row>
    <row r="87" ht="30" customHeight="1">
      <c r="B87" s="8" t="inlineStr">
        <is>
          <t>T-058</t>
        </is>
      </c>
      <c r="C87" s="9" t="inlineStr">
        <is>
          <t>Aceptar HU-23 como Product Owner desde la interfaz y moverla a Done</t>
        </is>
      </c>
      <c r="D87" s="8" t="inlineStr">
        <is>
          <t>Aceptación</t>
        </is>
      </c>
      <c r="E87" s="8" t="inlineStr">
        <is>
          <t>Adiel</t>
        </is>
      </c>
      <c r="F87" s="8" t="n">
        <v>0.5</v>
      </c>
      <c r="G87" s="8" t="inlineStr">
        <is>
          <t>To Do</t>
        </is>
      </c>
      <c r="H87" s="8" t="inlineStr">
        <is>
          <t>27/10</t>
        </is>
      </c>
      <c r="I87" s="8" t="inlineStr">
        <is>
          <t>T-057</t>
        </is>
      </c>
      <c r="J87" s="8" t="n"/>
      <c r="K87" s="9" t="inlineStr">
        <is>
          <t>mueve la HU a Done</t>
        </is>
      </c>
    </row>
    <row r="88">
      <c r="B88" s="4" t="inlineStr">
        <is>
          <t>HU-24 · Consultar cuánto falta comprar   3 pts</t>
        </is>
      </c>
    </row>
    <row r="89" ht="18" customHeight="1">
      <c r="B89" s="5" t="inlineStr">
        <is>
          <t>Como residente de obra, quiero consultar cuánto falta comprar de cada insumo, para formular el siguiente requerimiento sobre una base cierta.</t>
        </is>
      </c>
    </row>
    <row r="90" ht="30" customHeight="1">
      <c r="B90" s="6" t="inlineStr">
        <is>
          <t>T-059</t>
        </is>
      </c>
      <c r="C90" s="7" t="inlineStr">
        <is>
          <t>Programar la consulta de lo que falta comprar por insumo</t>
        </is>
      </c>
      <c r="D90" s="6" t="inlineStr">
        <is>
          <t>Backend</t>
        </is>
      </c>
      <c r="E90" s="6" t="inlineStr">
        <is>
          <t>Adiel</t>
        </is>
      </c>
      <c r="F90" s="6" t="n">
        <v>2</v>
      </c>
      <c r="G90" s="6" t="inlineStr">
        <is>
          <t>To Do</t>
        </is>
      </c>
      <c r="H90" s="6" t="inlineStr">
        <is>
          <t>25/10</t>
        </is>
      </c>
      <c r="I90" s="6" t="n"/>
      <c r="J90" s="6" t="n"/>
      <c r="K90" s="7" t="n"/>
    </row>
    <row r="91" ht="30" customHeight="1">
      <c r="B91" s="6" t="inlineStr">
        <is>
          <t>T-060</t>
        </is>
      </c>
      <c r="C91" s="7" t="inlineStr">
        <is>
          <t>Programar la pantalla web «Saldo por comprar» con filtros y exportación CSV</t>
        </is>
      </c>
      <c r="D91" s="6" t="inlineStr">
        <is>
          <t>Web</t>
        </is>
      </c>
      <c r="E91" s="6" t="inlineStr">
        <is>
          <t>Fernando</t>
        </is>
      </c>
      <c r="F91" s="6" t="n">
        <v>2</v>
      </c>
      <c r="G91" s="6" t="inlineStr">
        <is>
          <t>Done</t>
        </is>
      </c>
      <c r="H91" s="6" t="inlineStr">
        <is>
          <t>26/10</t>
        </is>
      </c>
      <c r="I91" s="6" t="n"/>
      <c r="J91" s="6" t="n"/>
      <c r="K91" s="7" t="inlineStr">
        <is>
          <t>pantalla hecha con datos simulados; falta conectarla a la API real</t>
        </is>
      </c>
    </row>
    <row r="92" ht="30" customHeight="1">
      <c r="B92" s="6" t="inlineStr">
        <is>
          <t>T-061</t>
        </is>
      </c>
      <c r="C92" s="7" t="inlineStr">
        <is>
          <t>Conectar la pantalla de saldo por comprar con la API real</t>
        </is>
      </c>
      <c r="D92" s="6" t="inlineStr">
        <is>
          <t>Web</t>
        </is>
      </c>
      <c r="E92" s="6" t="inlineStr">
        <is>
          <t>Fernando</t>
        </is>
      </c>
      <c r="F92" s="6" t="n">
        <v>2</v>
      </c>
      <c r="G92" s="6" t="inlineStr">
        <is>
          <t>To Do</t>
        </is>
      </c>
      <c r="H92" s="6" t="inlineStr">
        <is>
          <t>26/10</t>
        </is>
      </c>
      <c r="I92" s="6" t="inlineStr">
        <is>
          <t>T-059, T-140</t>
        </is>
      </c>
      <c r="J92" s="6" t="n"/>
      <c r="K92" s="7" t="n"/>
    </row>
    <row r="93" ht="30" customHeight="1">
      <c r="B93" s="6" t="inlineStr">
        <is>
          <t>T-062</t>
        </is>
      </c>
      <c r="C93" s="7" t="inlineStr">
        <is>
          <t>Probar HU-24 en el ambiente de pruebas contra sus condiciones finales y aprobar su PR</t>
        </is>
      </c>
      <c r="D93" s="6" t="inlineStr">
        <is>
          <t>Pruebas</t>
        </is>
      </c>
      <c r="E93" s="6" t="inlineStr">
        <is>
          <t>Henry</t>
        </is>
      </c>
      <c r="F93" s="6" t="n">
        <v>1</v>
      </c>
      <c r="G93" s="6" t="inlineStr">
        <is>
          <t>To Do</t>
        </is>
      </c>
      <c r="H93" s="6" t="inlineStr">
        <is>
          <t>27/10</t>
        </is>
      </c>
      <c r="I93" s="6" t="inlineStr">
        <is>
          <t>T-059, T-060, T-061, T-139</t>
        </is>
      </c>
      <c r="J93" s="6" t="n"/>
      <c r="K93" s="7" t="inlineStr">
        <is>
          <t>alguien distinto del autor (T1, T5, T8)</t>
        </is>
      </c>
    </row>
    <row r="94" ht="30" customHeight="1">
      <c r="B94" s="8" t="inlineStr">
        <is>
          <t>T-063</t>
        </is>
      </c>
      <c r="C94" s="9" t="inlineStr">
        <is>
          <t>Aceptar HU-24 como Product Owner desde la interfaz y moverla a Done</t>
        </is>
      </c>
      <c r="D94" s="8" t="inlineStr">
        <is>
          <t>Aceptación</t>
        </is>
      </c>
      <c r="E94" s="8" t="inlineStr">
        <is>
          <t>Adiel</t>
        </is>
      </c>
      <c r="F94" s="8" t="n">
        <v>0.5</v>
      </c>
      <c r="G94" s="8" t="inlineStr">
        <is>
          <t>To Do</t>
        </is>
      </c>
      <c r="H94" s="8" t="inlineStr">
        <is>
          <t>27/10</t>
        </is>
      </c>
      <c r="I94" s="8" t="inlineStr">
        <is>
          <t>T-062</t>
        </is>
      </c>
      <c r="J94" s="8" t="n"/>
      <c r="K94" s="9" t="inlineStr">
        <is>
          <t>mueve la HU a Done</t>
        </is>
      </c>
    </row>
    <row r="95">
      <c r="B95" s="4" t="inlineStr">
        <is>
          <t>HU-25 · Definir punto de reposición   5 pts</t>
        </is>
      </c>
    </row>
    <row r="96" ht="18" customHeight="1">
      <c r="B96" s="5" t="inlineStr">
        <is>
          <t>Como residente de obra, quiero definir para cada insumo su stock de seguridad y su punto de reposición, para saber cuándo reponer y con cuánto colchón frente a la demora del proveedor.</t>
        </is>
      </c>
    </row>
    <row r="97" ht="30" customHeight="1">
      <c r="B97" s="6" t="inlineStr">
        <is>
          <t>T-064</t>
        </is>
      </c>
      <c r="C97" s="7" t="inlineStr">
        <is>
          <t>Programar el registro del stock de seguridad y del punto de reposición, con histórico</t>
        </is>
      </c>
      <c r="D97" s="6" t="inlineStr">
        <is>
          <t>Backend</t>
        </is>
      </c>
      <c r="E97" s="6" t="inlineStr">
        <is>
          <t>Adiel</t>
        </is>
      </c>
      <c r="F97" s="6" t="n">
        <v>4</v>
      </c>
      <c r="G97" s="6" t="inlineStr">
        <is>
          <t>To Do</t>
        </is>
      </c>
      <c r="H97" s="6" t="inlineStr">
        <is>
          <t>25/10</t>
        </is>
      </c>
      <c r="I97" s="6" t="n"/>
      <c r="J97" s="6" t="n"/>
      <c r="K97" s="7" t="n"/>
    </row>
    <row r="98" ht="30" customHeight="1">
      <c r="B98" s="6" t="inlineStr">
        <is>
          <t>T-065</t>
        </is>
      </c>
      <c r="C98" s="7" t="inlineStr">
        <is>
          <t>Programar el formulario web de parámetros de reposición</t>
        </is>
      </c>
      <c r="D98" s="6" t="inlineStr">
        <is>
          <t>Web</t>
        </is>
      </c>
      <c r="E98" s="6" t="inlineStr">
        <is>
          <t>Fernando</t>
        </is>
      </c>
      <c r="F98" s="6" t="n">
        <v>4</v>
      </c>
      <c r="G98" s="6" t="inlineStr">
        <is>
          <t>To Do</t>
        </is>
      </c>
      <c r="H98" s="6" t="inlineStr">
        <is>
          <t>26/10</t>
        </is>
      </c>
      <c r="I98" s="6" t="n"/>
      <c r="J98" s="6" t="n"/>
      <c r="K98" s="7" t="n"/>
    </row>
    <row r="99" ht="30" customHeight="1">
      <c r="B99" s="6" t="inlineStr">
        <is>
          <t>T-066</t>
        </is>
      </c>
      <c r="C99" s="7" t="inlineStr">
        <is>
          <t>Probar HU-25 en el ambiente de pruebas contra sus condiciones finales y aprobar su PR</t>
        </is>
      </c>
      <c r="D99" s="6" t="inlineStr">
        <is>
          <t>Pruebas</t>
        </is>
      </c>
      <c r="E99" s="6" t="inlineStr">
        <is>
          <t>Henry</t>
        </is>
      </c>
      <c r="F99" s="6" t="n">
        <v>1</v>
      </c>
      <c r="G99" s="6" t="inlineStr">
        <is>
          <t>To Do</t>
        </is>
      </c>
      <c r="H99" s="6" t="inlineStr">
        <is>
          <t>27/10</t>
        </is>
      </c>
      <c r="I99" s="6" t="inlineStr">
        <is>
          <t>T-064, T-065, T-139</t>
        </is>
      </c>
      <c r="J99" s="6" t="n"/>
      <c r="K99" s="7" t="inlineStr">
        <is>
          <t>alguien distinto del autor (T1, T5, T8)</t>
        </is>
      </c>
    </row>
    <row r="100" ht="30" customHeight="1">
      <c r="B100" s="8" t="inlineStr">
        <is>
          <t>T-067</t>
        </is>
      </c>
      <c r="C100" s="9" t="inlineStr">
        <is>
          <t>Aceptar HU-25 como Product Owner desde la interfaz y moverla a Done</t>
        </is>
      </c>
      <c r="D100" s="8" t="inlineStr">
        <is>
          <t>Aceptación</t>
        </is>
      </c>
      <c r="E100" s="8" t="inlineStr">
        <is>
          <t>Adiel</t>
        </is>
      </c>
      <c r="F100" s="8" t="n">
        <v>0.5</v>
      </c>
      <c r="G100" s="8" t="inlineStr">
        <is>
          <t>To Do</t>
        </is>
      </c>
      <c r="H100" s="8" t="inlineStr">
        <is>
          <t>27/10</t>
        </is>
      </c>
      <c r="I100" s="8" t="inlineStr">
        <is>
          <t>T-066</t>
        </is>
      </c>
      <c r="J100" s="8" t="n"/>
      <c r="K100" s="9" t="inlineStr">
        <is>
          <t>mueve la HU a Done</t>
        </is>
      </c>
    </row>
    <row r="101">
      <c r="B101" s="4" t="inlineStr">
        <is>
          <t>HU-26 · Avisar cuándo reponer   5 pts</t>
        </is>
      </c>
    </row>
    <row r="102" ht="18" customHeight="1">
      <c r="B102" s="5" t="inlineStr">
        <is>
          <t>Como residente de obra, quiero recibir un aviso cuando un insumo baje de su punto de reposición, para reponer antes de que la obra se detenga.</t>
        </is>
      </c>
    </row>
    <row r="103" ht="30" customHeight="1">
      <c r="B103" s="6" t="inlineStr">
        <is>
          <t>T-068</t>
        </is>
      </c>
      <c r="C103" s="7" t="inlineStr">
        <is>
          <t>Programar el motor de alertas: una por insumo y marcada como atendida al comprar</t>
        </is>
      </c>
      <c r="D103" s="6" t="inlineStr">
        <is>
          <t>Backend</t>
        </is>
      </c>
      <c r="E103" s="6" t="inlineStr">
        <is>
          <t>Adiel</t>
        </is>
      </c>
      <c r="F103" s="6" t="n">
        <v>3</v>
      </c>
      <c r="G103" s="6" t="inlineStr">
        <is>
          <t>To Do</t>
        </is>
      </c>
      <c r="H103" s="6" t="inlineStr">
        <is>
          <t>25/10</t>
        </is>
      </c>
      <c r="I103" s="6" t="n"/>
      <c r="J103" s="6" t="n"/>
      <c r="K103" s="7" t="n"/>
    </row>
    <row r="104" ht="30" customHeight="1">
      <c r="B104" s="6" t="inlineStr">
        <is>
          <t>T-069</t>
        </is>
      </c>
      <c r="C104" s="7" t="inlineStr">
        <is>
          <t>Programar las alertas de reposición en la web</t>
        </is>
      </c>
      <c r="D104" s="6" t="inlineStr">
        <is>
          <t>Web</t>
        </is>
      </c>
      <c r="E104" s="6" t="inlineStr">
        <is>
          <t>Fernando</t>
        </is>
      </c>
      <c r="F104" s="6" t="n">
        <v>3</v>
      </c>
      <c r="G104" s="6" t="inlineStr">
        <is>
          <t>Done</t>
        </is>
      </c>
      <c r="H104" s="6" t="inlineStr">
        <is>
          <t>26/10</t>
        </is>
      </c>
      <c r="I104" s="6" t="n"/>
      <c r="J104" s="6" t="n"/>
      <c r="K104" s="7" t="inlineStr">
        <is>
          <t>pantalla hecha con datos simulados; falta conectarla a la API real</t>
        </is>
      </c>
    </row>
    <row r="105" ht="30" customHeight="1">
      <c r="B105" s="6" t="inlineStr">
        <is>
          <t>T-070</t>
        </is>
      </c>
      <c r="C105" s="7" t="inlineStr">
        <is>
          <t>Conectar las alertas con la API real</t>
        </is>
      </c>
      <c r="D105" s="6" t="inlineStr">
        <is>
          <t>Web</t>
        </is>
      </c>
      <c r="E105" s="6" t="inlineStr">
        <is>
          <t>Fernando</t>
        </is>
      </c>
      <c r="F105" s="6" t="n">
        <v>3</v>
      </c>
      <c r="G105" s="6" t="inlineStr">
        <is>
          <t>To Do</t>
        </is>
      </c>
      <c r="H105" s="6" t="inlineStr">
        <is>
          <t>26/10</t>
        </is>
      </c>
      <c r="I105" s="6" t="inlineStr">
        <is>
          <t>T-068, T-140</t>
        </is>
      </c>
      <c r="J105" s="6" t="n"/>
      <c r="K105" s="7" t="n"/>
    </row>
    <row r="106" ht="30" customHeight="1">
      <c r="B106" s="6" t="inlineStr">
        <is>
          <t>T-071</t>
        </is>
      </c>
      <c r="C106" s="7" t="inlineStr">
        <is>
          <t>Probar HU-26 en el ambiente de pruebas contra sus condiciones finales y aprobar su PR</t>
        </is>
      </c>
      <c r="D106" s="6" t="inlineStr">
        <is>
          <t>Pruebas</t>
        </is>
      </c>
      <c r="E106" s="6" t="inlineStr">
        <is>
          <t>Henry</t>
        </is>
      </c>
      <c r="F106" s="6" t="n">
        <v>1</v>
      </c>
      <c r="G106" s="6" t="inlineStr">
        <is>
          <t>To Do</t>
        </is>
      </c>
      <c r="H106" s="6" t="inlineStr">
        <is>
          <t>27/10</t>
        </is>
      </c>
      <c r="I106" s="6" t="inlineStr">
        <is>
          <t>T-068, T-069, T-070, T-139</t>
        </is>
      </c>
      <c r="J106" s="6" t="n"/>
      <c r="K106" s="7" t="inlineStr">
        <is>
          <t>alguien distinto del autor (T1, T5, T8)</t>
        </is>
      </c>
    </row>
    <row r="107" ht="30" customHeight="1">
      <c r="B107" s="8" t="inlineStr">
        <is>
          <t>T-072</t>
        </is>
      </c>
      <c r="C107" s="9" t="inlineStr">
        <is>
          <t>Aceptar HU-26 como Product Owner desde la interfaz y moverla a Done</t>
        </is>
      </c>
      <c r="D107" s="8" t="inlineStr">
        <is>
          <t>Aceptación</t>
        </is>
      </c>
      <c r="E107" s="8" t="inlineStr">
        <is>
          <t>Adiel</t>
        </is>
      </c>
      <c r="F107" s="8" t="n">
        <v>0.5</v>
      </c>
      <c r="G107" s="8" t="inlineStr">
        <is>
          <t>To Do</t>
        </is>
      </c>
      <c r="H107" s="8" t="inlineStr">
        <is>
          <t>27/10</t>
        </is>
      </c>
      <c r="I107" s="8" t="inlineStr">
        <is>
          <t>T-071</t>
        </is>
      </c>
      <c r="J107" s="8" t="n"/>
      <c r="K107" s="9" t="inlineStr">
        <is>
          <t>mueve la HU a Done</t>
        </is>
      </c>
    </row>
    <row r="108">
      <c r="B108" s="4" t="inlineStr">
        <is>
          <t>HU-27 · Sugerir cuánto comprar   5 pts</t>
        </is>
      </c>
    </row>
    <row r="109" ht="18" customHeight="1">
      <c r="B109" s="5" t="inlineStr">
        <is>
          <t>Como residente de obra, quiero consultar cuánto conviene comprar de cada insumo, para tener una referencia para armar el pedido.</t>
        </is>
      </c>
    </row>
    <row r="110" ht="30" customHeight="1">
      <c r="B110" s="6" t="inlineStr">
        <is>
          <t>T-073</t>
        </is>
      </c>
      <c r="C110" s="7" t="inlineStr">
        <is>
          <t>Programar el cálculo de la sugerencia de compra con su criterio</t>
        </is>
      </c>
      <c r="D110" s="6" t="inlineStr">
        <is>
          <t>Backend</t>
        </is>
      </c>
      <c r="E110" s="6" t="inlineStr">
        <is>
          <t>Adiel</t>
        </is>
      </c>
      <c r="F110" s="6" t="n">
        <v>3</v>
      </c>
      <c r="G110" s="6" t="inlineStr">
        <is>
          <t>To Do</t>
        </is>
      </c>
      <c r="H110" s="6" t="inlineStr">
        <is>
          <t>25/10</t>
        </is>
      </c>
      <c r="I110" s="6" t="n"/>
      <c r="J110" s="6" t="n"/>
      <c r="K110" s="7" t="n"/>
    </row>
    <row r="111" ht="30" customHeight="1">
      <c r="B111" s="6" t="inlineStr">
        <is>
          <t>T-074</t>
        </is>
      </c>
      <c r="C111" s="7" t="inlineStr">
        <is>
          <t>Programar la sugerencia editable dentro de la alerta</t>
        </is>
      </c>
      <c r="D111" s="6" t="inlineStr">
        <is>
          <t>Web</t>
        </is>
      </c>
      <c r="E111" s="6" t="inlineStr">
        <is>
          <t>Fernando</t>
        </is>
      </c>
      <c r="F111" s="6" t="n">
        <v>3</v>
      </c>
      <c r="G111" s="6" t="inlineStr">
        <is>
          <t>Done</t>
        </is>
      </c>
      <c r="H111" s="6" t="inlineStr">
        <is>
          <t>26/10</t>
        </is>
      </c>
      <c r="I111" s="6" t="n"/>
      <c r="J111" s="6" t="n"/>
      <c r="K111" s="7" t="inlineStr">
        <is>
          <t>pantalla hecha con datos simulados; falta conectarla a la API real</t>
        </is>
      </c>
    </row>
    <row r="112" ht="30" customHeight="1">
      <c r="B112" s="6" t="inlineStr">
        <is>
          <t>T-075</t>
        </is>
      </c>
      <c r="C112" s="7" t="inlineStr">
        <is>
          <t>Conectar la sugerencia con la API real</t>
        </is>
      </c>
      <c r="D112" s="6" t="inlineStr">
        <is>
          <t>Web</t>
        </is>
      </c>
      <c r="E112" s="6" t="inlineStr">
        <is>
          <t>Fernando</t>
        </is>
      </c>
      <c r="F112" s="6" t="n">
        <v>3</v>
      </c>
      <c r="G112" s="6" t="inlineStr">
        <is>
          <t>To Do</t>
        </is>
      </c>
      <c r="H112" s="6" t="inlineStr">
        <is>
          <t>26/10</t>
        </is>
      </c>
      <c r="I112" s="6" t="inlineStr">
        <is>
          <t>T-073, T-140</t>
        </is>
      </c>
      <c r="J112" s="6" t="n"/>
      <c r="K112" s="7" t="n"/>
    </row>
    <row r="113" ht="30" customHeight="1">
      <c r="B113" s="6" t="inlineStr">
        <is>
          <t>T-076</t>
        </is>
      </c>
      <c r="C113" s="7" t="inlineStr">
        <is>
          <t>Probar HU-27 en el ambiente de pruebas contra sus condiciones finales y aprobar su PR</t>
        </is>
      </c>
      <c r="D113" s="6" t="inlineStr">
        <is>
          <t>Pruebas</t>
        </is>
      </c>
      <c r="E113" s="6" t="inlineStr">
        <is>
          <t>Henry</t>
        </is>
      </c>
      <c r="F113" s="6" t="n">
        <v>1</v>
      </c>
      <c r="G113" s="6" t="inlineStr">
        <is>
          <t>To Do</t>
        </is>
      </c>
      <c r="H113" s="6" t="inlineStr">
        <is>
          <t>27/10</t>
        </is>
      </c>
      <c r="I113" s="6" t="inlineStr">
        <is>
          <t>T-073, T-074, T-075, T-139</t>
        </is>
      </c>
      <c r="J113" s="6" t="n"/>
      <c r="K113" s="7" t="inlineStr">
        <is>
          <t>alguien distinto del autor (T1, T5, T8)</t>
        </is>
      </c>
    </row>
    <row r="114" ht="30" customHeight="1">
      <c r="B114" s="8" t="inlineStr">
        <is>
          <t>T-077</t>
        </is>
      </c>
      <c r="C114" s="9" t="inlineStr">
        <is>
          <t>Aceptar HU-27 como Product Owner desde la interfaz y moverla a Done</t>
        </is>
      </c>
      <c r="D114" s="8" t="inlineStr">
        <is>
          <t>Aceptación</t>
        </is>
      </c>
      <c r="E114" s="8" t="inlineStr">
        <is>
          <t>Adiel</t>
        </is>
      </c>
      <c r="F114" s="8" t="n">
        <v>0.5</v>
      </c>
      <c r="G114" s="8" t="inlineStr">
        <is>
          <t>To Do</t>
        </is>
      </c>
      <c r="H114" s="8" t="inlineStr">
        <is>
          <t>27/10</t>
        </is>
      </c>
      <c r="I114" s="8" t="inlineStr">
        <is>
          <t>T-076</t>
        </is>
      </c>
      <c r="J114" s="8" t="n"/>
      <c r="K114" s="9" t="inlineStr">
        <is>
          <t>mueve la HU a Done</t>
        </is>
      </c>
    </row>
    <row r="115">
      <c r="B115" s="4" t="inlineStr">
        <is>
          <t>HU-29 · Consultar proveedores   3 pts</t>
        </is>
      </c>
    </row>
    <row r="116" ht="18" customHeight="1">
      <c r="B116" s="5" t="inlineStr">
        <is>
          <t>Como residente de obra, quiero consultar la lista de proveedores, para elegir uno sin volver a escribir sus datos.</t>
        </is>
      </c>
    </row>
    <row r="117" ht="30" customHeight="1">
      <c r="B117" s="6" t="inlineStr">
        <is>
          <t>T-078</t>
        </is>
      </c>
      <c r="C117" s="7" t="inlineStr">
        <is>
          <t>Programar la búsqueda de proveedores por razón social o RUC</t>
        </is>
      </c>
      <c r="D117" s="6" t="inlineStr">
        <is>
          <t>Backend</t>
        </is>
      </c>
      <c r="E117" s="6" t="inlineStr">
        <is>
          <t>Adiel</t>
        </is>
      </c>
      <c r="F117" s="6" t="n">
        <v>2</v>
      </c>
      <c r="G117" s="6" t="inlineStr">
        <is>
          <t>Done</t>
        </is>
      </c>
      <c r="H117" s="6" t="inlineStr">
        <is>
          <t>25/10</t>
        </is>
      </c>
      <c r="I117" s="6" t="n"/>
      <c r="J117" s="6" t="n"/>
      <c r="K117" s="7" t="inlineStr">
        <is>
          <t>hecho en la API de Adiel (PR #1 fusionado a main), con pruebas</t>
        </is>
      </c>
    </row>
    <row r="118" ht="30" customHeight="1">
      <c r="B118" s="6" t="inlineStr">
        <is>
          <t>T-079</t>
        </is>
      </c>
      <c r="C118" s="7" t="inlineStr">
        <is>
          <t>Programar la pantalla web de proveedores con los 626 reales</t>
        </is>
      </c>
      <c r="D118" s="6" t="inlineStr">
        <is>
          <t>Web</t>
        </is>
      </c>
      <c r="E118" s="6" t="inlineStr">
        <is>
          <t>Fernando</t>
        </is>
      </c>
      <c r="F118" s="6" t="n">
        <v>2</v>
      </c>
      <c r="G118" s="6" t="inlineStr">
        <is>
          <t>Done</t>
        </is>
      </c>
      <c r="H118" s="6" t="inlineStr">
        <is>
          <t>26/10</t>
        </is>
      </c>
      <c r="I118" s="6" t="n"/>
      <c r="J118" s="6" t="n"/>
      <c r="K118" s="7" t="inlineStr">
        <is>
          <t>pantalla hecha con datos simulados; falta conectarla a la API real</t>
        </is>
      </c>
    </row>
    <row r="119" ht="30" customHeight="1">
      <c r="B119" s="6" t="inlineStr">
        <is>
          <t>T-080</t>
        </is>
      </c>
      <c r="C119" s="7" t="inlineStr">
        <is>
          <t>Conectar la pantalla de proveedores con la API real</t>
        </is>
      </c>
      <c r="D119" s="6" t="inlineStr">
        <is>
          <t>Web</t>
        </is>
      </c>
      <c r="E119" s="6" t="inlineStr">
        <is>
          <t>Henry</t>
        </is>
      </c>
      <c r="F119" s="6" t="n">
        <v>2</v>
      </c>
      <c r="G119" s="6" t="inlineStr">
        <is>
          <t>To Do</t>
        </is>
      </c>
      <c r="H119" s="6" t="inlineStr">
        <is>
          <t>26/10</t>
        </is>
      </c>
      <c r="I119" s="6" t="inlineStr">
        <is>
          <t>T-078, T-140</t>
        </is>
      </c>
      <c r="J119" s="6" t="n"/>
      <c r="K119" s="7" t="n"/>
    </row>
    <row r="120" ht="30" customHeight="1">
      <c r="B120" s="6" t="inlineStr">
        <is>
          <t>T-081</t>
        </is>
      </c>
      <c r="C120" s="7" t="inlineStr">
        <is>
          <t>Probar HU-29 en el ambiente de pruebas contra sus condiciones finales y aprobar su PR</t>
        </is>
      </c>
      <c r="D120" s="6" t="inlineStr">
        <is>
          <t>Pruebas</t>
        </is>
      </c>
      <c r="E120" s="6" t="inlineStr">
        <is>
          <t>Fernando</t>
        </is>
      </c>
      <c r="F120" s="6" t="n">
        <v>1</v>
      </c>
      <c r="G120" s="6" t="inlineStr">
        <is>
          <t>To Do</t>
        </is>
      </c>
      <c r="H120" s="6" t="inlineStr">
        <is>
          <t>27/10</t>
        </is>
      </c>
      <c r="I120" s="6" t="inlineStr">
        <is>
          <t>T-078, T-079, T-080, T-139</t>
        </is>
      </c>
      <c r="J120" s="6" t="n"/>
      <c r="K120" s="7" t="inlineStr">
        <is>
          <t>alguien distinto del autor (T1, T5, T8)</t>
        </is>
      </c>
    </row>
    <row r="121" ht="30" customHeight="1">
      <c r="B121" s="8" t="inlineStr">
        <is>
          <t>T-082</t>
        </is>
      </c>
      <c r="C121" s="9" t="inlineStr">
        <is>
          <t>Aceptar HU-29 como Product Owner desde la interfaz y moverla a Done</t>
        </is>
      </c>
      <c r="D121" s="8" t="inlineStr">
        <is>
          <t>Aceptación</t>
        </is>
      </c>
      <c r="E121" s="8" t="inlineStr">
        <is>
          <t>Adiel</t>
        </is>
      </c>
      <c r="F121" s="8" t="n">
        <v>0.5</v>
      </c>
      <c r="G121" s="8" t="inlineStr">
        <is>
          <t>To Do</t>
        </is>
      </c>
      <c r="H121" s="8" t="inlineStr">
        <is>
          <t>27/10</t>
        </is>
      </c>
      <c r="I121" s="8" t="inlineStr">
        <is>
          <t>T-081</t>
        </is>
      </c>
      <c r="J121" s="8" t="n"/>
      <c r="K121" s="9" t="inlineStr">
        <is>
          <t>mueve la HU a Done</t>
        </is>
      </c>
    </row>
    <row r="122">
      <c r="B122" s="4" t="inlineStr">
        <is>
          <t>HU-30 · Registrar proveedores   3 pts</t>
        </is>
      </c>
    </row>
    <row r="123" ht="18" customHeight="1">
      <c r="B123" s="5" t="inlineStr">
        <is>
          <t>Como residente de obra, quiero crear un proveedor desde el formulario de compra, para no interrumpir el registro cuando aún no existe.</t>
        </is>
      </c>
    </row>
    <row r="124" ht="30" customHeight="1">
      <c r="B124" s="6" t="inlineStr">
        <is>
          <t>T-083</t>
        </is>
      </c>
      <c r="C124" s="7" t="inlineStr">
        <is>
          <t>Programar el alta de proveedor rechazando RUC o DNI repetidos</t>
        </is>
      </c>
      <c r="D124" s="6" t="inlineStr">
        <is>
          <t>Backend</t>
        </is>
      </c>
      <c r="E124" s="6" t="inlineStr">
        <is>
          <t>Adiel</t>
        </is>
      </c>
      <c r="F124" s="6" t="n">
        <v>2</v>
      </c>
      <c r="G124" s="6" t="inlineStr">
        <is>
          <t>Done</t>
        </is>
      </c>
      <c r="H124" s="6" t="inlineStr">
        <is>
          <t>25/10</t>
        </is>
      </c>
      <c r="I124" s="6" t="n"/>
      <c r="J124" s="6" t="n"/>
      <c r="K124" s="7" t="inlineStr">
        <is>
          <t>hecho en la API de Adiel (PR #1 fusionado a main), con pruebas</t>
        </is>
      </c>
    </row>
    <row r="125" ht="30" customHeight="1">
      <c r="B125" s="6" t="inlineStr">
        <is>
          <t>T-084</t>
        </is>
      </c>
      <c r="C125" s="7" t="inlineStr">
        <is>
          <t>Programar el alta rápida de proveedor desde la compra</t>
        </is>
      </c>
      <c r="D125" s="6" t="inlineStr">
        <is>
          <t>Web</t>
        </is>
      </c>
      <c r="E125" s="6" t="inlineStr">
        <is>
          <t>Fernando</t>
        </is>
      </c>
      <c r="F125" s="6" t="n">
        <v>2</v>
      </c>
      <c r="G125" s="6" t="inlineStr">
        <is>
          <t>Done</t>
        </is>
      </c>
      <c r="H125" s="6" t="inlineStr">
        <is>
          <t>26/10</t>
        </is>
      </c>
      <c r="I125" s="6" t="n"/>
      <c r="J125" s="6" t="n"/>
      <c r="K125" s="7" t="inlineStr">
        <is>
          <t>pantalla hecha con datos simulados; falta conectarla a la API real</t>
        </is>
      </c>
    </row>
    <row r="126" ht="30" customHeight="1">
      <c r="B126" s="6" t="inlineStr">
        <is>
          <t>T-085</t>
        </is>
      </c>
      <c r="C126" s="7" t="inlineStr">
        <is>
          <t>Conectar el alta de proveedor con la API real</t>
        </is>
      </c>
      <c r="D126" s="6" t="inlineStr">
        <is>
          <t>Web</t>
        </is>
      </c>
      <c r="E126" s="6" t="inlineStr">
        <is>
          <t>Henry</t>
        </is>
      </c>
      <c r="F126" s="6" t="n">
        <v>2</v>
      </c>
      <c r="G126" s="6" t="inlineStr">
        <is>
          <t>To Do</t>
        </is>
      </c>
      <c r="H126" s="6" t="inlineStr">
        <is>
          <t>26/10</t>
        </is>
      </c>
      <c r="I126" s="6" t="inlineStr">
        <is>
          <t>T-083, T-140</t>
        </is>
      </c>
      <c r="J126" s="6" t="n"/>
      <c r="K126" s="7" t="n"/>
    </row>
    <row r="127" ht="30" customHeight="1">
      <c r="B127" s="6" t="inlineStr">
        <is>
          <t>T-086</t>
        </is>
      </c>
      <c r="C127" s="7" t="inlineStr">
        <is>
          <t>Probar HU-30 en el ambiente de pruebas contra sus condiciones finales y aprobar su PR</t>
        </is>
      </c>
      <c r="D127" s="6" t="inlineStr">
        <is>
          <t>Pruebas</t>
        </is>
      </c>
      <c r="E127" s="6" t="inlineStr">
        <is>
          <t>Fernando</t>
        </is>
      </c>
      <c r="F127" s="6" t="n">
        <v>1</v>
      </c>
      <c r="G127" s="6" t="inlineStr">
        <is>
          <t>To Do</t>
        </is>
      </c>
      <c r="H127" s="6" t="inlineStr">
        <is>
          <t>27/10</t>
        </is>
      </c>
      <c r="I127" s="6" t="inlineStr">
        <is>
          <t>T-083, T-084, T-085, T-139</t>
        </is>
      </c>
      <c r="J127" s="6" t="n"/>
      <c r="K127" s="7" t="inlineStr">
        <is>
          <t>alguien distinto del autor (T1, T5, T8)</t>
        </is>
      </c>
    </row>
    <row r="128" ht="30" customHeight="1">
      <c r="B128" s="8" t="inlineStr">
        <is>
          <t>T-087</t>
        </is>
      </c>
      <c r="C128" s="9" t="inlineStr">
        <is>
          <t>Aceptar HU-30 como Product Owner desde la interfaz y moverla a Done</t>
        </is>
      </c>
      <c r="D128" s="8" t="inlineStr">
        <is>
          <t>Aceptación</t>
        </is>
      </c>
      <c r="E128" s="8" t="inlineStr">
        <is>
          <t>Adiel</t>
        </is>
      </c>
      <c r="F128" s="8" t="n">
        <v>0.5</v>
      </c>
      <c r="G128" s="8" t="inlineStr">
        <is>
          <t>To Do</t>
        </is>
      </c>
      <c r="H128" s="8" t="inlineStr">
        <is>
          <t>27/10</t>
        </is>
      </c>
      <c r="I128" s="8" t="inlineStr">
        <is>
          <t>T-086</t>
        </is>
      </c>
      <c r="J128" s="8" t="n"/>
      <c r="K128" s="9" t="inlineStr">
        <is>
          <t>mueve la HU a Done</t>
        </is>
      </c>
    </row>
    <row r="129">
      <c r="B129" s="4" t="inlineStr">
        <is>
          <t>HU-32 · Registrar compras   8 pts</t>
        </is>
      </c>
    </row>
    <row r="130" ht="18" customHeight="1">
      <c r="B130" s="5" t="inlineStr">
        <is>
          <t>Como residente de obra, quiero registrar la compra con proveedor, comprobante y productos, para dejar constancia de lo adquirido.</t>
        </is>
      </c>
    </row>
    <row r="131" ht="30" customHeight="1">
      <c r="B131" s="6" t="inlineStr">
        <is>
          <t>T-088</t>
        </is>
      </c>
      <c r="C131" s="7" t="inlineStr">
        <is>
          <t>Programar el registro de compra: comprobante único, base, IGV y total, sin mover stock</t>
        </is>
      </c>
      <c r="D131" s="6" t="inlineStr">
        <is>
          <t>Backend</t>
        </is>
      </c>
      <c r="E131" s="6" t="inlineStr">
        <is>
          <t>Adiel</t>
        </is>
      </c>
      <c r="F131" s="6" t="n">
        <v>5</v>
      </c>
      <c r="G131" s="6" t="inlineStr">
        <is>
          <t>Done</t>
        </is>
      </c>
      <c r="H131" s="6" t="inlineStr">
        <is>
          <t>25/10</t>
        </is>
      </c>
      <c r="I131" s="6" t="n"/>
      <c r="J131" s="6" t="n"/>
      <c r="K131" s="7" t="inlineStr">
        <is>
          <t>hecho en la API de Adiel (PR #1 fusionado a main), con pruebas</t>
        </is>
      </c>
    </row>
    <row r="132" ht="30" customHeight="1">
      <c r="B132" s="6" t="inlineStr">
        <is>
          <t>T-089</t>
        </is>
      </c>
      <c r="C132" s="7" t="inlineStr">
        <is>
          <t>Programar la pantalla web de compras</t>
        </is>
      </c>
      <c r="D132" s="6" t="inlineStr">
        <is>
          <t>Web</t>
        </is>
      </c>
      <c r="E132" s="6" t="inlineStr">
        <is>
          <t>Fernando</t>
        </is>
      </c>
      <c r="F132" s="6" t="n">
        <v>5</v>
      </c>
      <c r="G132" s="6" t="inlineStr">
        <is>
          <t>Done</t>
        </is>
      </c>
      <c r="H132" s="6" t="inlineStr">
        <is>
          <t>26/10</t>
        </is>
      </c>
      <c r="I132" s="6" t="n"/>
      <c r="J132" s="6" t="n"/>
      <c r="K132" s="7" t="inlineStr">
        <is>
          <t>pantalla hecha con datos simulados; falta conectarla a la API real</t>
        </is>
      </c>
    </row>
    <row r="133" ht="30" customHeight="1">
      <c r="B133" s="6" t="inlineStr">
        <is>
          <t>T-090</t>
        </is>
      </c>
      <c r="C133" s="7" t="inlineStr">
        <is>
          <t>Conectar la pantalla de compras con la API real</t>
        </is>
      </c>
      <c r="D133" s="6" t="inlineStr">
        <is>
          <t>Web</t>
        </is>
      </c>
      <c r="E133" s="6" t="inlineStr">
        <is>
          <t>Henry</t>
        </is>
      </c>
      <c r="F133" s="6" t="n">
        <v>5</v>
      </c>
      <c r="G133" s="6" t="inlineStr">
        <is>
          <t>To Do</t>
        </is>
      </c>
      <c r="H133" s="6" t="inlineStr">
        <is>
          <t>26/10</t>
        </is>
      </c>
      <c r="I133" s="6" t="inlineStr">
        <is>
          <t>T-088, T-140</t>
        </is>
      </c>
      <c r="J133" s="6" t="n"/>
      <c r="K133" s="7" t="n"/>
    </row>
    <row r="134" ht="30" customHeight="1">
      <c r="B134" s="6" t="inlineStr">
        <is>
          <t>T-091</t>
        </is>
      </c>
      <c r="C134" s="7" t="inlineStr">
        <is>
          <t>Probar HU-32 en el ambiente de pruebas contra sus condiciones finales y aprobar su PR</t>
        </is>
      </c>
      <c r="D134" s="6" t="inlineStr">
        <is>
          <t>Pruebas</t>
        </is>
      </c>
      <c r="E134" s="6" t="inlineStr">
        <is>
          <t>Fernando</t>
        </is>
      </c>
      <c r="F134" s="6" t="n">
        <v>1</v>
      </c>
      <c r="G134" s="6" t="inlineStr">
        <is>
          <t>To Do</t>
        </is>
      </c>
      <c r="H134" s="6" t="inlineStr">
        <is>
          <t>27/10</t>
        </is>
      </c>
      <c r="I134" s="6" t="inlineStr">
        <is>
          <t>T-088, T-089, T-090, T-139</t>
        </is>
      </c>
      <c r="J134" s="6" t="n"/>
      <c r="K134" s="7" t="inlineStr">
        <is>
          <t>alguien distinto del autor (T1, T5, T8)</t>
        </is>
      </c>
    </row>
    <row r="135" ht="30" customHeight="1">
      <c r="B135" s="8" t="inlineStr">
        <is>
          <t>T-092</t>
        </is>
      </c>
      <c r="C135" s="9" t="inlineStr">
        <is>
          <t>Aceptar HU-32 como Product Owner desde la interfaz y moverla a Done</t>
        </is>
      </c>
      <c r="D135" s="8" t="inlineStr">
        <is>
          <t>Aceptación</t>
        </is>
      </c>
      <c r="E135" s="8" t="inlineStr">
        <is>
          <t>Adiel</t>
        </is>
      </c>
      <c r="F135" s="8" t="n">
        <v>0.5</v>
      </c>
      <c r="G135" s="8" t="inlineStr">
        <is>
          <t>To Do</t>
        </is>
      </c>
      <c r="H135" s="8" t="inlineStr">
        <is>
          <t>27/10</t>
        </is>
      </c>
      <c r="I135" s="8" t="inlineStr">
        <is>
          <t>T-091</t>
        </is>
      </c>
      <c r="J135" s="8" t="n"/>
      <c r="K135" s="9" t="inlineStr">
        <is>
          <t>mueve la HU a Done</t>
        </is>
      </c>
    </row>
    <row r="136">
      <c r="B136" s="4" t="inlineStr">
        <is>
          <t>HU-35 · Recibir compras   8 pts</t>
        </is>
      </c>
    </row>
    <row r="137" ht="18" customHeight="1">
      <c r="B137" s="5" t="inlineStr">
        <is>
          <t>Como almacenero, quiero registrar la recepción total o parcial de una compra, para actualizar el stock solo con lo realmente recibido.</t>
        </is>
      </c>
    </row>
    <row r="138" ht="30" customHeight="1">
      <c r="B138" s="6" t="inlineStr">
        <is>
          <t>T-093</t>
        </is>
      </c>
      <c r="C138" s="7" t="inlineStr">
        <is>
          <t>Programar la recepción total o parcial que genera el ingreso al kárdex</t>
        </is>
      </c>
      <c r="D138" s="6" t="inlineStr">
        <is>
          <t>Backend</t>
        </is>
      </c>
      <c r="E138" s="6" t="inlineStr">
        <is>
          <t>Adiel</t>
        </is>
      </c>
      <c r="F138" s="6" t="n">
        <v>4</v>
      </c>
      <c r="G138" s="6" t="inlineStr">
        <is>
          <t>To Do</t>
        </is>
      </c>
      <c r="H138" s="6" t="inlineStr">
        <is>
          <t>25/10</t>
        </is>
      </c>
      <c r="I138" s="6" t="n"/>
      <c r="J138" s="6" t="n"/>
      <c r="K138" s="7" t="n"/>
    </row>
    <row r="139" ht="30" customHeight="1">
      <c r="B139" s="6" t="inlineStr">
        <is>
          <t>T-094</t>
        </is>
      </c>
      <c r="C139" s="7" t="inlineStr">
        <is>
          <t>Programar el registro de recepción en la web (pedido, recibido, pendiente)</t>
        </is>
      </c>
      <c r="D139" s="6" t="inlineStr">
        <is>
          <t>Web</t>
        </is>
      </c>
      <c r="E139" s="6" t="inlineStr">
        <is>
          <t>Fernando</t>
        </is>
      </c>
      <c r="F139" s="6" t="n">
        <v>4</v>
      </c>
      <c r="G139" s="6" t="inlineStr">
        <is>
          <t>Done</t>
        </is>
      </c>
      <c r="H139" s="6" t="inlineStr">
        <is>
          <t>26/10</t>
        </is>
      </c>
      <c r="I139" s="6" t="n"/>
      <c r="J139" s="6" t="n"/>
      <c r="K139" s="7" t="inlineStr">
        <is>
          <t>pantalla hecha con datos simulados; falta conectarla a la API real</t>
        </is>
      </c>
    </row>
    <row r="140" ht="30" customHeight="1">
      <c r="B140" s="6" t="inlineStr">
        <is>
          <t>T-095</t>
        </is>
      </c>
      <c r="C140" s="7" t="inlineStr">
        <is>
          <t>Conectar la recepción con la API real</t>
        </is>
      </c>
      <c r="D140" s="6" t="inlineStr">
        <is>
          <t>Web</t>
        </is>
      </c>
      <c r="E140" s="6" t="inlineStr">
        <is>
          <t>Henry</t>
        </is>
      </c>
      <c r="F140" s="6" t="n">
        <v>4</v>
      </c>
      <c r="G140" s="6" t="inlineStr">
        <is>
          <t>To Do</t>
        </is>
      </c>
      <c r="H140" s="6" t="inlineStr">
        <is>
          <t>26/10</t>
        </is>
      </c>
      <c r="I140" s="6" t="inlineStr">
        <is>
          <t>T-093, T-140</t>
        </is>
      </c>
      <c r="J140" s="6" t="n"/>
      <c r="K140" s="7" t="n"/>
    </row>
    <row r="141" ht="30" customHeight="1">
      <c r="B141" s="6" t="inlineStr">
        <is>
          <t>T-096</t>
        </is>
      </c>
      <c r="C141" s="7" t="inlineStr">
        <is>
          <t>Programar la recepción de compras en la app del almacenero</t>
        </is>
      </c>
      <c r="D141" s="6" t="inlineStr">
        <is>
          <t>Android</t>
        </is>
      </c>
      <c r="E141" s="6" t="inlineStr">
        <is>
          <t>Nicolás</t>
        </is>
      </c>
      <c r="F141" s="6" t="n">
        <v>4</v>
      </c>
      <c r="G141" s="6" t="inlineStr">
        <is>
          <t>To Do</t>
        </is>
      </c>
      <c r="H141" s="6" t="inlineStr">
        <is>
          <t>26/10</t>
        </is>
      </c>
      <c r="I141" s="6" t="inlineStr">
        <is>
          <t>T-141</t>
        </is>
      </c>
      <c r="J141" s="6" t="n"/>
      <c r="K141" s="7" t="n"/>
    </row>
    <row r="142" ht="30" customHeight="1">
      <c r="B142" s="6" t="inlineStr">
        <is>
          <t>T-097</t>
        </is>
      </c>
      <c r="C142" s="7" t="inlineStr">
        <is>
          <t>Probar HU-35 en el ambiente de pruebas contra sus condiciones finales y aprobar su PR</t>
        </is>
      </c>
      <c r="D142" s="6" t="inlineStr">
        <is>
          <t>Pruebas</t>
        </is>
      </c>
      <c r="E142" s="6" t="inlineStr">
        <is>
          <t>Henry</t>
        </is>
      </c>
      <c r="F142" s="6" t="n">
        <v>1</v>
      </c>
      <c r="G142" s="6" t="inlineStr">
        <is>
          <t>To Do</t>
        </is>
      </c>
      <c r="H142" s="6" t="inlineStr">
        <is>
          <t>27/10</t>
        </is>
      </c>
      <c r="I142" s="6" t="inlineStr">
        <is>
          <t>T-093, T-094, T-095, T-096, T-139</t>
        </is>
      </c>
      <c r="J142" s="6" t="n"/>
      <c r="K142" s="7" t="inlineStr">
        <is>
          <t>alguien distinto del autor (T1, T5, T8)</t>
        </is>
      </c>
    </row>
    <row r="143" ht="30" customHeight="1">
      <c r="B143" s="8" t="inlineStr">
        <is>
          <t>T-098</t>
        </is>
      </c>
      <c r="C143" s="9" t="inlineStr">
        <is>
          <t>Aceptar HU-35 como Product Owner desde la interfaz y moverla a Done</t>
        </is>
      </c>
      <c r="D143" s="8" t="inlineStr">
        <is>
          <t>Aceptación</t>
        </is>
      </c>
      <c r="E143" s="8" t="inlineStr">
        <is>
          <t>Adiel</t>
        </is>
      </c>
      <c r="F143" s="8" t="n">
        <v>0.5</v>
      </c>
      <c r="G143" s="8" t="inlineStr">
        <is>
          <t>To Do</t>
        </is>
      </c>
      <c r="H143" s="8" t="inlineStr">
        <is>
          <t>27/10</t>
        </is>
      </c>
      <c r="I143" s="8" t="inlineStr">
        <is>
          <t>T-097</t>
        </is>
      </c>
      <c r="J143" s="8" t="n"/>
      <c r="K143" s="9" t="inlineStr">
        <is>
          <t>mueve la HU a Done</t>
        </is>
      </c>
    </row>
    <row r="144">
      <c r="B144" s="4" t="inlineStr">
        <is>
          <t>HU-37 · Registrar sin señal   8 pts</t>
        </is>
      </c>
    </row>
    <row r="145" ht="18" customHeight="1">
      <c r="B145" s="5" t="inlineStr">
        <is>
          <t>Como almacenero, quiero registrar un movimiento aunque el celular no tenga señal, para no interrumpir el trabajo en obra, donde la señal falla.</t>
        </is>
      </c>
    </row>
    <row r="146" ht="30" customHeight="1">
      <c r="B146" s="6" t="inlineStr">
        <is>
          <t>T-099</t>
        </is>
      </c>
      <c r="C146" s="7" t="inlineStr">
        <is>
          <t>Programar la cola local (Room) con uuid_cliente y hora del celular, y mostrar «pendiente de enviar» en cada movimiento</t>
        </is>
      </c>
      <c r="D146" s="6" t="inlineStr">
        <is>
          <t>Android</t>
        </is>
      </c>
      <c r="E146" s="6" t="inlineStr">
        <is>
          <t>Nicolás</t>
        </is>
      </c>
      <c r="F146" s="6" t="n">
        <v>14</v>
      </c>
      <c r="G146" s="6" t="inlineStr">
        <is>
          <t>To Do</t>
        </is>
      </c>
      <c r="H146" s="6" t="inlineStr">
        <is>
          <t>26/10</t>
        </is>
      </c>
      <c r="I146" s="6" t="inlineStr">
        <is>
          <t>T-141</t>
        </is>
      </c>
      <c r="J146" s="6" t="n"/>
      <c r="K146" s="7" t="n"/>
    </row>
    <row r="147" ht="30" customHeight="1">
      <c r="B147" s="6" t="inlineStr">
        <is>
          <t>T-100</t>
        </is>
      </c>
      <c r="C147" s="7" t="inlineStr">
        <is>
          <t>Probar HU-37 en el ambiente de pruebas contra sus condiciones finales y aprobar su PR</t>
        </is>
      </c>
      <c r="D147" s="6" t="inlineStr">
        <is>
          <t>Pruebas</t>
        </is>
      </c>
      <c r="E147" s="6" t="inlineStr">
        <is>
          <t>Henry</t>
        </is>
      </c>
      <c r="F147" s="6" t="n">
        <v>1</v>
      </c>
      <c r="G147" s="6" t="inlineStr">
        <is>
          <t>To Do</t>
        </is>
      </c>
      <c r="H147" s="6" t="inlineStr">
        <is>
          <t>27/10</t>
        </is>
      </c>
      <c r="I147" s="6" t="inlineStr">
        <is>
          <t>T-099, T-139</t>
        </is>
      </c>
      <c r="J147" s="6" t="n"/>
      <c r="K147" s="7" t="inlineStr">
        <is>
          <t>alguien distinto del autor (T1, T5, T8)</t>
        </is>
      </c>
    </row>
    <row r="148" ht="30" customHeight="1">
      <c r="B148" s="8" t="inlineStr">
        <is>
          <t>T-101</t>
        </is>
      </c>
      <c r="C148" s="9" t="inlineStr">
        <is>
          <t>Aceptar HU-37 como Product Owner desde la interfaz y moverla a Done</t>
        </is>
      </c>
      <c r="D148" s="8" t="inlineStr">
        <is>
          <t>Aceptación</t>
        </is>
      </c>
      <c r="E148" s="8" t="inlineStr">
        <is>
          <t>Adiel</t>
        </is>
      </c>
      <c r="F148" s="8" t="n">
        <v>0.5</v>
      </c>
      <c r="G148" s="8" t="inlineStr">
        <is>
          <t>To Do</t>
        </is>
      </c>
      <c r="H148" s="8" t="inlineStr">
        <is>
          <t>27/10</t>
        </is>
      </c>
      <c r="I148" s="8" t="inlineStr">
        <is>
          <t>T-100</t>
        </is>
      </c>
      <c r="J148" s="8" t="n"/>
      <c r="K148" s="9" t="inlineStr">
        <is>
          <t>mueve la HU a Done</t>
        </is>
      </c>
    </row>
    <row r="149">
      <c r="B149" s="4" t="inlineStr">
        <is>
          <t>HU-38 · Sincronizar pendientes   5 pts</t>
        </is>
      </c>
    </row>
    <row r="150" ht="18" customHeight="1">
      <c r="B150" s="5" t="inlineStr">
        <is>
          <t>Como almacenero, quiero enviar al servidor los movimientos que quedaron en cola, para que el saldo del sistema refleje lo que ya ocurrió en obra.</t>
        </is>
      </c>
    </row>
    <row r="151" ht="30" customHeight="1">
      <c r="B151" s="6" t="inlineStr">
        <is>
          <t>T-102</t>
        </is>
      </c>
      <c r="C151" s="7" t="inlineStr">
        <is>
          <t>Programar el envío automático de pendientes al volver la señal (WorkManager)</t>
        </is>
      </c>
      <c r="D151" s="6" t="inlineStr">
        <is>
          <t>Android</t>
        </is>
      </c>
      <c r="E151" s="6" t="inlineStr">
        <is>
          <t>Nicolás</t>
        </is>
      </c>
      <c r="F151" s="6" t="n">
        <v>4</v>
      </c>
      <c r="G151" s="6" t="inlineStr">
        <is>
          <t>To Do</t>
        </is>
      </c>
      <c r="H151" s="6" t="inlineStr">
        <is>
          <t>26/10</t>
        </is>
      </c>
      <c r="I151" s="6" t="inlineStr">
        <is>
          <t>T-141</t>
        </is>
      </c>
      <c r="J151" s="6" t="n"/>
      <c r="K151" s="7" t="n"/>
    </row>
    <row r="152" ht="30" customHeight="1">
      <c r="B152" s="6" t="inlineStr">
        <is>
          <t>T-103</t>
        </is>
      </c>
      <c r="C152" s="7" t="inlineStr">
        <is>
          <t>Programar la idempotencia por uuid_cliente y devolver el motivo del rechazo</t>
        </is>
      </c>
      <c r="D152" s="6" t="inlineStr">
        <is>
          <t>Backend</t>
        </is>
      </c>
      <c r="E152" s="6" t="inlineStr">
        <is>
          <t>Adiel</t>
        </is>
      </c>
      <c r="F152" s="6" t="n">
        <v>4</v>
      </c>
      <c r="G152" s="6" t="inlineStr">
        <is>
          <t>To Do</t>
        </is>
      </c>
      <c r="H152" s="6" t="inlineStr">
        <is>
          <t>25/10</t>
        </is>
      </c>
      <c r="I152" s="6" t="n"/>
      <c r="J152" s="6" t="n"/>
      <c r="K152" s="7" t="n"/>
    </row>
    <row r="153" ht="30" customHeight="1">
      <c r="B153" s="6" t="inlineStr">
        <is>
          <t>T-104</t>
        </is>
      </c>
      <c r="C153" s="7" t="inlineStr">
        <is>
          <t>Probar HU-38 en el ambiente de pruebas contra sus condiciones finales y aprobar su PR</t>
        </is>
      </c>
      <c r="D153" s="6" t="inlineStr">
        <is>
          <t>Pruebas</t>
        </is>
      </c>
      <c r="E153" s="6" t="inlineStr">
        <is>
          <t>Henry</t>
        </is>
      </c>
      <c r="F153" s="6" t="n">
        <v>1</v>
      </c>
      <c r="G153" s="6" t="inlineStr">
        <is>
          <t>To Do</t>
        </is>
      </c>
      <c r="H153" s="6" t="inlineStr">
        <is>
          <t>27/10</t>
        </is>
      </c>
      <c r="I153" s="6" t="inlineStr">
        <is>
          <t>T-102, T-103, T-139</t>
        </is>
      </c>
      <c r="J153" s="6" t="n"/>
      <c r="K153" s="7" t="inlineStr">
        <is>
          <t>alguien distinto del autor (T1, T5, T8)</t>
        </is>
      </c>
    </row>
    <row r="154" ht="30" customHeight="1">
      <c r="B154" s="8" t="inlineStr">
        <is>
          <t>T-105</t>
        </is>
      </c>
      <c r="C154" s="9" t="inlineStr">
        <is>
          <t>Aceptar HU-38 como Product Owner desde la interfaz y moverla a Done</t>
        </is>
      </c>
      <c r="D154" s="8" t="inlineStr">
        <is>
          <t>Aceptación</t>
        </is>
      </c>
      <c r="E154" s="8" t="inlineStr">
        <is>
          <t>Adiel</t>
        </is>
      </c>
      <c r="F154" s="8" t="n">
        <v>0.5</v>
      </c>
      <c r="G154" s="8" t="inlineStr">
        <is>
          <t>To Do</t>
        </is>
      </c>
      <c r="H154" s="8" t="inlineStr">
        <is>
          <t>27/10</t>
        </is>
      </c>
      <c r="I154" s="8" t="inlineStr">
        <is>
          <t>T-104</t>
        </is>
      </c>
      <c r="J154" s="8" t="n"/>
      <c r="K154" s="9" t="inlineStr">
        <is>
          <t>mueve la HU a Done</t>
        </is>
      </c>
    </row>
    <row r="155">
      <c r="B155" s="4" t="inlineStr">
        <is>
          <t>HU-40 · Registrar salidas de material   8 pts</t>
        </is>
      </c>
    </row>
    <row r="156" ht="18" customHeight="1">
      <c r="B156" s="5" t="inlineStr">
        <is>
          <t>Como almacenero, quiero registrar la salida con su motivo y quién retira el material, para saber en qué se usó y quién responde por él.</t>
        </is>
      </c>
    </row>
    <row r="157" ht="30" customHeight="1">
      <c r="B157" s="6" t="inlineStr">
        <is>
          <t>T-106</t>
        </is>
      </c>
      <c r="C157" s="7" t="inlineStr">
        <is>
          <t>Programar la salida: rechazar si supera el saldo y congelar el costo promedio</t>
        </is>
      </c>
      <c r="D157" s="6" t="inlineStr">
        <is>
          <t>Backend</t>
        </is>
      </c>
      <c r="E157" s="6" t="inlineStr">
        <is>
          <t>Adiel</t>
        </is>
      </c>
      <c r="F157" s="6" t="n">
        <v>7</v>
      </c>
      <c r="G157" s="6" t="inlineStr">
        <is>
          <t>To Do</t>
        </is>
      </c>
      <c r="H157" s="6" t="inlineStr">
        <is>
          <t>25/10</t>
        </is>
      </c>
      <c r="I157" s="6" t="n"/>
      <c r="J157" s="6" t="n"/>
      <c r="K157" s="7" t="n"/>
    </row>
    <row r="158" ht="30" customHeight="1">
      <c r="B158" s="6" t="inlineStr">
        <is>
          <t>T-107</t>
        </is>
      </c>
      <c r="C158" s="7" t="inlineStr">
        <is>
          <t>Programar la pantalla de salida en la app (insumo, cantidad, motivo, quién retira)</t>
        </is>
      </c>
      <c r="D158" s="6" t="inlineStr">
        <is>
          <t>Android</t>
        </is>
      </c>
      <c r="E158" s="6" t="inlineStr">
        <is>
          <t>Nicolás</t>
        </is>
      </c>
      <c r="F158" s="6" t="n">
        <v>7</v>
      </c>
      <c r="G158" s="6" t="inlineStr">
        <is>
          <t>To Do</t>
        </is>
      </c>
      <c r="H158" s="6" t="inlineStr">
        <is>
          <t>26/10</t>
        </is>
      </c>
      <c r="I158" s="6" t="inlineStr">
        <is>
          <t>T-141</t>
        </is>
      </c>
      <c r="J158" s="6" t="n"/>
      <c r="K158" s="7" t="n"/>
    </row>
    <row r="159" ht="30" customHeight="1">
      <c r="B159" s="6" t="inlineStr">
        <is>
          <t>T-108</t>
        </is>
      </c>
      <c r="C159" s="7" t="inlineStr">
        <is>
          <t>Probar HU-40 en el ambiente de pruebas contra sus condiciones finales y aprobar su PR</t>
        </is>
      </c>
      <c r="D159" s="6" t="inlineStr">
        <is>
          <t>Pruebas</t>
        </is>
      </c>
      <c r="E159" s="6" t="inlineStr">
        <is>
          <t>Henry</t>
        </is>
      </c>
      <c r="F159" s="6" t="n">
        <v>1</v>
      </c>
      <c r="G159" s="6" t="inlineStr">
        <is>
          <t>To Do</t>
        </is>
      </c>
      <c r="H159" s="6" t="inlineStr">
        <is>
          <t>27/10</t>
        </is>
      </c>
      <c r="I159" s="6" t="inlineStr">
        <is>
          <t>T-106, T-107, T-139</t>
        </is>
      </c>
      <c r="J159" s="6" t="n"/>
      <c r="K159" s="7" t="inlineStr">
        <is>
          <t>alguien distinto del autor (T1, T5, T8)</t>
        </is>
      </c>
    </row>
    <row r="160" ht="30" customHeight="1">
      <c r="B160" s="8" t="inlineStr">
        <is>
          <t>T-109</t>
        </is>
      </c>
      <c r="C160" s="9" t="inlineStr">
        <is>
          <t>Aceptar HU-40 como Product Owner desde la interfaz y moverla a Done</t>
        </is>
      </c>
      <c r="D160" s="8" t="inlineStr">
        <is>
          <t>Aceptación</t>
        </is>
      </c>
      <c r="E160" s="8" t="inlineStr">
        <is>
          <t>Adiel</t>
        </is>
      </c>
      <c r="F160" s="8" t="n">
        <v>0.5</v>
      </c>
      <c r="G160" s="8" t="inlineStr">
        <is>
          <t>To Do</t>
        </is>
      </c>
      <c r="H160" s="8" t="inlineStr">
        <is>
          <t>27/10</t>
        </is>
      </c>
      <c r="I160" s="8" t="inlineStr">
        <is>
          <t>T-108</t>
        </is>
      </c>
      <c r="J160" s="8" t="n"/>
      <c r="K160" s="9" t="inlineStr">
        <is>
          <t>mueve la HU a Done</t>
        </is>
      </c>
    </row>
    <row r="161">
      <c r="B161" s="4" t="inlineStr">
        <is>
          <t>HU-43 · Consultar stock   5 pts</t>
        </is>
      </c>
    </row>
    <row r="162" ht="18" customHeight="1">
      <c r="B162" s="5" t="inlineStr">
        <is>
          <t>Como residente de obra, quiero consultar el stock de cada insumo en cualquier momento, para programar la jornada sabiendo con qué cuento.</t>
        </is>
      </c>
    </row>
    <row r="163" ht="30" customHeight="1">
      <c r="B163" s="6" t="inlineStr">
        <is>
          <t>T-110</t>
        </is>
      </c>
      <c r="C163" s="7" t="inlineStr">
        <is>
          <t>Programar el cálculo del stock desde el libro de movimientos, por almacén y consolidado</t>
        </is>
      </c>
      <c r="D163" s="6" t="inlineStr">
        <is>
          <t>Backend</t>
        </is>
      </c>
      <c r="E163" s="6" t="inlineStr">
        <is>
          <t>Adiel</t>
        </is>
      </c>
      <c r="F163" s="6" t="n">
        <v>2</v>
      </c>
      <c r="G163" s="6" t="inlineStr">
        <is>
          <t>To Do</t>
        </is>
      </c>
      <c r="H163" s="6" t="inlineStr">
        <is>
          <t>25/10</t>
        </is>
      </c>
      <c r="I163" s="6" t="n"/>
      <c r="J163" s="6" t="n"/>
      <c r="K163" s="7" t="n"/>
    </row>
    <row r="164" ht="30" customHeight="1">
      <c r="B164" s="6" t="inlineStr">
        <is>
          <t>T-111</t>
        </is>
      </c>
      <c r="C164" s="7" t="inlineStr">
        <is>
          <t>Programar la pantalla web de stock y kárdex</t>
        </is>
      </c>
      <c r="D164" s="6" t="inlineStr">
        <is>
          <t>Web</t>
        </is>
      </c>
      <c r="E164" s="6" t="inlineStr">
        <is>
          <t>Fernando</t>
        </is>
      </c>
      <c r="F164" s="6" t="n">
        <v>2</v>
      </c>
      <c r="G164" s="6" t="inlineStr">
        <is>
          <t>Done</t>
        </is>
      </c>
      <c r="H164" s="6" t="inlineStr">
        <is>
          <t>26/10</t>
        </is>
      </c>
      <c r="I164" s="6" t="n"/>
      <c r="J164" s="6" t="n"/>
      <c r="K164" s="7" t="inlineStr">
        <is>
          <t>pantalla hecha con datos simulados; falta conectarla a la API real</t>
        </is>
      </c>
    </row>
    <row r="165" ht="30" customHeight="1">
      <c r="B165" s="6" t="inlineStr">
        <is>
          <t>T-112</t>
        </is>
      </c>
      <c r="C165" s="7" t="inlineStr">
        <is>
          <t>Conectar la pantalla de stock y kárdex con la API real</t>
        </is>
      </c>
      <c r="D165" s="6" t="inlineStr">
        <is>
          <t>Web</t>
        </is>
      </c>
      <c r="E165" s="6" t="inlineStr">
        <is>
          <t>Henry</t>
        </is>
      </c>
      <c r="F165" s="6" t="n">
        <v>2</v>
      </c>
      <c r="G165" s="6" t="inlineStr">
        <is>
          <t>To Do</t>
        </is>
      </c>
      <c r="H165" s="6" t="inlineStr">
        <is>
          <t>26/10</t>
        </is>
      </c>
      <c r="I165" s="6" t="inlineStr">
        <is>
          <t>T-110, T-140</t>
        </is>
      </c>
      <c r="J165" s="6" t="n"/>
      <c r="K165" s="7" t="n"/>
    </row>
    <row r="166" ht="30" customHeight="1">
      <c r="B166" s="6" t="inlineStr">
        <is>
          <t>T-113</t>
        </is>
      </c>
      <c r="C166" s="7" t="inlineStr">
        <is>
          <t>Programar la consulta de stock en la app</t>
        </is>
      </c>
      <c r="D166" s="6" t="inlineStr">
        <is>
          <t>Android</t>
        </is>
      </c>
      <c r="E166" s="6" t="inlineStr">
        <is>
          <t>Nicolás</t>
        </is>
      </c>
      <c r="F166" s="6" t="n">
        <v>2</v>
      </c>
      <c r="G166" s="6" t="inlineStr">
        <is>
          <t>To Do</t>
        </is>
      </c>
      <c r="H166" s="6" t="inlineStr">
        <is>
          <t>26/10</t>
        </is>
      </c>
      <c r="I166" s="6" t="inlineStr">
        <is>
          <t>T-141</t>
        </is>
      </c>
      <c r="J166" s="6" t="n"/>
      <c r="K166" s="7" t="n"/>
    </row>
    <row r="167" ht="30" customHeight="1">
      <c r="B167" s="6" t="inlineStr">
        <is>
          <t>T-114</t>
        </is>
      </c>
      <c r="C167" s="7" t="inlineStr">
        <is>
          <t>Probar HU-43 en el ambiente de pruebas contra sus condiciones finales y aprobar su PR</t>
        </is>
      </c>
      <c r="D167" s="6" t="inlineStr">
        <is>
          <t>Pruebas</t>
        </is>
      </c>
      <c r="E167" s="6" t="inlineStr">
        <is>
          <t>Henry</t>
        </is>
      </c>
      <c r="F167" s="6" t="n">
        <v>1</v>
      </c>
      <c r="G167" s="6" t="inlineStr">
        <is>
          <t>To Do</t>
        </is>
      </c>
      <c r="H167" s="6" t="inlineStr">
        <is>
          <t>27/10</t>
        </is>
      </c>
      <c r="I167" s="6" t="inlineStr">
        <is>
          <t>T-110, T-111, T-112, T-113, T-139</t>
        </is>
      </c>
      <c r="J167" s="6" t="n"/>
      <c r="K167" s="7" t="inlineStr">
        <is>
          <t>alguien distinto del autor (T1, T5, T8)</t>
        </is>
      </c>
    </row>
    <row r="168" ht="30" customHeight="1">
      <c r="B168" s="8" t="inlineStr">
        <is>
          <t>T-115</t>
        </is>
      </c>
      <c r="C168" s="9" t="inlineStr">
        <is>
          <t>Aceptar HU-43 como Product Owner desde la interfaz y moverla a Done</t>
        </is>
      </c>
      <c r="D168" s="8" t="inlineStr">
        <is>
          <t>Aceptación</t>
        </is>
      </c>
      <c r="E168" s="8" t="inlineStr">
        <is>
          <t>Adiel</t>
        </is>
      </c>
      <c r="F168" s="8" t="n">
        <v>0.5</v>
      </c>
      <c r="G168" s="8" t="inlineStr">
        <is>
          <t>To Do</t>
        </is>
      </c>
      <c r="H168" s="8" t="inlineStr">
        <is>
          <t>27/10</t>
        </is>
      </c>
      <c r="I168" s="8" t="inlineStr">
        <is>
          <t>T-114</t>
        </is>
      </c>
      <c r="J168" s="8" t="n"/>
      <c r="K168" s="9" t="inlineStr">
        <is>
          <t>mueve la HU a Done</t>
        </is>
      </c>
    </row>
    <row r="169">
      <c r="B169" s="4" t="inlineStr">
        <is>
          <t>HU-45 · Corregir movimientos   5 pts</t>
        </is>
      </c>
    </row>
    <row r="170" ht="18" customHeight="1">
      <c r="B170" s="5" t="inlineStr">
        <is>
          <t>Como almacenero, quiero corregir un movimiento sin borrar el original, para conservar el rastro de lo registrado y lo corregido.</t>
        </is>
      </c>
    </row>
    <row r="171" ht="30" customHeight="1">
      <c r="B171" s="6" t="inlineStr">
        <is>
          <t>T-116</t>
        </is>
      </c>
      <c r="C171" s="7" t="inlineStr">
        <is>
          <t>Programar el reverso que apunta al original, sin UPDATE ni DELETE</t>
        </is>
      </c>
      <c r="D171" s="6" t="inlineStr">
        <is>
          <t>Backend</t>
        </is>
      </c>
      <c r="E171" s="6" t="inlineStr">
        <is>
          <t>Adiel</t>
        </is>
      </c>
      <c r="F171" s="6" t="n">
        <v>3</v>
      </c>
      <c r="G171" s="6" t="inlineStr">
        <is>
          <t>To Do</t>
        </is>
      </c>
      <c r="H171" s="6" t="inlineStr">
        <is>
          <t>25/10</t>
        </is>
      </c>
      <c r="I171" s="6" t="n"/>
      <c r="J171" s="6" t="n"/>
      <c r="K171" s="7" t="n"/>
    </row>
    <row r="172" ht="30" customHeight="1">
      <c r="B172" s="6" t="inlineStr">
        <is>
          <t>T-117</t>
        </is>
      </c>
      <c r="C172" s="7" t="inlineStr">
        <is>
          <t>Programar la corrección con reverso desde el kárdex web</t>
        </is>
      </c>
      <c r="D172" s="6" t="inlineStr">
        <is>
          <t>Web</t>
        </is>
      </c>
      <c r="E172" s="6" t="inlineStr">
        <is>
          <t>Fernando</t>
        </is>
      </c>
      <c r="F172" s="6" t="n">
        <v>3</v>
      </c>
      <c r="G172" s="6" t="inlineStr">
        <is>
          <t>Done</t>
        </is>
      </c>
      <c r="H172" s="6" t="inlineStr">
        <is>
          <t>26/10</t>
        </is>
      </c>
      <c r="I172" s="6" t="n"/>
      <c r="J172" s="6" t="n"/>
      <c r="K172" s="7" t="inlineStr">
        <is>
          <t>pantalla hecha con datos simulados; falta conectarla a la API real</t>
        </is>
      </c>
    </row>
    <row r="173" ht="30" customHeight="1">
      <c r="B173" s="6" t="inlineStr">
        <is>
          <t>T-118</t>
        </is>
      </c>
      <c r="C173" s="7" t="inlineStr">
        <is>
          <t>Conectar el reverso con la API real</t>
        </is>
      </c>
      <c r="D173" s="6" t="inlineStr">
        <is>
          <t>Web</t>
        </is>
      </c>
      <c r="E173" s="6" t="inlineStr">
        <is>
          <t>Henry</t>
        </is>
      </c>
      <c r="F173" s="6" t="n">
        <v>3</v>
      </c>
      <c r="G173" s="6" t="inlineStr">
        <is>
          <t>To Do</t>
        </is>
      </c>
      <c r="H173" s="6" t="inlineStr">
        <is>
          <t>26/10</t>
        </is>
      </c>
      <c r="I173" s="6" t="inlineStr">
        <is>
          <t>T-116, T-140</t>
        </is>
      </c>
      <c r="J173" s="6" t="n"/>
      <c r="K173" s="7" t="n"/>
    </row>
    <row r="174" ht="30" customHeight="1">
      <c r="B174" s="6" t="inlineStr">
        <is>
          <t>T-119</t>
        </is>
      </c>
      <c r="C174" s="7" t="inlineStr">
        <is>
          <t>Probar HU-45 en el ambiente de pruebas contra sus condiciones finales y aprobar su PR</t>
        </is>
      </c>
      <c r="D174" s="6" t="inlineStr">
        <is>
          <t>Pruebas</t>
        </is>
      </c>
      <c r="E174" s="6" t="inlineStr">
        <is>
          <t>Fernando</t>
        </is>
      </c>
      <c r="F174" s="6" t="n">
        <v>1</v>
      </c>
      <c r="G174" s="6" t="inlineStr">
        <is>
          <t>To Do</t>
        </is>
      </c>
      <c r="H174" s="6" t="inlineStr">
        <is>
          <t>27/10</t>
        </is>
      </c>
      <c r="I174" s="6" t="inlineStr">
        <is>
          <t>T-116, T-117, T-118, T-139</t>
        </is>
      </c>
      <c r="J174" s="6" t="n"/>
      <c r="K174" s="7" t="inlineStr">
        <is>
          <t>alguien distinto del autor (T1, T5, T8)</t>
        </is>
      </c>
    </row>
    <row r="175" ht="30" customHeight="1">
      <c r="B175" s="8" t="inlineStr">
        <is>
          <t>T-120</t>
        </is>
      </c>
      <c r="C175" s="9" t="inlineStr">
        <is>
          <t>Aceptar HU-45 como Product Owner desde la interfaz y moverla a Done</t>
        </is>
      </c>
      <c r="D175" s="8" t="inlineStr">
        <is>
          <t>Aceptación</t>
        </is>
      </c>
      <c r="E175" s="8" t="inlineStr">
        <is>
          <t>Adiel</t>
        </is>
      </c>
      <c r="F175" s="8" t="n">
        <v>0.5</v>
      </c>
      <c r="G175" s="8" t="inlineStr">
        <is>
          <t>To Do</t>
        </is>
      </c>
      <c r="H175" s="8" t="inlineStr">
        <is>
          <t>27/10</t>
        </is>
      </c>
      <c r="I175" s="8" t="inlineStr">
        <is>
          <t>T-119</t>
        </is>
      </c>
      <c r="J175" s="8" t="n"/>
      <c r="K175" s="9" t="inlineStr">
        <is>
          <t>mueve la HU a Done</t>
        </is>
      </c>
    </row>
    <row r="176">
      <c r="B176" s="4" t="inlineStr">
        <is>
          <t>HU-55 · Valorizar salidas   8 pts</t>
        </is>
      </c>
    </row>
    <row r="177" ht="18" customHeight="1">
      <c r="B177" s="5" t="inlineStr">
        <is>
          <t>Como gerente, quiero consultar cada salida valorizada al costo promedio ponderado, para conocer el costo de lo que se consumió.</t>
        </is>
      </c>
    </row>
    <row r="178" ht="30" customHeight="1">
      <c r="B178" s="6" t="inlineStr">
        <is>
          <t>T-121</t>
        </is>
      </c>
      <c r="C178" s="7" t="inlineStr">
        <is>
          <t>Programar el costo promedio ponderado congelado en cada salida, sin IGV de factura (NIC 2)</t>
        </is>
      </c>
      <c r="D178" s="6" t="inlineStr">
        <is>
          <t>Backend</t>
        </is>
      </c>
      <c r="E178" s="6" t="inlineStr">
        <is>
          <t>Adiel</t>
        </is>
      </c>
      <c r="F178" s="6" t="n">
        <v>7</v>
      </c>
      <c r="G178" s="6" t="inlineStr">
        <is>
          <t>To Do</t>
        </is>
      </c>
      <c r="H178" s="6" t="inlineStr">
        <is>
          <t>25/10</t>
        </is>
      </c>
      <c r="I178" s="6" t="n"/>
      <c r="J178" s="6" t="n"/>
      <c r="K178" s="7" t="n"/>
    </row>
    <row r="179" ht="30" customHeight="1">
      <c r="B179" s="6" t="inlineStr">
        <is>
          <t>T-122</t>
        </is>
      </c>
      <c r="C179" s="7" t="inlineStr">
        <is>
          <t>Mostrar la salida valorizada en el kárdex y en el reporte web</t>
        </is>
      </c>
      <c r="D179" s="6" t="inlineStr">
        <is>
          <t>Web</t>
        </is>
      </c>
      <c r="E179" s="6" t="inlineStr">
        <is>
          <t>Henry</t>
        </is>
      </c>
      <c r="F179" s="6" t="n">
        <v>7</v>
      </c>
      <c r="G179" s="6" t="inlineStr">
        <is>
          <t>To Do</t>
        </is>
      </c>
      <c r="H179" s="6" t="inlineStr">
        <is>
          <t>26/10</t>
        </is>
      </c>
      <c r="I179" s="6" t="n"/>
      <c r="J179" s="6" t="n"/>
      <c r="K179" s="7" t="n"/>
    </row>
    <row r="180" ht="30" customHeight="1">
      <c r="B180" s="6" t="inlineStr">
        <is>
          <t>T-123</t>
        </is>
      </c>
      <c r="C180" s="7" t="inlineStr">
        <is>
          <t>Probar HU-55 en el ambiente de pruebas contra sus condiciones finales y aprobar su PR</t>
        </is>
      </c>
      <c r="D180" s="6" t="inlineStr">
        <is>
          <t>Pruebas</t>
        </is>
      </c>
      <c r="E180" s="6" t="inlineStr">
        <is>
          <t>Fernando</t>
        </is>
      </c>
      <c r="F180" s="6" t="n">
        <v>1</v>
      </c>
      <c r="G180" s="6" t="inlineStr">
        <is>
          <t>To Do</t>
        </is>
      </c>
      <c r="H180" s="6" t="inlineStr">
        <is>
          <t>27/10</t>
        </is>
      </c>
      <c r="I180" s="6" t="inlineStr">
        <is>
          <t>T-121, T-122, T-139</t>
        </is>
      </c>
      <c r="J180" s="6" t="n"/>
      <c r="K180" s="7" t="inlineStr">
        <is>
          <t>alguien distinto del autor (T1, T5, T8)</t>
        </is>
      </c>
    </row>
    <row r="181" ht="30" customHeight="1">
      <c r="B181" s="8" t="inlineStr">
        <is>
          <t>T-124</t>
        </is>
      </c>
      <c r="C181" s="9" t="inlineStr">
        <is>
          <t>Aceptar HU-55 como Product Owner desde la interfaz y moverla a Done</t>
        </is>
      </c>
      <c r="D181" s="8" t="inlineStr">
        <is>
          <t>Aceptación</t>
        </is>
      </c>
      <c r="E181" s="8" t="inlineStr">
        <is>
          <t>Adiel</t>
        </is>
      </c>
      <c r="F181" s="8" t="n">
        <v>0.5</v>
      </c>
      <c r="G181" s="8" t="inlineStr">
        <is>
          <t>To Do</t>
        </is>
      </c>
      <c r="H181" s="8" t="inlineStr">
        <is>
          <t>27/10</t>
        </is>
      </c>
      <c r="I181" s="8" t="inlineStr">
        <is>
          <t>T-123</t>
        </is>
      </c>
      <c r="J181" s="8" t="n"/>
      <c r="K181" s="9" t="inlineStr">
        <is>
          <t>mueve la HU a Done</t>
        </is>
      </c>
    </row>
    <row r="182">
      <c r="B182" s="4" t="inlineStr">
        <is>
          <t>HU-57 · Comparar consumo vs. lo planificado   8 pts</t>
        </is>
      </c>
    </row>
    <row r="183" ht="18" customHeight="1">
      <c r="B183" s="5" t="inlineStr">
        <is>
          <t>Como gerente, quiero comparar el consumo valorizado de cada insumo contra lo que se planificó para la obra, para detectar la desviación de costo mientras la obra corre.</t>
        </is>
      </c>
    </row>
    <row r="184" ht="30" customHeight="1">
      <c r="B184" s="6" t="inlineStr">
        <is>
          <t>T-125</t>
        </is>
      </c>
      <c r="C184" s="7" t="inlineStr">
        <is>
          <t>Programar la comparación del consumo contra lo planificado en el S10</t>
        </is>
      </c>
      <c r="D184" s="6" t="inlineStr">
        <is>
          <t>Backend</t>
        </is>
      </c>
      <c r="E184" s="6" t="inlineStr">
        <is>
          <t>Adiel</t>
        </is>
      </c>
      <c r="F184" s="6" t="n">
        <v>5</v>
      </c>
      <c r="G184" s="6" t="inlineStr">
        <is>
          <t>To Do</t>
        </is>
      </c>
      <c r="H184" s="6" t="inlineStr">
        <is>
          <t>25/10</t>
        </is>
      </c>
      <c r="I184" s="6" t="n"/>
      <c r="J184" s="6" t="n"/>
      <c r="K184" s="7" t="n"/>
    </row>
    <row r="185" ht="30" customHeight="1">
      <c r="B185" s="6" t="inlineStr">
        <is>
          <t>T-126</t>
        </is>
      </c>
      <c r="C185" s="7" t="inlineStr">
        <is>
          <t>Programar la pantalla web «Gasto en recursos» con la desviación</t>
        </is>
      </c>
      <c r="D185" s="6" t="inlineStr">
        <is>
          <t>Web</t>
        </is>
      </c>
      <c r="E185" s="6" t="inlineStr">
        <is>
          <t>Fernando</t>
        </is>
      </c>
      <c r="F185" s="6" t="n">
        <v>5</v>
      </c>
      <c r="G185" s="6" t="inlineStr">
        <is>
          <t>Done</t>
        </is>
      </c>
      <c r="H185" s="6" t="inlineStr">
        <is>
          <t>26/10</t>
        </is>
      </c>
      <c r="I185" s="6" t="n"/>
      <c r="J185" s="6" t="n"/>
      <c r="K185" s="7" t="inlineStr">
        <is>
          <t>pantalla hecha con datos simulados; falta conectarla a la API real</t>
        </is>
      </c>
    </row>
    <row r="186" ht="30" customHeight="1">
      <c r="B186" s="6" t="inlineStr">
        <is>
          <t>T-127</t>
        </is>
      </c>
      <c r="C186" s="7" t="inlineStr">
        <is>
          <t>Conectar la pantalla de desviación con la API real</t>
        </is>
      </c>
      <c r="D186" s="6" t="inlineStr">
        <is>
          <t>Web</t>
        </is>
      </c>
      <c r="E186" s="6" t="inlineStr">
        <is>
          <t>Henry</t>
        </is>
      </c>
      <c r="F186" s="6" t="n">
        <v>5</v>
      </c>
      <c r="G186" s="6" t="inlineStr">
        <is>
          <t>To Do</t>
        </is>
      </c>
      <c r="H186" s="6" t="inlineStr">
        <is>
          <t>26/10</t>
        </is>
      </c>
      <c r="I186" s="6" t="inlineStr">
        <is>
          <t>T-125, T-140</t>
        </is>
      </c>
      <c r="J186" s="6" t="n"/>
      <c r="K186" s="7" t="n"/>
    </row>
    <row r="187" ht="30" customHeight="1">
      <c r="B187" s="6" t="inlineStr">
        <is>
          <t>T-128</t>
        </is>
      </c>
      <c r="C187" s="7" t="inlineStr">
        <is>
          <t>Probar HU-57 en el ambiente de pruebas contra sus condiciones finales y aprobar su PR</t>
        </is>
      </c>
      <c r="D187" s="6" t="inlineStr">
        <is>
          <t>Pruebas</t>
        </is>
      </c>
      <c r="E187" s="6" t="inlineStr">
        <is>
          <t>Fernando</t>
        </is>
      </c>
      <c r="F187" s="6" t="n">
        <v>1</v>
      </c>
      <c r="G187" s="6" t="inlineStr">
        <is>
          <t>To Do</t>
        </is>
      </c>
      <c r="H187" s="6" t="inlineStr">
        <is>
          <t>27/10</t>
        </is>
      </c>
      <c r="I187" s="6" t="inlineStr">
        <is>
          <t>T-125, T-126, T-127, T-139</t>
        </is>
      </c>
      <c r="J187" s="6" t="n"/>
      <c r="K187" s="7" t="inlineStr">
        <is>
          <t>alguien distinto del autor (T1, T5, T8)</t>
        </is>
      </c>
    </row>
    <row r="188" ht="30" customHeight="1">
      <c r="B188" s="8" t="inlineStr">
        <is>
          <t>T-129</t>
        </is>
      </c>
      <c r="C188" s="9" t="inlineStr">
        <is>
          <t>Aceptar HU-57 como Product Owner desde la interfaz y moverla a Done</t>
        </is>
      </c>
      <c r="D188" s="8" t="inlineStr">
        <is>
          <t>Aceptación</t>
        </is>
      </c>
      <c r="E188" s="8" t="inlineStr">
        <is>
          <t>Adiel</t>
        </is>
      </c>
      <c r="F188" s="8" t="n">
        <v>0.5</v>
      </c>
      <c r="G188" s="8" t="inlineStr">
        <is>
          <t>To Do</t>
        </is>
      </c>
      <c r="H188" s="8" t="inlineStr">
        <is>
          <t>27/10</t>
        </is>
      </c>
      <c r="I188" s="8" t="inlineStr">
        <is>
          <t>T-128</t>
        </is>
      </c>
      <c r="J188" s="8" t="n"/>
      <c r="K188" s="9" t="inlineStr">
        <is>
          <t>mueve la HU a Done</t>
        </is>
      </c>
    </row>
    <row r="189">
      <c r="B189" s="4" t="inlineStr">
        <is>
          <t>HU-62 · Registrar trabajadores   3 pts</t>
        </is>
      </c>
    </row>
    <row r="190" ht="18" customHeight="1">
      <c r="B190" s="5" t="inlineStr">
        <is>
          <t>Como almacenero, quiero registrar a cada trabajador de la obra con su categoría y su cuadrilla, para saber quiénes componen la mano de obra de esa obra.</t>
        </is>
      </c>
    </row>
    <row r="191" ht="30" customHeight="1">
      <c r="B191" s="6" t="inlineStr">
        <is>
          <t>T-130</t>
        </is>
      </c>
      <c r="C191" s="7" t="inlineStr">
        <is>
          <t>Programar el registro de trabajadores: único por obra y baja con fecha</t>
        </is>
      </c>
      <c r="D191" s="6" t="inlineStr">
        <is>
          <t>Backend</t>
        </is>
      </c>
      <c r="E191" s="6" t="inlineStr">
        <is>
          <t>Adiel</t>
        </is>
      </c>
      <c r="F191" s="6" t="n">
        <v>2</v>
      </c>
      <c r="G191" s="6" t="inlineStr">
        <is>
          <t>Done</t>
        </is>
      </c>
      <c r="H191" s="6" t="inlineStr">
        <is>
          <t>25/10</t>
        </is>
      </c>
      <c r="I191" s="6" t="n"/>
      <c r="J191" s="6" t="n"/>
      <c r="K191" s="7" t="inlineStr">
        <is>
          <t>hecho en la API de Adiel (PR #1 fusionado a main), con pruebas</t>
        </is>
      </c>
    </row>
    <row r="192" ht="30" customHeight="1">
      <c r="B192" s="6" t="inlineStr">
        <is>
          <t>T-131</t>
        </is>
      </c>
      <c r="C192" s="7" t="inlineStr">
        <is>
          <t>Programar la consulta de DNI en RENIEC desde el microservicio</t>
        </is>
      </c>
      <c r="D192" s="6" t="inlineStr">
        <is>
          <t>Integraciones</t>
        </is>
      </c>
      <c r="E192" s="6" t="inlineStr">
        <is>
          <t>Fernando</t>
        </is>
      </c>
      <c r="F192" s="6" t="n">
        <v>2</v>
      </c>
      <c r="G192" s="6" t="inlineStr">
        <is>
          <t>Done</t>
        </is>
      </c>
      <c r="H192" s="6" t="inlineStr">
        <is>
          <t>25/10</t>
        </is>
      </c>
      <c r="I192" s="6" t="n"/>
      <c r="J192" s="6" t="n"/>
      <c r="K192" s="7" t="inlineStr">
        <is>
          <t>probado con Factiliza</t>
        </is>
      </c>
    </row>
    <row r="193" ht="30" customHeight="1">
      <c r="B193" s="6" t="inlineStr">
        <is>
          <t>T-132</t>
        </is>
      </c>
      <c r="C193" s="7" t="inlineStr">
        <is>
          <t>Programar en la app el registro de trabajadores con consulta de DNI</t>
        </is>
      </c>
      <c r="D193" s="6" t="inlineStr">
        <is>
          <t>Android</t>
        </is>
      </c>
      <c r="E193" s="6" t="inlineStr">
        <is>
          <t>Nicolás</t>
        </is>
      </c>
      <c r="F193" s="6" t="n">
        <v>2</v>
      </c>
      <c r="G193" s="6" t="inlineStr">
        <is>
          <t>To Do</t>
        </is>
      </c>
      <c r="H193" s="6" t="inlineStr">
        <is>
          <t>26/10</t>
        </is>
      </c>
      <c r="I193" s="6" t="inlineStr">
        <is>
          <t>T-141</t>
        </is>
      </c>
      <c r="J193" s="6" t="n"/>
      <c r="K193" s="7" t="n"/>
    </row>
    <row r="194" ht="30" customHeight="1">
      <c r="B194" s="6" t="inlineStr">
        <is>
          <t>T-133</t>
        </is>
      </c>
      <c r="C194" s="7" t="inlineStr">
        <is>
          <t>Probar HU-62 en el ambiente de pruebas contra sus condiciones finales y aprobar su PR</t>
        </is>
      </c>
      <c r="D194" s="6" t="inlineStr">
        <is>
          <t>Pruebas</t>
        </is>
      </c>
      <c r="E194" s="6" t="inlineStr">
        <is>
          <t>Henry</t>
        </is>
      </c>
      <c r="F194" s="6" t="n">
        <v>1</v>
      </c>
      <c r="G194" s="6" t="inlineStr">
        <is>
          <t>To Do</t>
        </is>
      </c>
      <c r="H194" s="6" t="inlineStr">
        <is>
          <t>27/10</t>
        </is>
      </c>
      <c r="I194" s="6" t="inlineStr">
        <is>
          <t>T-130, T-131, T-132, T-139</t>
        </is>
      </c>
      <c r="J194" s="6" t="n"/>
      <c r="K194" s="7" t="inlineStr">
        <is>
          <t>alguien distinto del autor (T1, T5, T8)</t>
        </is>
      </c>
    </row>
    <row r="195" ht="30" customHeight="1">
      <c r="B195" s="8" t="inlineStr">
        <is>
          <t>T-134</t>
        </is>
      </c>
      <c r="C195" s="9" t="inlineStr">
        <is>
          <t>Aceptar HU-62 como Product Owner desde la interfaz y moverla a Done</t>
        </is>
      </c>
      <c r="D195" s="8" t="inlineStr">
        <is>
          <t>Aceptación</t>
        </is>
      </c>
      <c r="E195" s="8" t="inlineStr">
        <is>
          <t>Adiel</t>
        </is>
      </c>
      <c r="F195" s="8" t="n">
        <v>0.5</v>
      </c>
      <c r="G195" s="8" t="inlineStr">
        <is>
          <t>To Do</t>
        </is>
      </c>
      <c r="H195" s="8" t="inlineStr">
        <is>
          <t>27/10</t>
        </is>
      </c>
      <c r="I195" s="8" t="inlineStr">
        <is>
          <t>T-133</t>
        </is>
      </c>
      <c r="J195" s="8" t="n"/>
      <c r="K195" s="9" t="inlineStr">
        <is>
          <t>mueve la HU a Done</t>
        </is>
      </c>
    </row>
    <row r="196">
      <c r="B196" s="4" t="inlineStr">
        <is>
          <t>HU-63 · Tomar asistencia   5 pts</t>
        </is>
      </c>
    </row>
    <row r="197" ht="18" customHeight="1">
      <c r="B197" s="5" t="inlineStr">
        <is>
          <t>Como almacenero, quiero registrar la asistencia y las horas trabajadas de cada jornada, para tener el tareo de la obra en el sistema y no en un cuaderno.</t>
        </is>
      </c>
    </row>
    <row r="198" ht="30" customHeight="1">
      <c r="B198" s="6" t="inlineStr">
        <is>
          <t>T-135</t>
        </is>
      </c>
      <c r="C198" s="7" t="inlineStr">
        <is>
          <t>Programar la asistencia: una jornada por trabajador y fecha, corrección sin borrar</t>
        </is>
      </c>
      <c r="D198" s="6" t="inlineStr">
        <is>
          <t>Backend</t>
        </is>
      </c>
      <c r="E198" s="6" t="inlineStr">
        <is>
          <t>Adiel</t>
        </is>
      </c>
      <c r="F198" s="6" t="n">
        <v>4</v>
      </c>
      <c r="G198" s="6" t="inlineStr">
        <is>
          <t>Done</t>
        </is>
      </c>
      <c r="H198" s="6" t="inlineStr">
        <is>
          <t>25/10</t>
        </is>
      </c>
      <c r="I198" s="6" t="n"/>
      <c r="J198" s="6" t="n"/>
      <c r="K198" s="7" t="inlineStr">
        <is>
          <t>tareo hecho en la API de Adiel; confirmar criterios</t>
        </is>
      </c>
    </row>
    <row r="199" ht="30" customHeight="1">
      <c r="B199" s="6" t="inlineStr">
        <is>
          <t>T-136</t>
        </is>
      </c>
      <c r="C199" s="7" t="inlineStr">
        <is>
          <t>Programar la pantalla de asistencia del día en la app (horas normales y extra)</t>
        </is>
      </c>
      <c r="D199" s="6" t="inlineStr">
        <is>
          <t>Android</t>
        </is>
      </c>
      <c r="E199" s="6" t="inlineStr">
        <is>
          <t>Nicolás</t>
        </is>
      </c>
      <c r="F199" s="6" t="n">
        <v>4</v>
      </c>
      <c r="G199" s="6" t="inlineStr">
        <is>
          <t>To Do</t>
        </is>
      </c>
      <c r="H199" s="6" t="inlineStr">
        <is>
          <t>26/10</t>
        </is>
      </c>
      <c r="I199" s="6" t="inlineStr">
        <is>
          <t>T-141</t>
        </is>
      </c>
      <c r="J199" s="6" t="n"/>
      <c r="K199" s="7" t="n"/>
    </row>
    <row r="200" ht="30" customHeight="1">
      <c r="B200" s="6" t="inlineStr">
        <is>
          <t>T-137</t>
        </is>
      </c>
      <c r="C200" s="7" t="inlineStr">
        <is>
          <t>Probar HU-63 en el ambiente de pruebas contra sus condiciones finales y aprobar su PR</t>
        </is>
      </c>
      <c r="D200" s="6" t="inlineStr">
        <is>
          <t>Pruebas</t>
        </is>
      </c>
      <c r="E200" s="6" t="inlineStr">
        <is>
          <t>Henry</t>
        </is>
      </c>
      <c r="F200" s="6" t="n">
        <v>1</v>
      </c>
      <c r="G200" s="6" t="inlineStr">
        <is>
          <t>To Do</t>
        </is>
      </c>
      <c r="H200" s="6" t="inlineStr">
        <is>
          <t>27/10</t>
        </is>
      </c>
      <c r="I200" s="6" t="inlineStr">
        <is>
          <t>T-135, T-136, T-139</t>
        </is>
      </c>
      <c r="J200" s="6" t="n"/>
      <c r="K200" s="7" t="inlineStr">
        <is>
          <t>alguien distinto del autor (T1, T5, T8)</t>
        </is>
      </c>
    </row>
    <row r="201" ht="30" customHeight="1">
      <c r="B201" s="8" t="inlineStr">
        <is>
          <t>T-138</t>
        </is>
      </c>
      <c r="C201" s="9" t="inlineStr">
        <is>
          <t>Aceptar HU-63 como Product Owner desde la interfaz y moverla a Done</t>
        </is>
      </c>
      <c r="D201" s="8" t="inlineStr">
        <is>
          <t>Aceptación</t>
        </is>
      </c>
      <c r="E201" s="8" t="inlineStr">
        <is>
          <t>Adiel</t>
        </is>
      </c>
      <c r="F201" s="8" t="n">
        <v>0.5</v>
      </c>
      <c r="G201" s="8" t="inlineStr">
        <is>
          <t>To Do</t>
        </is>
      </c>
      <c r="H201" s="8" t="inlineStr">
        <is>
          <t>27/10</t>
        </is>
      </c>
      <c r="I201" s="8" t="inlineStr">
        <is>
          <t>T-137</t>
        </is>
      </c>
      <c r="J201" s="8" t="n"/>
      <c r="K201" s="9" t="inlineStr">
        <is>
          <t>mueve la HU a Done</t>
        </is>
      </c>
    </row>
    <row r="202">
      <c r="B202" s="4" t="inlineStr">
        <is>
          <t xml:space="preserve">Tareas transversales (sin ellas ninguna HU llega a Done)   </t>
        </is>
      </c>
    </row>
    <row r="203" ht="30" customHeight="1">
      <c r="B203" s="6" t="inlineStr">
        <is>
          <t>T-139</t>
        </is>
      </c>
      <c r="C203" s="7" t="inlineStr">
        <is>
          <t>Desplegar el ambiente de pruebas (API, base de datos y web) que exige el T8 de la DoD</t>
        </is>
      </c>
      <c r="D203" s="6" t="inlineStr">
        <is>
          <t>DevOps</t>
        </is>
      </c>
      <c r="E203" s="6" t="inlineStr">
        <is>
          <t>Fernando</t>
        </is>
      </c>
      <c r="F203" s="6" t="n">
        <v>6</v>
      </c>
      <c r="G203" s="6" t="inlineStr">
        <is>
          <t>To Do</t>
        </is>
      </c>
      <c r="H203" s="6" t="inlineStr">
        <is>
          <t>24/10</t>
        </is>
      </c>
      <c r="I203" s="6" t="n"/>
      <c r="J203" s="6" t="n"/>
      <c r="K203" s="7" t="inlineStr">
        <is>
          <t>sin esto ninguna HU puede quedar Done</t>
        </is>
      </c>
    </row>
    <row r="204" ht="30" customHeight="1">
      <c r="B204" s="6" t="inlineStr">
        <is>
          <t>T-140</t>
        </is>
      </c>
      <c r="C204" s="7" t="inlineStr">
        <is>
          <t>Programar el ClienteHttp para que la web hable con la API real (snake_case ↔ camelCase, errores {codigo, mensaje})</t>
        </is>
      </c>
      <c r="D204" s="6" t="inlineStr">
        <is>
          <t>Web</t>
        </is>
      </c>
      <c r="E204" s="6" t="inlineStr">
        <is>
          <t>Henry</t>
        </is>
      </c>
      <c r="F204" s="6" t="n">
        <v>4</v>
      </c>
      <c r="G204" s="6" t="inlineStr">
        <is>
          <t>To Do</t>
        </is>
      </c>
      <c r="H204" s="6" t="inlineStr">
        <is>
          <t>26/10</t>
        </is>
      </c>
      <c r="I204" s="6" t="n"/>
      <c r="J204" s="6" t="n"/>
      <c r="K204" s="7" t="inlineStr">
        <is>
          <t>desbloquea todas las tareas «Conectar…»</t>
        </is>
      </c>
    </row>
    <row r="205" ht="30" customHeight="1">
      <c r="B205" s="6" t="inlineStr">
        <is>
          <t>T-141</t>
        </is>
      </c>
      <c r="C205" s="7" t="inlineStr">
        <is>
          <t>Crear el proyecto base de la app: Compose, Room, WorkManager y cliente de la API</t>
        </is>
      </c>
      <c r="D205" s="6" t="inlineStr">
        <is>
          <t>Android</t>
        </is>
      </c>
      <c r="E205" s="6" t="inlineStr">
        <is>
          <t>Nicolás</t>
        </is>
      </c>
      <c r="F205" s="6" t="n">
        <v>6</v>
      </c>
      <c r="G205" s="6" t="inlineStr">
        <is>
          <t>To Do</t>
        </is>
      </c>
      <c r="H205" s="6" t="inlineStr">
        <is>
          <t>26/10</t>
        </is>
      </c>
      <c r="I205" s="6" t="n"/>
      <c r="J205" s="6" t="n"/>
      <c r="K205" s="7" t="inlineStr">
        <is>
          <t>desbloquea todas las tareas Android</t>
        </is>
      </c>
    </row>
    <row r="206" ht="30" customHeight="1">
      <c r="B206" s="6" t="inlineStr">
        <is>
          <t>T-142</t>
        </is>
      </c>
      <c r="C206" s="7" t="inlineStr">
        <is>
          <t>Cargar en la base las semillas de los 626 proveedores reales</t>
        </is>
      </c>
      <c r="D206" s="6" t="inlineStr">
        <is>
          <t>Backend</t>
        </is>
      </c>
      <c r="E206" s="6" t="inlineStr">
        <is>
          <t>Adiel</t>
        </is>
      </c>
      <c r="F206" s="6" t="n">
        <v>1</v>
      </c>
      <c r="G206" s="6" t="inlineStr">
        <is>
          <t>To Do</t>
        </is>
      </c>
      <c r="H206" s="6" t="inlineStr">
        <is>
          <t>25/10</t>
        </is>
      </c>
      <c r="I206" s="6" t="n"/>
      <c r="J206" s="6" t="n"/>
      <c r="K206" s="7" t="n"/>
    </row>
    <row r="207" ht="30" customHeight="1">
      <c r="B207" s="6" t="inlineStr">
        <is>
          <t>T-143</t>
        </is>
      </c>
      <c r="C207" s="7" t="inlineStr">
        <is>
          <t>Configurar las pruebas automáticas en cada PR con GitHub Actions</t>
        </is>
      </c>
      <c r="D207" s="6" t="inlineStr">
        <is>
          <t>DevOps</t>
        </is>
      </c>
      <c r="E207" s="6" t="inlineStr">
        <is>
          <t>Adiel</t>
        </is>
      </c>
      <c r="F207" s="6" t="n">
        <v>3</v>
      </c>
      <c r="G207" s="6" t="inlineStr">
        <is>
          <t>To Do</t>
        </is>
      </c>
      <c r="H207" s="6" t="inlineStr">
        <is>
          <t>24/10</t>
        </is>
      </c>
      <c r="I207" s="6" t="n"/>
      <c r="J207" s="6" t="n"/>
      <c r="K207" s="7" t="inlineStr">
        <is>
          <t>T5 de la DoD</t>
        </is>
      </c>
    </row>
    <row r="208" ht="30" customHeight="1">
      <c r="B208" s="6" t="inlineStr">
        <is>
          <t>T-144</t>
        </is>
      </c>
      <c r="C208" s="7" t="inlineStr">
        <is>
          <t>Poner el repositorio en privado e invitar al docente como lector</t>
        </is>
      </c>
      <c r="D208" s="6" t="inlineStr">
        <is>
          <t>Scrum</t>
        </is>
      </c>
      <c r="E208" s="6" t="inlineStr">
        <is>
          <t>Fernando</t>
        </is>
      </c>
      <c r="F208" s="6" t="n">
        <v>0.5</v>
      </c>
      <c r="G208" s="6" t="inlineStr">
        <is>
          <t>To Do</t>
        </is>
      </c>
      <c r="H208" s="6" t="inlineStr">
        <is>
          <t>23/10</t>
        </is>
      </c>
      <c r="I208" s="6" t="n"/>
      <c r="J208" s="6" t="n"/>
      <c r="K208" s="7" t="inlineStr">
        <is>
          <t>hoy está público</t>
        </is>
      </c>
    </row>
    <row r="209" ht="30" customHeight="1">
      <c r="B209" s="6" t="inlineStr">
        <is>
          <t>T-145</t>
        </is>
      </c>
      <c r="C209" s="7" t="inlineStr">
        <is>
          <t>Armar el tablero en GitHub Projects con las plantillas de DoR y DoD</t>
        </is>
      </c>
      <c r="D209" s="6" t="inlineStr">
        <is>
          <t>Scrum</t>
        </is>
      </c>
      <c r="E209" s="6" t="inlineStr">
        <is>
          <t>Fernando</t>
        </is>
      </c>
      <c r="F209" s="6" t="n">
        <v>2</v>
      </c>
      <c r="G209" s="6" t="inlineStr">
        <is>
          <t>Doing</t>
        </is>
      </c>
      <c r="H209" s="6" t="inlineStr">
        <is>
          <t>23/10</t>
        </is>
      </c>
      <c r="I209" s="6" t="n"/>
      <c r="J209" s="6" t="n"/>
      <c r="K209" s="7" t="n"/>
    </row>
    <row r="210" ht="30" customHeight="1">
      <c r="B210" s="6" t="inlineStr">
        <is>
          <t>T-146</t>
        </is>
      </c>
      <c r="C210" s="7" t="inlineStr">
        <is>
          <t>Facilitar el Daily Scrum de 15 minutos cada día, registrarlo y actualizar el burndown</t>
        </is>
      </c>
      <c r="D210" s="6" t="inlineStr">
        <is>
          <t>Scrum</t>
        </is>
      </c>
      <c r="E210" s="6" t="inlineStr">
        <is>
          <t>Fernando</t>
        </is>
      </c>
      <c r="F210" s="6" t="n">
        <v>2</v>
      </c>
      <c r="G210" s="6" t="inlineStr">
        <is>
          <t>Doing</t>
        </is>
      </c>
      <c r="H210" s="6" t="inlineStr">
        <is>
          <t>27/10</t>
        </is>
      </c>
      <c r="I210" s="6" t="n"/>
      <c r="J210" s="6" t="n"/>
      <c r="K210" s="7" t="inlineStr">
        <is>
          <t>hasta el 28/10</t>
        </is>
      </c>
    </row>
    <row r="211" ht="30" customHeight="1">
      <c r="B211" s="6" t="inlineStr">
        <is>
          <t>T-147</t>
        </is>
      </c>
      <c r="C211" s="7" t="inlineStr">
        <is>
          <t>Simplificar los textos de cada pantalla web: título y una línea, con ayuda «?» bajo demanda</t>
        </is>
      </c>
      <c r="D211" s="6" t="inlineStr">
        <is>
          <t>UX</t>
        </is>
      </c>
      <c r="E211" s="6" t="inlineStr">
        <is>
          <t>Fernando</t>
        </is>
      </c>
      <c r="F211" s="6" t="n">
        <v>3</v>
      </c>
      <c r="G211" s="6" t="inlineStr">
        <is>
          <t>To Do</t>
        </is>
      </c>
      <c r="H211" s="6" t="inlineStr">
        <is>
          <t>26/10</t>
        </is>
      </c>
      <c r="I211" s="6" t="n"/>
      <c r="J211" s="6" t="n"/>
      <c r="K211" s="7" t="inlineStr">
        <is>
          <t>observación de Fernando: hoy hay demasiado texto</t>
        </is>
      </c>
    </row>
    <row r="212" ht="30" customHeight="1">
      <c r="B212" s="6" t="inlineStr">
        <is>
          <t>T-148</t>
        </is>
      </c>
      <c r="C212" s="7" t="inlineStr">
        <is>
          <t>Validar las pantallas con el cliente (Pool) en una sesión corta y registrar sus observaciones</t>
        </is>
      </c>
      <c r="D212" s="6" t="inlineStr">
        <is>
          <t>UX</t>
        </is>
      </c>
      <c r="E212" s="6" t="inlineStr">
        <is>
          <t>Fernando</t>
        </is>
      </c>
      <c r="F212" s="6" t="n">
        <v>1.5</v>
      </c>
      <c r="G212" s="6" t="inlineStr">
        <is>
          <t>To Do</t>
        </is>
      </c>
      <c r="H212" s="6" t="inlineStr">
        <is>
          <t>26/10</t>
        </is>
      </c>
      <c r="I212" s="6" t="n"/>
      <c r="J212" s="6" t="n"/>
      <c r="K212" s="7" t="inlineStr">
        <is>
          <t>que lo use quien lo va a usar</t>
        </is>
      </c>
    </row>
    <row r="213" ht="30" customHeight="1">
      <c r="B213" s="6" t="inlineStr">
        <is>
          <t>T-149</t>
        </is>
      </c>
      <c r="C213" s="7" t="inlineStr">
        <is>
          <t>Revisar la app con guantes y al sol: botones grandes, una acción por pantalla, contraste AA</t>
        </is>
      </c>
      <c r="D213" s="6" t="inlineStr">
        <is>
          <t>UX</t>
        </is>
      </c>
      <c r="E213" s="6" t="inlineStr">
        <is>
          <t>Nicolás</t>
        </is>
      </c>
      <c r="F213" s="6" t="n">
        <v>2</v>
      </c>
      <c r="G213" s="6" t="inlineStr">
        <is>
          <t>To Do</t>
        </is>
      </c>
      <c r="H213" s="6" t="inlineStr">
        <is>
          <t>26/10</t>
        </is>
      </c>
      <c r="I213" s="6" t="n"/>
      <c r="J213" s="6" t="n"/>
      <c r="K213" s="7" t="inlineStr">
        <is>
          <t>el almacenero trabaja en obra</t>
        </is>
      </c>
    </row>
    <row r="214" ht="30" customHeight="1">
      <c r="B214" s="6" t="inlineStr">
        <is>
          <t>T-150</t>
        </is>
      </c>
      <c r="C214" s="7" t="inlineStr">
        <is>
          <t>Diseñar las 23 pantallas del Sprint 1 y los mapas de navegación</t>
        </is>
      </c>
      <c r="D214" s="6" t="inlineStr">
        <is>
          <t>Diseño UI</t>
        </is>
      </c>
      <c r="E214" s="6" t="inlineStr">
        <is>
          <t>Fernando</t>
        </is>
      </c>
      <c r="F214" s="6" t="n">
        <v>2</v>
      </c>
      <c r="G214" s="6" t="inlineStr">
        <is>
          <t>Done</t>
        </is>
      </c>
      <c r="H214" s="6" t="inlineStr">
        <is>
          <t>23/10</t>
        </is>
      </c>
      <c r="I214" s="6" t="n"/>
      <c r="J214" s="6" t="n"/>
      <c r="K214" s="7" t="inlineStr">
        <is>
          <t>lienzo «SIGRO · Pantallas y diagramas del Sprint 1», WCAG AA</t>
        </is>
      </c>
    </row>
    <row r="215" ht="30" customHeight="1">
      <c r="B215" s="6" t="inlineStr">
        <is>
          <t>T-151</t>
        </is>
      </c>
      <c r="C215" s="7" t="inlineStr">
        <is>
          <t>Modelar los 3 diagramas de casos de uso y los 3 de secuencia (importación S10, salida sin señal, recepción y costo promedio)</t>
        </is>
      </c>
      <c r="D215" s="6" t="inlineStr">
        <is>
          <t>Modelado UML</t>
        </is>
      </c>
      <c r="E215" s="6" t="inlineStr">
        <is>
          <t>Fernando</t>
        </is>
      </c>
      <c r="F215" s="6" t="n">
        <v>2</v>
      </c>
      <c r="G215" s="6" t="inlineStr">
        <is>
          <t>Done</t>
        </is>
      </c>
      <c r="H215" s="6" t="inlineStr">
        <is>
          <t>24/10</t>
        </is>
      </c>
      <c r="I215" s="6" t="n"/>
      <c r="J215" s="6" t="n"/>
      <c r="K215" s="7" t="inlineStr">
        <is>
          <t>en el lienzo; cubren HU-07, 35, 37, 38, 40 y 55</t>
        </is>
      </c>
    </row>
    <row r="216" ht="30" customHeight="1">
      <c r="B216" s="6" t="inlineStr">
        <is>
          <t>T-152</t>
        </is>
      </c>
      <c r="C216" s="7" t="inlineStr">
        <is>
          <t>Modelar la secuencia del login y del permiso verificado en el servidor (HU-12 a HU-15)</t>
        </is>
      </c>
      <c r="D216" s="6" t="inlineStr">
        <is>
          <t>Modelado UML</t>
        </is>
      </c>
      <c r="E216" s="6" t="inlineStr">
        <is>
          <t>Henry</t>
        </is>
      </c>
      <c r="F216" s="6" t="n">
        <v>1.5</v>
      </c>
      <c r="G216" s="6" t="inlineStr">
        <is>
          <t>To Do</t>
        </is>
      </c>
      <c r="H216" s="6" t="inlineStr">
        <is>
          <t>24/10</t>
        </is>
      </c>
      <c r="I216" s="6" t="n"/>
      <c r="J216" s="6" t="n"/>
      <c r="K216" s="7" t="n"/>
    </row>
    <row r="217" ht="30" customHeight="1">
      <c r="B217" s="6" t="inlineStr">
        <is>
          <t>T-153</t>
        </is>
      </c>
      <c r="C217" s="7" t="inlineStr">
        <is>
          <t>Modelar la secuencia de la alerta de reposición con Notificaciones (HU-25 a HU-27)</t>
        </is>
      </c>
      <c r="D217" s="6" t="inlineStr">
        <is>
          <t>Modelado UML</t>
        </is>
      </c>
      <c r="E217" s="6" t="inlineStr">
        <is>
          <t>Fernando</t>
        </is>
      </c>
      <c r="F217" s="6" t="n">
        <v>1.5</v>
      </c>
      <c r="G217" s="6" t="inlineStr">
        <is>
          <t>To Do</t>
        </is>
      </c>
      <c r="H217" s="6" t="inlineStr">
        <is>
          <t>24/10</t>
        </is>
      </c>
      <c r="I217" s="6" t="n"/>
      <c r="J217" s="6" t="n"/>
      <c r="K217" s="7" t="n"/>
    </row>
    <row r="218" ht="30" customHeight="1">
      <c r="B218" s="6" t="inlineStr">
        <is>
          <t>T-154</t>
        </is>
      </c>
      <c r="C218" s="7" t="inlineStr">
        <is>
          <t>Dibujar los diagramas de actividades del negocio y de estados</t>
        </is>
      </c>
      <c r="D218" s="6" t="inlineStr">
        <is>
          <t>Modelado UML</t>
        </is>
      </c>
      <c r="E218" s="6" t="inlineStr">
        <is>
          <t>Nicolás</t>
        </is>
      </c>
      <c r="F218" s="6" t="n">
        <v>2</v>
      </c>
      <c r="G218" s="6" t="inlineStr">
        <is>
          <t>Done</t>
        </is>
      </c>
      <c r="H218" s="6" t="inlineStr">
        <is>
          <t>24/10</t>
        </is>
      </c>
      <c r="I218" s="6" t="n"/>
      <c r="J218" s="6" t="n"/>
      <c r="K218" s="7" t="inlineStr">
        <is>
          <t>14 hojas: A1–A4 y E1–E3 (22/10)</t>
        </is>
      </c>
    </row>
    <row r="219" ht="30" customHeight="1">
      <c r="B219" s="6" t="inlineStr">
        <is>
          <t>T-155</t>
        </is>
      </c>
      <c r="C219" s="7" t="inlineStr">
        <is>
          <t>Dibujar la arquitectura en las cuatro vistas del C4 a partir del diagrama de microservicios</t>
        </is>
      </c>
      <c r="D219" s="6" t="inlineStr">
        <is>
          <t>Modelado UML</t>
        </is>
      </c>
      <c r="E219" s="6" t="inlineStr">
        <is>
          <t>Nicolás</t>
        </is>
      </c>
      <c r="F219" s="6" t="n">
        <v>4</v>
      </c>
      <c r="G219" s="6" t="inlineStr">
        <is>
          <t>To Do</t>
        </is>
      </c>
      <c r="H219" s="6" t="inlineStr">
        <is>
          <t>24/10</t>
        </is>
      </c>
      <c r="I219" s="6" t="n"/>
      <c r="J219" s="6" t="n"/>
      <c r="K219" s="7" t="inlineStr">
        <is>
          <t>parte de api/docs/diagrama-microservicios.png</t>
        </is>
      </c>
    </row>
    <row r="220" ht="30" customHeight="1">
      <c r="B220" s="6" t="inlineStr">
        <is>
          <t>T-156</t>
        </is>
      </c>
      <c r="C220" s="7" t="inlineStr">
        <is>
          <t>Preparar la demo de la Sprint Review: una compra que cruza recepción, salida y costo de punta a punta</t>
        </is>
      </c>
      <c r="D220" s="6" t="inlineStr">
        <is>
          <t>Review</t>
        </is>
      </c>
      <c r="E220" s="6" t="inlineStr">
        <is>
          <t>Fernando</t>
        </is>
      </c>
      <c r="F220" s="6" t="n">
        <v>2</v>
      </c>
      <c r="G220" s="6" t="inlineStr">
        <is>
          <t>To Do</t>
        </is>
      </c>
      <c r="H220" s="6" t="inlineStr">
        <is>
          <t>27/10</t>
        </is>
      </c>
      <c r="I220" s="6" t="n"/>
      <c r="J220" s="6" t="n"/>
      <c r="K220" s="7" t="n"/>
    </row>
  </sheetData>
  <mergeCells count="59">
    <mergeCell ref="B108:K108"/>
    <mergeCell ref="B137:K137"/>
    <mergeCell ref="B49:K49"/>
    <mergeCell ref="B74:K74"/>
    <mergeCell ref="B183:K183"/>
    <mergeCell ref="B68:K68"/>
    <mergeCell ref="B177:K177"/>
    <mergeCell ref="B55:K55"/>
    <mergeCell ref="B6:K6"/>
    <mergeCell ref="B20:K20"/>
    <mergeCell ref="B95:K95"/>
    <mergeCell ref="B89:K89"/>
    <mergeCell ref="B169:K169"/>
    <mergeCell ref="B36:K36"/>
    <mergeCell ref="B189:K189"/>
    <mergeCell ref="B123:K123"/>
    <mergeCell ref="B197:K197"/>
    <mergeCell ref="B35:K35"/>
    <mergeCell ref="B144:K144"/>
    <mergeCell ref="B75:K75"/>
    <mergeCell ref="B7:K7"/>
    <mergeCell ref="B109:K109"/>
    <mergeCell ref="B129:K129"/>
    <mergeCell ref="B54:K54"/>
    <mergeCell ref="B62:K62"/>
    <mergeCell ref="B81:K81"/>
    <mergeCell ref="B156:K156"/>
    <mergeCell ref="B150:K150"/>
    <mergeCell ref="B190:K190"/>
    <mergeCell ref="B202:K202"/>
    <mergeCell ref="B122:K122"/>
    <mergeCell ref="B102:K102"/>
    <mergeCell ref="B115:K115"/>
    <mergeCell ref="B155:K155"/>
    <mergeCell ref="B149:K149"/>
    <mergeCell ref="B96:K96"/>
    <mergeCell ref="B21:K21"/>
    <mergeCell ref="B161:K161"/>
    <mergeCell ref="B43:K43"/>
    <mergeCell ref="B130:K130"/>
    <mergeCell ref="B176:K176"/>
    <mergeCell ref="B48:K48"/>
    <mergeCell ref="B42:K42"/>
    <mergeCell ref="B136:K136"/>
    <mergeCell ref="B61:K61"/>
    <mergeCell ref="B145:K145"/>
    <mergeCell ref="B101:K101"/>
    <mergeCell ref="B14:K14"/>
    <mergeCell ref="B170:K170"/>
    <mergeCell ref="B13:K13"/>
    <mergeCell ref="B88:K88"/>
    <mergeCell ref="B82:K82"/>
    <mergeCell ref="B116:K116"/>
    <mergeCell ref="B29:K29"/>
    <mergeCell ref="B162:K162"/>
    <mergeCell ref="B69:K69"/>
    <mergeCell ref="B182:K182"/>
    <mergeCell ref="B196:K196"/>
    <mergeCell ref="B28:K28"/>
  </mergeCells>
  <conditionalFormatting sqref="G6:G220">
    <cfRule type="expression" priority="1" dxfId="0">
      <formula>$G6="Done"</formula>
    </cfRule>
    <cfRule type="expression" priority="2" dxfId="1">
      <formula>$G6="Doing"</formula>
    </cfRule>
  </conditionalFormatting>
  <conditionalFormatting sqref="J6:J220">
    <cfRule type="expression" priority="3" dxfId="2">
      <formula>$J6="No"</formula>
    </cfRule>
  </conditionalFormatting>
  <dataValidations count="1">
    <dataValidation sqref="J8 J9 J10 J11 J12 J15 J16 J17 J18 J19 J22 J23 J24 J25 J26 J27 J30 J31 J32 J33 J34 J37 J38 J39 J40 J41 J44 J45 J46 J47 J50 J51 J52 J53 J56 J57 J58 J59 J60 J63 J64 J65 J66 J67 J70 J71 J72 J73 J76 J77 J78 J79 J80 J83 J84 J85 J86 J87 J90 J91 J92 J93 J94 J97 J98 J99 J100 J103 J104 J105 J106 J107 J110 J111 J112 J113 J114 J117 J118 J119 J120 J121 J124 J125 J126 J127 J128 J131 J132 J133 J134 J135 J138 J139 J140 J141 J142 J143 J146 J147 J148 J151 J152 J153 J154 J157 J158 J159 J160 J163 J164 J165 J166 J167 J168 J171 J172 J173 J174 J175 J178 J179 J180 J181 J184 J185 J186 J187 J188 J191 J192 J193 J194 J195 J198 J199 J200 J201 J203 J204 J205 J206 J207 J208 J209 J210 J211 J212 J213 J214 J215 J216 J217 J218 J219 J220" showDropDown="0" showInputMessage="0" showErrorMessage="0" allowBlank="1" type="list">
      <formula1>"Sí,No"</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B2:L16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7" customWidth="1" min="2" max="2"/>
    <col width="7" customWidth="1" min="3" max="3"/>
    <col width="26" customWidth="1" min="4" max="4"/>
    <col width="12" customWidth="1" min="5" max="5"/>
    <col width="62" customWidth="1" min="6" max="6"/>
    <col width="11" customWidth="1" min="7" max="7"/>
    <col width="7" customWidth="1" min="8" max="8"/>
    <col width="9" customWidth="1" min="9" max="9"/>
    <col width="10" customWidth="1" min="10" max="10"/>
    <col width="40" customWidth="1" min="11" max="11"/>
    <col width="18" customWidth="1" min="12" max="12"/>
  </cols>
  <sheetData>
    <row r="2">
      <c r="B2" s="1" t="inlineStr">
        <is>
          <t>SIGRO · Sprint 1 · Tablero Scrum (15 al 28 de octubre)</t>
        </is>
      </c>
    </row>
    <row r="3">
      <c r="B3" s="2" t="inlineStr">
        <is>
          <t>Cada HU se parte en tareas. To Do → Doing solo si la HU cumple la DoR (L1–L12). Doing → Done solo con la DoD (T1–T10 + condiciones finales). Meta: el lunes 27/10 (penúltimo día) todo en Done; el martes 28 es la Review.</t>
        </is>
      </c>
    </row>
    <row r="5">
      <c r="B5" s="3" t="inlineStr">
        <is>
          <t>ID</t>
        </is>
      </c>
      <c r="C5" s="3" t="inlineStr">
        <is>
          <t>HU</t>
        </is>
      </c>
      <c r="D5" s="3" t="inlineStr">
        <is>
          <t>Historia</t>
        </is>
      </c>
      <c r="E5" s="3" t="inlineStr">
        <is>
          <t>Fase / área</t>
        </is>
      </c>
      <c r="F5" s="3" t="inlineStr">
        <is>
          <t>Tarea</t>
        </is>
      </c>
      <c r="G5" s="3" t="inlineStr">
        <is>
          <t>Responsable</t>
        </is>
      </c>
      <c r="H5" s="3" t="inlineStr">
        <is>
          <t>Horas</t>
        </is>
      </c>
      <c r="I5" s="3" t="inlineStr">
        <is>
          <t>Estado</t>
        </is>
      </c>
      <c r="J5" s="3" t="inlineStr">
        <is>
          <t>Fecha límite</t>
        </is>
      </c>
      <c r="K5" s="3" t="inlineStr">
        <is>
          <t>Evidencia / nota</t>
        </is>
      </c>
      <c r="L5" s="3" t="inlineStr">
        <is>
          <t>Depende de</t>
        </is>
      </c>
    </row>
    <row r="6">
      <c r="B6" s="6" t="inlineStr">
        <is>
          <t>T-001</t>
        </is>
      </c>
      <c r="C6" s="6" t="inlineStr">
        <is>
          <t>HU-01</t>
        </is>
      </c>
      <c r="D6" s="7" t="inlineStr">
        <is>
          <t>Crear proyecto</t>
        </is>
      </c>
      <c r="E6" s="6" t="inlineStr">
        <is>
          <t>Backend</t>
        </is>
      </c>
      <c r="F6" s="7" t="inlineStr">
        <is>
          <t>Programar el endpoint para crear la obra, validando nombre y plazo obligatorios, fin ≥ inicio y estado inicial «en ejecución»</t>
        </is>
      </c>
      <c r="G6" s="6" t="inlineStr">
        <is>
          <t>Adiel</t>
        </is>
      </c>
      <c r="H6" s="6" t="n">
        <v>2</v>
      </c>
      <c r="I6" s="6" t="inlineStr">
        <is>
          <t>Done</t>
        </is>
      </c>
      <c r="J6" s="6" t="inlineStr">
        <is>
          <t>25/10</t>
        </is>
      </c>
      <c r="K6" s="7" t="inlineStr">
        <is>
          <t>hecho en la API de Adiel (PR #1 fusionado a main), con pruebas</t>
        </is>
      </c>
      <c r="L6" s="7" t="inlineStr"/>
    </row>
    <row r="7">
      <c r="B7" s="6" t="inlineStr">
        <is>
          <t>T-002</t>
        </is>
      </c>
      <c r="C7" s="6" t="inlineStr">
        <is>
          <t>HU-01</t>
        </is>
      </c>
      <c r="D7" s="7" t="inlineStr">
        <is>
          <t>Crear proyecto</t>
        </is>
      </c>
      <c r="E7" s="6" t="inlineStr">
        <is>
          <t>Web</t>
        </is>
      </c>
      <c r="F7" s="7" t="inlineStr">
        <is>
          <t>Programar la pantalla web para crear la obra</t>
        </is>
      </c>
      <c r="G7" s="6" t="inlineStr">
        <is>
          <t>Fernando</t>
        </is>
      </c>
      <c r="H7" s="6" t="n">
        <v>2</v>
      </c>
      <c r="I7" s="6" t="inlineStr">
        <is>
          <t>Done</t>
        </is>
      </c>
      <c r="J7" s="6" t="inlineStr">
        <is>
          <t>26/10</t>
        </is>
      </c>
      <c r="K7" s="7" t="inlineStr">
        <is>
          <t>pantalla hecha con datos simulados; falta conectarla a la API real</t>
        </is>
      </c>
      <c r="L7" s="7" t="inlineStr"/>
    </row>
    <row r="8">
      <c r="B8" s="6" t="inlineStr">
        <is>
          <t>T-003</t>
        </is>
      </c>
      <c r="C8" s="6" t="inlineStr">
        <is>
          <t>HU-01</t>
        </is>
      </c>
      <c r="D8" s="7" t="inlineStr">
        <is>
          <t>Crear proyecto</t>
        </is>
      </c>
      <c r="E8" s="6" t="inlineStr">
        <is>
          <t>Web</t>
        </is>
      </c>
      <c r="F8" s="7" t="inlineStr">
        <is>
          <t>Conectar la pantalla «Crear la obra» con el endpoint real de la API</t>
        </is>
      </c>
      <c r="G8" s="6" t="inlineStr">
        <is>
          <t>Fernando</t>
        </is>
      </c>
      <c r="H8" s="6" t="n">
        <v>2</v>
      </c>
      <c r="I8" s="6" t="inlineStr">
        <is>
          <t>To Do</t>
        </is>
      </c>
      <c r="J8" s="6" t="inlineStr">
        <is>
          <t>26/10</t>
        </is>
      </c>
      <c r="K8" s="7" t="inlineStr"/>
      <c r="L8" s="7" t="inlineStr">
        <is>
          <t>T-001, T-140</t>
        </is>
      </c>
    </row>
    <row r="9">
      <c r="B9" s="6" t="inlineStr">
        <is>
          <t>T-004</t>
        </is>
      </c>
      <c r="C9" s="6" t="inlineStr">
        <is>
          <t>HU-01</t>
        </is>
      </c>
      <c r="D9" s="7" t="inlineStr">
        <is>
          <t>Crear proyecto</t>
        </is>
      </c>
      <c r="E9" s="6" t="inlineStr">
        <is>
          <t>Pruebas</t>
        </is>
      </c>
      <c r="F9" s="7" t="inlineStr">
        <is>
          <t>Probar HU-01 en el ambiente de pruebas contra sus condiciones finales y aprobar su PR</t>
        </is>
      </c>
      <c r="G9" s="6" t="inlineStr">
        <is>
          <t>Henry</t>
        </is>
      </c>
      <c r="H9" s="6" t="n">
        <v>1</v>
      </c>
      <c r="I9" s="6" t="inlineStr">
        <is>
          <t>To Do</t>
        </is>
      </c>
      <c r="J9" s="6" t="inlineStr">
        <is>
          <t>27/10</t>
        </is>
      </c>
      <c r="K9" s="7" t="inlineStr">
        <is>
          <t>alguien distinto del autor (T1, T5, T8)</t>
        </is>
      </c>
      <c r="L9" s="7" t="inlineStr">
        <is>
          <t>T-001, T-002, T-003, T-139</t>
        </is>
      </c>
    </row>
    <row r="10">
      <c r="B10" s="8" t="inlineStr">
        <is>
          <t>T-005</t>
        </is>
      </c>
      <c r="C10" s="8" t="inlineStr">
        <is>
          <t>HU-01</t>
        </is>
      </c>
      <c r="D10" s="9" t="inlineStr">
        <is>
          <t>Crear proyecto</t>
        </is>
      </c>
      <c r="E10" s="8" t="inlineStr">
        <is>
          <t>Aceptación</t>
        </is>
      </c>
      <c r="F10" s="9" t="inlineStr">
        <is>
          <t>Aceptar HU-01 como Product Owner desde la interfaz y moverla a Done</t>
        </is>
      </c>
      <c r="G10" s="8" t="inlineStr">
        <is>
          <t>Adiel</t>
        </is>
      </c>
      <c r="H10" s="8" t="n">
        <v>0.5</v>
      </c>
      <c r="I10" s="8" t="inlineStr">
        <is>
          <t>To Do</t>
        </is>
      </c>
      <c r="J10" s="8" t="inlineStr">
        <is>
          <t>27/10</t>
        </is>
      </c>
      <c r="K10" s="9" t="inlineStr">
        <is>
          <t>mueve la HU a Done</t>
        </is>
      </c>
      <c r="L10" s="9" t="inlineStr">
        <is>
          <t>T-004</t>
        </is>
      </c>
    </row>
    <row r="11">
      <c r="B11" s="6" t="inlineStr">
        <is>
          <t>T-006</t>
        </is>
      </c>
      <c r="C11" s="6" t="inlineStr">
        <is>
          <t>HU-03</t>
        </is>
      </c>
      <c r="D11" s="7" t="inlineStr">
        <is>
          <t>Reportar la obra en semanas</t>
        </is>
      </c>
      <c r="E11" s="6" t="inlineStr">
        <is>
          <t>Backend</t>
        </is>
      </c>
      <c r="F11" s="7" t="inlineStr">
        <is>
          <t>Programar la generación automática de semanas al crear la obra y al ampliar el plazo, con sus pruebas</t>
        </is>
      </c>
      <c r="G11" s="6" t="inlineStr">
        <is>
          <t>Adiel</t>
        </is>
      </c>
      <c r="H11" s="6" t="n">
        <v>2</v>
      </c>
      <c r="I11" s="6" t="inlineStr">
        <is>
          <t>To Do</t>
        </is>
      </c>
      <c r="J11" s="6" t="inlineStr">
        <is>
          <t>25/10</t>
        </is>
      </c>
      <c r="K11" s="7" t="inlineStr">
        <is>
          <t>confirmar si la API ya las genera</t>
        </is>
      </c>
      <c r="L11" s="7" t="inlineStr"/>
    </row>
    <row r="12">
      <c r="B12" s="6" t="inlineStr">
        <is>
          <t>T-007</t>
        </is>
      </c>
      <c r="C12" s="6" t="inlineStr">
        <is>
          <t>HU-03</t>
        </is>
      </c>
      <c r="D12" s="7" t="inlineStr">
        <is>
          <t>Reportar la obra en semanas</t>
        </is>
      </c>
      <c r="E12" s="6" t="inlineStr">
        <is>
          <t>Web</t>
        </is>
      </c>
      <c r="F12" s="7" t="inlineStr">
        <is>
          <t>Programar la tira de semanas en la web (cerrada, en curso, por venir)</t>
        </is>
      </c>
      <c r="G12" s="6" t="inlineStr">
        <is>
          <t>Fernando</t>
        </is>
      </c>
      <c r="H12" s="6" t="n">
        <v>2</v>
      </c>
      <c r="I12" s="6" t="inlineStr">
        <is>
          <t>Done</t>
        </is>
      </c>
      <c r="J12" s="6" t="inlineStr">
        <is>
          <t>26/10</t>
        </is>
      </c>
      <c r="K12" s="7" t="inlineStr">
        <is>
          <t>pantalla hecha con datos simulados; falta conectarla a la API real</t>
        </is>
      </c>
      <c r="L12" s="7" t="inlineStr"/>
    </row>
    <row r="13">
      <c r="B13" s="6" t="inlineStr">
        <is>
          <t>T-008</t>
        </is>
      </c>
      <c r="C13" s="6" t="inlineStr">
        <is>
          <t>HU-03</t>
        </is>
      </c>
      <c r="D13" s="7" t="inlineStr">
        <is>
          <t>Reportar la obra en semanas</t>
        </is>
      </c>
      <c r="E13" s="6" t="inlineStr">
        <is>
          <t>Web</t>
        </is>
      </c>
      <c r="F13" s="7" t="inlineStr">
        <is>
          <t>Conectar la tira de semanas con la API real</t>
        </is>
      </c>
      <c r="G13" s="6" t="inlineStr">
        <is>
          <t>Fernando</t>
        </is>
      </c>
      <c r="H13" s="6" t="n">
        <v>2</v>
      </c>
      <c r="I13" s="6" t="inlineStr">
        <is>
          <t>To Do</t>
        </is>
      </c>
      <c r="J13" s="6" t="inlineStr">
        <is>
          <t>26/10</t>
        </is>
      </c>
      <c r="K13" s="7" t="inlineStr"/>
      <c r="L13" s="7" t="inlineStr">
        <is>
          <t>T-006, T-140</t>
        </is>
      </c>
    </row>
    <row r="14">
      <c r="B14" s="6" t="inlineStr">
        <is>
          <t>T-009</t>
        </is>
      </c>
      <c r="C14" s="6" t="inlineStr">
        <is>
          <t>HU-03</t>
        </is>
      </c>
      <c r="D14" s="7" t="inlineStr">
        <is>
          <t>Reportar la obra en semanas</t>
        </is>
      </c>
      <c r="E14" s="6" t="inlineStr">
        <is>
          <t>Pruebas</t>
        </is>
      </c>
      <c r="F14" s="7" t="inlineStr">
        <is>
          <t>Probar HU-03 en el ambiente de pruebas contra sus condiciones finales y aprobar su PR</t>
        </is>
      </c>
      <c r="G14" s="6" t="inlineStr">
        <is>
          <t>Henry</t>
        </is>
      </c>
      <c r="H14" s="6" t="n">
        <v>1</v>
      </c>
      <c r="I14" s="6" t="inlineStr">
        <is>
          <t>To Do</t>
        </is>
      </c>
      <c r="J14" s="6" t="inlineStr">
        <is>
          <t>27/10</t>
        </is>
      </c>
      <c r="K14" s="7" t="inlineStr">
        <is>
          <t>alguien distinto del autor (T1, T5, T8)</t>
        </is>
      </c>
      <c r="L14" s="7" t="inlineStr">
        <is>
          <t>T-006, T-007, T-008, T-139</t>
        </is>
      </c>
    </row>
    <row r="15">
      <c r="B15" s="8" t="inlineStr">
        <is>
          <t>T-010</t>
        </is>
      </c>
      <c r="C15" s="8" t="inlineStr">
        <is>
          <t>HU-03</t>
        </is>
      </c>
      <c r="D15" s="9" t="inlineStr">
        <is>
          <t>Reportar la obra en semanas</t>
        </is>
      </c>
      <c r="E15" s="8" t="inlineStr">
        <is>
          <t>Aceptación</t>
        </is>
      </c>
      <c r="F15" s="9" t="inlineStr">
        <is>
          <t>Aceptar HU-03 como Product Owner desde la interfaz y moverla a Done</t>
        </is>
      </c>
      <c r="G15" s="8" t="inlineStr">
        <is>
          <t>Adiel</t>
        </is>
      </c>
      <c r="H15" s="8" t="n">
        <v>0.5</v>
      </c>
      <c r="I15" s="8" t="inlineStr">
        <is>
          <t>To Do</t>
        </is>
      </c>
      <c r="J15" s="8" t="inlineStr">
        <is>
          <t>27/10</t>
        </is>
      </c>
      <c r="K15" s="9" t="inlineStr">
        <is>
          <t>mueve la HU a Done</t>
        </is>
      </c>
      <c r="L15" s="9" t="inlineStr">
        <is>
          <t>T-009</t>
        </is>
      </c>
    </row>
    <row r="16">
      <c r="B16" s="6" t="inlineStr">
        <is>
          <t>T-011</t>
        </is>
      </c>
      <c r="C16" s="6" t="inlineStr">
        <is>
          <t>HU-07</t>
        </is>
      </c>
      <c r="D16" s="7" t="inlineStr">
        <is>
          <t>Importar catálogo de insumos del S10</t>
        </is>
      </c>
      <c r="E16" s="6" t="inlineStr">
        <is>
          <t>Integraciones</t>
        </is>
      </c>
      <c r="F16" s="7" t="inlineStr">
        <is>
          <t>Programar el lector del PDF «Relación de insumos» del S10 en el microservicio</t>
        </is>
      </c>
      <c r="G16" s="6" t="inlineStr">
        <is>
          <t>Fernando</t>
        </is>
      </c>
      <c r="H16" s="6" t="n">
        <v>4</v>
      </c>
      <c r="I16" s="6" t="inlineStr">
        <is>
          <t>Done</t>
        </is>
      </c>
      <c r="J16" s="6" t="inlineStr">
        <is>
          <t>25/10</t>
        </is>
      </c>
      <c r="K16" s="7" t="inlineStr">
        <is>
          <t>probado con el archivo real: 284 insumos, 0 fallidos, total exacto</t>
        </is>
      </c>
      <c r="L16" s="7" t="inlineStr"/>
    </row>
    <row r="17">
      <c r="B17" s="6" t="inlineStr">
        <is>
          <t>T-012</t>
        </is>
      </c>
      <c r="C17" s="6" t="inlineStr">
        <is>
          <t>HU-07</t>
        </is>
      </c>
      <c r="D17" s="7" t="inlineStr">
        <is>
          <t>Importar catálogo de insumos del S10</t>
        </is>
      </c>
      <c r="E17" s="6" t="inlineStr">
        <is>
          <t>Backend</t>
        </is>
      </c>
      <c r="F17" s="7" t="inlineStr">
        <is>
          <t>Programar el endpoint que aplica la importación: crear o actualizar insumos por código sin tocar saldos</t>
        </is>
      </c>
      <c r="G17" s="6" t="inlineStr">
        <is>
          <t>Adiel</t>
        </is>
      </c>
      <c r="H17" s="6" t="n">
        <v>4</v>
      </c>
      <c r="I17" s="6" t="inlineStr">
        <is>
          <t>To Do</t>
        </is>
      </c>
      <c r="J17" s="6" t="inlineStr">
        <is>
          <t>25/10</t>
        </is>
      </c>
      <c r="K17" s="7" t="inlineStr"/>
      <c r="L17" s="7" t="inlineStr"/>
    </row>
    <row r="18">
      <c r="B18" s="6" t="inlineStr">
        <is>
          <t>T-013</t>
        </is>
      </c>
      <c r="C18" s="6" t="inlineStr">
        <is>
          <t>HU-07</t>
        </is>
      </c>
      <c r="D18" s="7" t="inlineStr">
        <is>
          <t>Importar catálogo de insumos del S10</t>
        </is>
      </c>
      <c r="E18" s="6" t="inlineStr">
        <is>
          <t>Backend</t>
        </is>
      </c>
      <c r="F18" s="7" t="inlineStr">
        <is>
          <t>Configurar la llamada de la API a Integraciones con el token de servicio en docker compose</t>
        </is>
      </c>
      <c r="G18" s="6" t="inlineStr">
        <is>
          <t>Adiel</t>
        </is>
      </c>
      <c r="H18" s="6" t="n">
        <v>4</v>
      </c>
      <c r="I18" s="6" t="inlineStr">
        <is>
          <t>To Do</t>
        </is>
      </c>
      <c r="J18" s="6" t="inlineStr">
        <is>
          <t>25/10</t>
        </is>
      </c>
      <c r="K18" s="7" t="inlineStr">
        <is>
          <t>decisión B del 22/10</t>
        </is>
      </c>
      <c r="L18" s="7" t="inlineStr"/>
    </row>
    <row r="19">
      <c r="B19" s="6" t="inlineStr">
        <is>
          <t>T-014</t>
        </is>
      </c>
      <c r="C19" s="6" t="inlineStr">
        <is>
          <t>HU-07</t>
        </is>
      </c>
      <c r="D19" s="7" t="inlineStr">
        <is>
          <t>Importar catálogo de insumos del S10</t>
        </is>
      </c>
      <c r="E19" s="6" t="inlineStr">
        <is>
          <t>Web</t>
        </is>
      </c>
      <c r="F19" s="7" t="inlineStr">
        <is>
          <t>Programar la pantalla web «Importar del S10» con el resumen de creados, actualizados y fallidos</t>
        </is>
      </c>
      <c r="G19" s="6" t="inlineStr">
        <is>
          <t>Fernando</t>
        </is>
      </c>
      <c r="H19" s="6" t="n">
        <v>4</v>
      </c>
      <c r="I19" s="6" t="inlineStr">
        <is>
          <t>Done</t>
        </is>
      </c>
      <c r="J19" s="6" t="inlineStr">
        <is>
          <t>26/10</t>
        </is>
      </c>
      <c r="K19" s="7" t="inlineStr">
        <is>
          <t>conectada al micro real</t>
        </is>
      </c>
      <c r="L19" s="7" t="inlineStr"/>
    </row>
    <row r="20">
      <c r="B20" s="6" t="inlineStr">
        <is>
          <t>T-015</t>
        </is>
      </c>
      <c r="C20" s="6" t="inlineStr">
        <is>
          <t>HU-07</t>
        </is>
      </c>
      <c r="D20" s="7" t="inlineStr">
        <is>
          <t>Importar catálogo de insumos del S10</t>
        </is>
      </c>
      <c r="E20" s="6" t="inlineStr">
        <is>
          <t>Pruebas</t>
        </is>
      </c>
      <c r="F20" s="7" t="inlineStr">
        <is>
          <t>Probar HU-07 en el ambiente de pruebas contra sus condiciones finales y aprobar su PR</t>
        </is>
      </c>
      <c r="G20" s="6" t="inlineStr">
        <is>
          <t>Henry</t>
        </is>
      </c>
      <c r="H20" s="6" t="n">
        <v>1</v>
      </c>
      <c r="I20" s="6" t="inlineStr">
        <is>
          <t>To Do</t>
        </is>
      </c>
      <c r="J20" s="6" t="inlineStr">
        <is>
          <t>27/10</t>
        </is>
      </c>
      <c r="K20" s="7" t="inlineStr">
        <is>
          <t>alguien distinto del autor (T1, T5, T8)</t>
        </is>
      </c>
      <c r="L20" s="7" t="inlineStr">
        <is>
          <t>T-011, T-012, T-013, T-014, T-139</t>
        </is>
      </c>
    </row>
    <row r="21">
      <c r="B21" s="8" t="inlineStr">
        <is>
          <t>T-016</t>
        </is>
      </c>
      <c r="C21" s="8" t="inlineStr">
        <is>
          <t>HU-07</t>
        </is>
      </c>
      <c r="D21" s="9" t="inlineStr">
        <is>
          <t>Importar catálogo de insumos del S10</t>
        </is>
      </c>
      <c r="E21" s="8" t="inlineStr">
        <is>
          <t>Aceptación</t>
        </is>
      </c>
      <c r="F21" s="9" t="inlineStr">
        <is>
          <t>Aceptar HU-07 como Product Owner desde la interfaz y moverla a Done</t>
        </is>
      </c>
      <c r="G21" s="8" t="inlineStr">
        <is>
          <t>Adiel</t>
        </is>
      </c>
      <c r="H21" s="8" t="n">
        <v>0.5</v>
      </c>
      <c r="I21" s="8" t="inlineStr">
        <is>
          <t>To Do</t>
        </is>
      </c>
      <c r="J21" s="8" t="inlineStr">
        <is>
          <t>27/10</t>
        </is>
      </c>
      <c r="K21" s="9" t="inlineStr">
        <is>
          <t>mueve la HU a Done</t>
        </is>
      </c>
      <c r="L21" s="9" t="inlineStr">
        <is>
          <t>T-015</t>
        </is>
      </c>
    </row>
    <row r="22">
      <c r="B22" s="6" t="inlineStr">
        <is>
          <t>T-017</t>
        </is>
      </c>
      <c r="C22" s="6" t="inlineStr">
        <is>
          <t>HU-08</t>
        </is>
      </c>
      <c r="D22" s="7" t="inlineStr">
        <is>
          <t>Registrar insumos</t>
        </is>
      </c>
      <c r="E22" s="6" t="inlineStr">
        <is>
          <t>Backend</t>
        </is>
      </c>
      <c r="F22" s="7" t="inlineStr">
        <is>
          <t>Programar el endpoint del catálogo: generar código único, rechazar duplicados y marcar «por verificar»</t>
        </is>
      </c>
      <c r="G22" s="6" t="inlineStr">
        <is>
          <t>Adiel</t>
        </is>
      </c>
      <c r="H22" s="6" t="n">
        <v>3</v>
      </c>
      <c r="I22" s="6" t="inlineStr">
        <is>
          <t>To Do</t>
        </is>
      </c>
      <c r="J22" s="6" t="inlineStr">
        <is>
          <t>25/10</t>
        </is>
      </c>
      <c r="K22" s="7" t="inlineStr"/>
      <c r="L22" s="7" t="inlineStr"/>
    </row>
    <row r="23">
      <c r="B23" s="6" t="inlineStr">
        <is>
          <t>T-018</t>
        </is>
      </c>
      <c r="C23" s="6" t="inlineStr">
        <is>
          <t>HU-08</t>
        </is>
      </c>
      <c r="D23" s="7" t="inlineStr">
        <is>
          <t>Registrar insumos</t>
        </is>
      </c>
      <c r="E23" s="6" t="inlineStr">
        <is>
          <t>Web</t>
        </is>
      </c>
      <c r="F23" s="7" t="inlineStr">
        <is>
          <t>Programar la pantalla web del catálogo para ver, dar de alta y editar insumos</t>
        </is>
      </c>
      <c r="G23" s="6" t="inlineStr">
        <is>
          <t>Fernando</t>
        </is>
      </c>
      <c r="H23" s="6" t="n">
        <v>3</v>
      </c>
      <c r="I23" s="6" t="inlineStr">
        <is>
          <t>Done</t>
        </is>
      </c>
      <c r="J23" s="6" t="inlineStr">
        <is>
          <t>26/10</t>
        </is>
      </c>
      <c r="K23" s="7" t="inlineStr">
        <is>
          <t>pantalla hecha con datos simulados; falta conectarla a la API real</t>
        </is>
      </c>
      <c r="L23" s="7" t="inlineStr"/>
    </row>
    <row r="24">
      <c r="B24" s="6" t="inlineStr">
        <is>
          <t>T-019</t>
        </is>
      </c>
      <c r="C24" s="6" t="inlineStr">
        <is>
          <t>HU-08</t>
        </is>
      </c>
      <c r="D24" s="7" t="inlineStr">
        <is>
          <t>Registrar insumos</t>
        </is>
      </c>
      <c r="E24" s="6" t="inlineStr">
        <is>
          <t>Web</t>
        </is>
      </c>
      <c r="F24" s="7" t="inlineStr">
        <is>
          <t>Conectar la pantalla del catálogo con la API real</t>
        </is>
      </c>
      <c r="G24" s="6" t="inlineStr">
        <is>
          <t>Fernando</t>
        </is>
      </c>
      <c r="H24" s="6" t="n">
        <v>3</v>
      </c>
      <c r="I24" s="6" t="inlineStr">
        <is>
          <t>To Do</t>
        </is>
      </c>
      <c r="J24" s="6" t="inlineStr">
        <is>
          <t>26/10</t>
        </is>
      </c>
      <c r="K24" s="7" t="inlineStr"/>
      <c r="L24" s="7" t="inlineStr">
        <is>
          <t>T-017, T-140</t>
        </is>
      </c>
    </row>
    <row r="25">
      <c r="B25" s="6" t="inlineStr">
        <is>
          <t>T-020</t>
        </is>
      </c>
      <c r="C25" s="6" t="inlineStr">
        <is>
          <t>HU-08</t>
        </is>
      </c>
      <c r="D25" s="7" t="inlineStr">
        <is>
          <t>Registrar insumos</t>
        </is>
      </c>
      <c r="E25" s="6" t="inlineStr">
        <is>
          <t>Pruebas</t>
        </is>
      </c>
      <c r="F25" s="7" t="inlineStr">
        <is>
          <t>Probar HU-08 en el ambiente de pruebas contra sus condiciones finales y aprobar su PR</t>
        </is>
      </c>
      <c r="G25" s="6" t="inlineStr">
        <is>
          <t>Henry</t>
        </is>
      </c>
      <c r="H25" s="6" t="n">
        <v>1</v>
      </c>
      <c r="I25" s="6" t="inlineStr">
        <is>
          <t>To Do</t>
        </is>
      </c>
      <c r="J25" s="6" t="inlineStr">
        <is>
          <t>27/10</t>
        </is>
      </c>
      <c r="K25" s="7" t="inlineStr">
        <is>
          <t>alguien distinto del autor (T1, T5, T8)</t>
        </is>
      </c>
      <c r="L25" s="7" t="inlineStr">
        <is>
          <t>T-017, T-018, T-019, T-139</t>
        </is>
      </c>
    </row>
    <row r="26">
      <c r="B26" s="8" t="inlineStr">
        <is>
          <t>T-021</t>
        </is>
      </c>
      <c r="C26" s="8" t="inlineStr">
        <is>
          <t>HU-08</t>
        </is>
      </c>
      <c r="D26" s="9" t="inlineStr">
        <is>
          <t>Registrar insumos</t>
        </is>
      </c>
      <c r="E26" s="8" t="inlineStr">
        <is>
          <t>Aceptación</t>
        </is>
      </c>
      <c r="F26" s="9" t="inlineStr">
        <is>
          <t>Aceptar HU-08 como Product Owner desde la interfaz y moverla a Done</t>
        </is>
      </c>
      <c r="G26" s="8" t="inlineStr">
        <is>
          <t>Adiel</t>
        </is>
      </c>
      <c r="H26" s="8" t="n">
        <v>0.5</v>
      </c>
      <c r="I26" s="8" t="inlineStr">
        <is>
          <t>To Do</t>
        </is>
      </c>
      <c r="J26" s="8" t="inlineStr">
        <is>
          <t>27/10</t>
        </is>
      </c>
      <c r="K26" s="9" t="inlineStr">
        <is>
          <t>mueve la HU a Done</t>
        </is>
      </c>
      <c r="L26" s="9" t="inlineStr">
        <is>
          <t>T-020</t>
        </is>
      </c>
    </row>
    <row r="27">
      <c r="B27" s="6" t="inlineStr">
        <is>
          <t>T-022</t>
        </is>
      </c>
      <c r="C27" s="6" t="inlineStr">
        <is>
          <t>HU-12</t>
        </is>
      </c>
      <c r="D27" s="7" t="inlineStr">
        <is>
          <t>Loguear usuario</t>
        </is>
      </c>
      <c r="E27" s="6" t="inlineStr">
        <is>
          <t>Backend</t>
        </is>
      </c>
      <c r="F27" s="7" t="inlineStr">
        <is>
          <t>Programar el login con Argon2id, sesión que caduca y se renueva, y bloqueo por intentos fallidos</t>
        </is>
      </c>
      <c r="G27" s="6" t="inlineStr">
        <is>
          <t>Adiel</t>
        </is>
      </c>
      <c r="H27" s="6" t="n">
        <v>3</v>
      </c>
      <c r="I27" s="6" t="inlineStr">
        <is>
          <t>Done</t>
        </is>
      </c>
      <c r="J27" s="6" t="inlineStr">
        <is>
          <t>25/10</t>
        </is>
      </c>
      <c r="K27" s="7" t="inlineStr">
        <is>
          <t>hecho en la API de Adiel (PR #1 fusionado a main), con pruebas</t>
        </is>
      </c>
      <c r="L27" s="7" t="inlineStr"/>
    </row>
    <row r="28">
      <c r="B28" s="6" t="inlineStr">
        <is>
          <t>T-023</t>
        </is>
      </c>
      <c r="C28" s="6" t="inlineStr">
        <is>
          <t>HU-12</t>
        </is>
      </c>
      <c r="D28" s="7" t="inlineStr">
        <is>
          <t>Loguear usuario</t>
        </is>
      </c>
      <c r="E28" s="6" t="inlineStr">
        <is>
          <t>Web</t>
        </is>
      </c>
      <c r="F28" s="7" t="inlineStr">
        <is>
          <t>Programar la pantalla web de login y el manejo de la sesión</t>
        </is>
      </c>
      <c r="G28" s="6" t="inlineStr">
        <is>
          <t>Henry</t>
        </is>
      </c>
      <c r="H28" s="6" t="n">
        <v>3</v>
      </c>
      <c r="I28" s="6" t="inlineStr">
        <is>
          <t>To Do</t>
        </is>
      </c>
      <c r="J28" s="6" t="inlineStr">
        <is>
          <t>26/10</t>
        </is>
      </c>
      <c r="K28" s="7" t="inlineStr"/>
      <c r="L28" s="7" t="inlineStr"/>
    </row>
    <row r="29">
      <c r="B29" s="6" t="inlineStr">
        <is>
          <t>T-024</t>
        </is>
      </c>
      <c r="C29" s="6" t="inlineStr">
        <is>
          <t>HU-12</t>
        </is>
      </c>
      <c r="D29" s="7" t="inlineStr">
        <is>
          <t>Loguear usuario</t>
        </is>
      </c>
      <c r="E29" s="6" t="inlineStr">
        <is>
          <t>Android</t>
        </is>
      </c>
      <c r="F29" s="7" t="inlineStr">
        <is>
          <t>Programar el login en la app del almacenero</t>
        </is>
      </c>
      <c r="G29" s="6" t="inlineStr">
        <is>
          <t>Nicolás</t>
        </is>
      </c>
      <c r="H29" s="6" t="n">
        <v>3</v>
      </c>
      <c r="I29" s="6" t="inlineStr">
        <is>
          <t>To Do</t>
        </is>
      </c>
      <c r="J29" s="6" t="inlineStr">
        <is>
          <t>26/10</t>
        </is>
      </c>
      <c r="K29" s="7" t="inlineStr"/>
      <c r="L29" s="7" t="inlineStr">
        <is>
          <t>T-141</t>
        </is>
      </c>
    </row>
    <row r="30">
      <c r="B30" s="6" t="inlineStr">
        <is>
          <t>T-025</t>
        </is>
      </c>
      <c r="C30" s="6" t="inlineStr">
        <is>
          <t>HU-12</t>
        </is>
      </c>
      <c r="D30" s="7" t="inlineStr">
        <is>
          <t>Loguear usuario</t>
        </is>
      </c>
      <c r="E30" s="6" t="inlineStr">
        <is>
          <t>Pruebas</t>
        </is>
      </c>
      <c r="F30" s="7" t="inlineStr">
        <is>
          <t>Probar HU-12 en el ambiente de pruebas contra sus condiciones finales y aprobar su PR</t>
        </is>
      </c>
      <c r="G30" s="6" t="inlineStr">
        <is>
          <t>Henry</t>
        </is>
      </c>
      <c r="H30" s="6" t="n">
        <v>1</v>
      </c>
      <c r="I30" s="6" t="inlineStr">
        <is>
          <t>To Do</t>
        </is>
      </c>
      <c r="J30" s="6" t="inlineStr">
        <is>
          <t>27/10</t>
        </is>
      </c>
      <c r="K30" s="7" t="inlineStr">
        <is>
          <t>alguien distinto del autor (T1, T5, T8)</t>
        </is>
      </c>
      <c r="L30" s="7" t="inlineStr">
        <is>
          <t>T-022, T-023, T-024, T-139</t>
        </is>
      </c>
    </row>
    <row r="31">
      <c r="B31" s="8" t="inlineStr">
        <is>
          <t>T-026</t>
        </is>
      </c>
      <c r="C31" s="8" t="inlineStr">
        <is>
          <t>HU-12</t>
        </is>
      </c>
      <c r="D31" s="9" t="inlineStr">
        <is>
          <t>Loguear usuario</t>
        </is>
      </c>
      <c r="E31" s="8" t="inlineStr">
        <is>
          <t>Aceptación</t>
        </is>
      </c>
      <c r="F31" s="9" t="inlineStr">
        <is>
          <t>Aceptar HU-12 como Product Owner desde la interfaz y moverla a Done</t>
        </is>
      </c>
      <c r="G31" s="8" t="inlineStr">
        <is>
          <t>Adiel</t>
        </is>
      </c>
      <c r="H31" s="8" t="n">
        <v>0.5</v>
      </c>
      <c r="I31" s="8" t="inlineStr">
        <is>
          <t>To Do</t>
        </is>
      </c>
      <c r="J31" s="8" t="inlineStr">
        <is>
          <t>27/10</t>
        </is>
      </c>
      <c r="K31" s="9" t="inlineStr">
        <is>
          <t>mueve la HU a Done</t>
        </is>
      </c>
      <c r="L31" s="9" t="inlineStr">
        <is>
          <t>T-025</t>
        </is>
      </c>
    </row>
    <row r="32">
      <c r="B32" s="6" t="inlineStr">
        <is>
          <t>T-027</t>
        </is>
      </c>
      <c r="C32" s="6" t="inlineStr">
        <is>
          <t>HU-13</t>
        </is>
      </c>
      <c r="D32" s="7" t="inlineStr">
        <is>
          <t>Asignar roles</t>
        </is>
      </c>
      <c r="E32" s="6" t="inlineStr">
        <is>
          <t>Backend</t>
        </is>
      </c>
      <c r="F32" s="7" t="inlineStr">
        <is>
          <t>Programar los roles y verificar sus permisos en el servidor</t>
        </is>
      </c>
      <c r="G32" s="6" t="inlineStr">
        <is>
          <t>Adiel</t>
        </is>
      </c>
      <c r="H32" s="6" t="n">
        <v>4</v>
      </c>
      <c r="I32" s="6" t="inlineStr">
        <is>
          <t>Done</t>
        </is>
      </c>
      <c r="J32" s="6" t="inlineStr">
        <is>
          <t>25/10</t>
        </is>
      </c>
      <c r="K32" s="7" t="inlineStr">
        <is>
          <t>hecho en la API de Adiel (PR #1 fusionado a main), con pruebas</t>
        </is>
      </c>
      <c r="L32" s="7" t="inlineStr"/>
    </row>
    <row r="33">
      <c r="B33" s="6" t="inlineStr">
        <is>
          <t>T-028</t>
        </is>
      </c>
      <c r="C33" s="6" t="inlineStr">
        <is>
          <t>HU-13</t>
        </is>
      </c>
      <c r="D33" s="7" t="inlineStr">
        <is>
          <t>Asignar roles</t>
        </is>
      </c>
      <c r="E33" s="6" t="inlineStr">
        <is>
          <t>Web</t>
        </is>
      </c>
      <c r="F33" s="7" t="inlineStr">
        <is>
          <t>Programar la pantalla web para crear usuarios, asignar su rol y darlos de baja</t>
        </is>
      </c>
      <c r="G33" s="6" t="inlineStr">
        <is>
          <t>Henry</t>
        </is>
      </c>
      <c r="H33" s="6" t="n">
        <v>4</v>
      </c>
      <c r="I33" s="6" t="inlineStr">
        <is>
          <t>To Do</t>
        </is>
      </c>
      <c r="J33" s="6" t="inlineStr">
        <is>
          <t>26/10</t>
        </is>
      </c>
      <c r="K33" s="7" t="inlineStr"/>
      <c r="L33" s="7" t="inlineStr"/>
    </row>
    <row r="34">
      <c r="B34" s="6" t="inlineStr">
        <is>
          <t>T-029</t>
        </is>
      </c>
      <c r="C34" s="6" t="inlineStr">
        <is>
          <t>HU-13</t>
        </is>
      </c>
      <c r="D34" s="7" t="inlineStr">
        <is>
          <t>Asignar roles</t>
        </is>
      </c>
      <c r="E34" s="6" t="inlineStr">
        <is>
          <t>Pruebas</t>
        </is>
      </c>
      <c r="F34" s="7" t="inlineStr">
        <is>
          <t>Probar HU-13 en el ambiente de pruebas contra sus condiciones finales y aprobar su PR</t>
        </is>
      </c>
      <c r="G34" s="6" t="inlineStr">
        <is>
          <t>Fernando</t>
        </is>
      </c>
      <c r="H34" s="6" t="n">
        <v>1</v>
      </c>
      <c r="I34" s="6" t="inlineStr">
        <is>
          <t>To Do</t>
        </is>
      </c>
      <c r="J34" s="6" t="inlineStr">
        <is>
          <t>27/10</t>
        </is>
      </c>
      <c r="K34" s="7" t="inlineStr">
        <is>
          <t>alguien distinto del autor (T1, T5, T8)</t>
        </is>
      </c>
      <c r="L34" s="7" t="inlineStr">
        <is>
          <t>T-027, T-028, T-139</t>
        </is>
      </c>
    </row>
    <row r="35">
      <c r="B35" s="8" t="inlineStr">
        <is>
          <t>T-030</t>
        </is>
      </c>
      <c r="C35" s="8" t="inlineStr">
        <is>
          <t>HU-13</t>
        </is>
      </c>
      <c r="D35" s="9" t="inlineStr">
        <is>
          <t>Asignar roles</t>
        </is>
      </c>
      <c r="E35" s="8" t="inlineStr">
        <is>
          <t>Aceptación</t>
        </is>
      </c>
      <c r="F35" s="9" t="inlineStr">
        <is>
          <t>Aceptar HU-13 como Product Owner desde la interfaz y moverla a Done</t>
        </is>
      </c>
      <c r="G35" s="8" t="inlineStr">
        <is>
          <t>Adiel</t>
        </is>
      </c>
      <c r="H35" s="8" t="n">
        <v>0.5</v>
      </c>
      <c r="I35" s="8" t="inlineStr">
        <is>
          <t>To Do</t>
        </is>
      </c>
      <c r="J35" s="8" t="inlineStr">
        <is>
          <t>27/10</t>
        </is>
      </c>
      <c r="K35" s="9" t="inlineStr">
        <is>
          <t>mueve la HU a Done</t>
        </is>
      </c>
      <c r="L35" s="9" t="inlineStr">
        <is>
          <t>T-029</t>
        </is>
      </c>
    </row>
    <row r="36">
      <c r="B36" s="6" t="inlineStr">
        <is>
          <t>T-031</t>
        </is>
      </c>
      <c r="C36" s="6" t="inlineStr">
        <is>
          <t>HU-14</t>
        </is>
      </c>
      <c r="D36" s="7" t="inlineStr">
        <is>
          <t>Asignar usuarios a obras</t>
        </is>
      </c>
      <c r="E36" s="6" t="inlineStr">
        <is>
          <t>Backend</t>
        </is>
      </c>
      <c r="F36" s="7" t="inlineStr">
        <is>
          <t>Programar el endpoint para asignar usuarios a obras</t>
        </is>
      </c>
      <c r="G36" s="6" t="inlineStr">
        <is>
          <t>Adiel</t>
        </is>
      </c>
      <c r="H36" s="6" t="n">
        <v>2</v>
      </c>
      <c r="I36" s="6" t="inlineStr">
        <is>
          <t>Done</t>
        </is>
      </c>
      <c r="J36" s="6" t="inlineStr">
        <is>
          <t>25/10</t>
        </is>
      </c>
      <c r="K36" s="7" t="inlineStr">
        <is>
          <t>hecho en la API de Adiel (PR #1 fusionado a main), con pruebas</t>
        </is>
      </c>
      <c r="L36" s="7" t="inlineStr"/>
    </row>
    <row r="37">
      <c r="B37" s="6" t="inlineStr">
        <is>
          <t>T-032</t>
        </is>
      </c>
      <c r="C37" s="6" t="inlineStr">
        <is>
          <t>HU-14</t>
        </is>
      </c>
      <c r="D37" s="7" t="inlineStr">
        <is>
          <t>Asignar usuarios a obras</t>
        </is>
      </c>
      <c r="E37" s="6" t="inlineStr">
        <is>
          <t>Web</t>
        </is>
      </c>
      <c r="F37" s="7" t="inlineStr">
        <is>
          <t>Programar la pantalla web para asignar usuarios a obras</t>
        </is>
      </c>
      <c r="G37" s="6" t="inlineStr">
        <is>
          <t>Henry</t>
        </is>
      </c>
      <c r="H37" s="6" t="n">
        <v>2</v>
      </c>
      <c r="I37" s="6" t="inlineStr">
        <is>
          <t>To Do</t>
        </is>
      </c>
      <c r="J37" s="6" t="inlineStr">
        <is>
          <t>26/10</t>
        </is>
      </c>
      <c r="K37" s="7" t="inlineStr"/>
      <c r="L37" s="7" t="inlineStr"/>
    </row>
    <row r="38">
      <c r="B38" s="6" t="inlineStr">
        <is>
          <t>T-033</t>
        </is>
      </c>
      <c r="C38" s="6" t="inlineStr">
        <is>
          <t>HU-14</t>
        </is>
      </c>
      <c r="D38" s="7" t="inlineStr">
        <is>
          <t>Asignar usuarios a obras</t>
        </is>
      </c>
      <c r="E38" s="6" t="inlineStr">
        <is>
          <t>Pruebas</t>
        </is>
      </c>
      <c r="F38" s="7" t="inlineStr">
        <is>
          <t>Probar HU-14 en el ambiente de pruebas contra sus condiciones finales y aprobar su PR</t>
        </is>
      </c>
      <c r="G38" s="6" t="inlineStr">
        <is>
          <t>Fernando</t>
        </is>
      </c>
      <c r="H38" s="6" t="n">
        <v>1</v>
      </c>
      <c r="I38" s="6" t="inlineStr">
        <is>
          <t>To Do</t>
        </is>
      </c>
      <c r="J38" s="6" t="inlineStr">
        <is>
          <t>27/10</t>
        </is>
      </c>
      <c r="K38" s="7" t="inlineStr">
        <is>
          <t>alguien distinto del autor (T1, T5, T8)</t>
        </is>
      </c>
      <c r="L38" s="7" t="inlineStr">
        <is>
          <t>T-031, T-032, T-139</t>
        </is>
      </c>
    </row>
    <row r="39">
      <c r="B39" s="8" t="inlineStr">
        <is>
          <t>T-034</t>
        </is>
      </c>
      <c r="C39" s="8" t="inlineStr">
        <is>
          <t>HU-14</t>
        </is>
      </c>
      <c r="D39" s="9" t="inlineStr">
        <is>
          <t>Asignar usuarios a obras</t>
        </is>
      </c>
      <c r="E39" s="8" t="inlineStr">
        <is>
          <t>Aceptación</t>
        </is>
      </c>
      <c r="F39" s="9" t="inlineStr">
        <is>
          <t>Aceptar HU-14 como Product Owner desde la interfaz y moverla a Done</t>
        </is>
      </c>
      <c r="G39" s="8" t="inlineStr">
        <is>
          <t>Adiel</t>
        </is>
      </c>
      <c r="H39" s="8" t="n">
        <v>0.5</v>
      </c>
      <c r="I39" s="8" t="inlineStr">
        <is>
          <t>To Do</t>
        </is>
      </c>
      <c r="J39" s="8" t="inlineStr">
        <is>
          <t>27/10</t>
        </is>
      </c>
      <c r="K39" s="9" t="inlineStr">
        <is>
          <t>mueve la HU a Done</t>
        </is>
      </c>
      <c r="L39" s="9" t="inlineStr">
        <is>
          <t>T-033</t>
        </is>
      </c>
    </row>
    <row r="40">
      <c r="B40" s="6" t="inlineStr">
        <is>
          <t>T-035</t>
        </is>
      </c>
      <c r="C40" s="6" t="inlineStr">
        <is>
          <t>HU-15</t>
        </is>
      </c>
      <c r="D40" s="7" t="inlineStr">
        <is>
          <t>Autorizar celular de la obra</t>
        </is>
      </c>
      <c r="E40" s="6" t="inlineStr">
        <is>
          <t>Backend</t>
        </is>
      </c>
      <c r="F40" s="7" t="inlineStr">
        <is>
          <t>Programar el registro de dispositivos autorizados por obra (máximo dos) y el rechazo del no autorizado</t>
        </is>
      </c>
      <c r="G40" s="6" t="inlineStr">
        <is>
          <t>Adiel</t>
        </is>
      </c>
      <c r="H40" s="6" t="n">
        <v>3</v>
      </c>
      <c r="I40" s="6" t="inlineStr">
        <is>
          <t>Done</t>
        </is>
      </c>
      <c r="J40" s="6" t="inlineStr">
        <is>
          <t>25/10</t>
        </is>
      </c>
      <c r="K40" s="7" t="inlineStr">
        <is>
          <t>hecho en la API de Adiel (PR #1 fusionado a main), con pruebas</t>
        </is>
      </c>
      <c r="L40" s="7" t="inlineStr"/>
    </row>
    <row r="41">
      <c r="B41" s="6" t="inlineStr">
        <is>
          <t>T-036</t>
        </is>
      </c>
      <c r="C41" s="6" t="inlineStr">
        <is>
          <t>HU-15</t>
        </is>
      </c>
      <c r="D41" s="7" t="inlineStr">
        <is>
          <t>Autorizar celular de la obra</t>
        </is>
      </c>
      <c r="E41" s="6" t="inlineStr">
        <is>
          <t>Android</t>
        </is>
      </c>
      <c r="F41" s="7" t="inlineStr">
        <is>
          <t>Programar en la app la generación del código del dispositivo en la primera instalación</t>
        </is>
      </c>
      <c r="G41" s="6" t="inlineStr">
        <is>
          <t>Nicolás</t>
        </is>
      </c>
      <c r="H41" s="6" t="n">
        <v>3</v>
      </c>
      <c r="I41" s="6" t="inlineStr">
        <is>
          <t>To Do</t>
        </is>
      </c>
      <c r="J41" s="6" t="inlineStr">
        <is>
          <t>26/10</t>
        </is>
      </c>
      <c r="K41" s="7" t="inlineStr"/>
      <c r="L41" s="7" t="inlineStr">
        <is>
          <t>T-141</t>
        </is>
      </c>
    </row>
    <row r="42">
      <c r="B42" s="6" t="inlineStr">
        <is>
          <t>T-037</t>
        </is>
      </c>
      <c r="C42" s="6" t="inlineStr">
        <is>
          <t>HU-15</t>
        </is>
      </c>
      <c r="D42" s="7" t="inlineStr">
        <is>
          <t>Autorizar celular de la obra</t>
        </is>
      </c>
      <c r="E42" s="6" t="inlineStr">
        <is>
          <t>Web</t>
        </is>
      </c>
      <c r="F42" s="7" t="inlineStr">
        <is>
          <t>Programar la pantalla web para autorizar o cambiar el celular de la obra</t>
        </is>
      </c>
      <c r="G42" s="6" t="inlineStr">
        <is>
          <t>Henry</t>
        </is>
      </c>
      <c r="H42" s="6" t="n">
        <v>3</v>
      </c>
      <c r="I42" s="6" t="inlineStr">
        <is>
          <t>To Do</t>
        </is>
      </c>
      <c r="J42" s="6" t="inlineStr">
        <is>
          <t>26/10</t>
        </is>
      </c>
      <c r="K42" s="7" t="inlineStr"/>
      <c r="L42" s="7" t="inlineStr"/>
    </row>
    <row r="43">
      <c r="B43" s="6" t="inlineStr">
        <is>
          <t>T-038</t>
        </is>
      </c>
      <c r="C43" s="6" t="inlineStr">
        <is>
          <t>HU-15</t>
        </is>
      </c>
      <c r="D43" s="7" t="inlineStr">
        <is>
          <t>Autorizar celular de la obra</t>
        </is>
      </c>
      <c r="E43" s="6" t="inlineStr">
        <is>
          <t>Pruebas</t>
        </is>
      </c>
      <c r="F43" s="7" t="inlineStr">
        <is>
          <t>Probar HU-15 en el ambiente de pruebas contra sus condiciones finales y aprobar su PR</t>
        </is>
      </c>
      <c r="G43" s="6" t="inlineStr">
        <is>
          <t>Henry</t>
        </is>
      </c>
      <c r="H43" s="6" t="n">
        <v>1</v>
      </c>
      <c r="I43" s="6" t="inlineStr">
        <is>
          <t>To Do</t>
        </is>
      </c>
      <c r="J43" s="6" t="inlineStr">
        <is>
          <t>27/10</t>
        </is>
      </c>
      <c r="K43" s="7" t="inlineStr">
        <is>
          <t>alguien distinto del autor (T1, T5, T8)</t>
        </is>
      </c>
      <c r="L43" s="7" t="inlineStr">
        <is>
          <t>T-035, T-036, T-037, T-139</t>
        </is>
      </c>
    </row>
    <row r="44">
      <c r="B44" s="8" t="inlineStr">
        <is>
          <t>T-039</t>
        </is>
      </c>
      <c r="C44" s="8" t="inlineStr">
        <is>
          <t>HU-15</t>
        </is>
      </c>
      <c r="D44" s="9" t="inlineStr">
        <is>
          <t>Autorizar celular de la obra</t>
        </is>
      </c>
      <c r="E44" s="8" t="inlineStr">
        <is>
          <t>Aceptación</t>
        </is>
      </c>
      <c r="F44" s="9" t="inlineStr">
        <is>
          <t>Aceptar HU-15 como Product Owner desde la interfaz y moverla a Done</t>
        </is>
      </c>
      <c r="G44" s="8" t="inlineStr">
        <is>
          <t>Adiel</t>
        </is>
      </c>
      <c r="H44" s="8" t="n">
        <v>0.5</v>
      </c>
      <c r="I44" s="8" t="inlineStr">
        <is>
          <t>To Do</t>
        </is>
      </c>
      <c r="J44" s="8" t="inlineStr">
        <is>
          <t>27/10</t>
        </is>
      </c>
      <c r="K44" s="9" t="inlineStr">
        <is>
          <t>mueve la HU a Done</t>
        </is>
      </c>
      <c r="L44" s="9" t="inlineStr">
        <is>
          <t>T-038</t>
        </is>
      </c>
    </row>
    <row r="45">
      <c r="B45" s="6" t="inlineStr">
        <is>
          <t>T-040</t>
        </is>
      </c>
      <c r="C45" s="6" t="inlineStr">
        <is>
          <t>HU-16</t>
        </is>
      </c>
      <c r="D45" s="7" t="inlineStr">
        <is>
          <t>Importar precios unitarios</t>
        </is>
      </c>
      <c r="E45" s="6" t="inlineStr">
        <is>
          <t>Integraciones</t>
        </is>
      </c>
      <c r="F45" s="7" t="inlineStr">
        <is>
          <t>Programar el lector del PDF del APU (371 páginas), identificando la partida por código y descripción</t>
        </is>
      </c>
      <c r="G45" s="6" t="inlineStr">
        <is>
          <t>Fernando</t>
        </is>
      </c>
      <c r="H45" s="6" t="n">
        <v>5</v>
      </c>
      <c r="I45" s="6" t="inlineStr">
        <is>
          <t>Doing</t>
        </is>
      </c>
      <c r="J45" s="6" t="inlineStr">
        <is>
          <t>25/10</t>
        </is>
      </c>
      <c r="K45" s="7" t="inlineStr">
        <is>
          <t>extracción ya probada: 6 902 filas, 1 217 partidas</t>
        </is>
      </c>
      <c r="L45" s="7" t="inlineStr"/>
    </row>
    <row r="46">
      <c r="B46" s="6" t="inlineStr">
        <is>
          <t>T-041</t>
        </is>
      </c>
      <c r="C46" s="6" t="inlineStr">
        <is>
          <t>HU-16</t>
        </is>
      </c>
      <c r="D46" s="7" t="inlineStr">
        <is>
          <t>Importar precios unitarios</t>
        </is>
      </c>
      <c r="E46" s="6" t="inlineStr">
        <is>
          <t>Backend</t>
        </is>
      </c>
      <c r="F46" s="7" t="inlineStr">
        <is>
          <t>Crear la tabla partida–recurso y programar el endpoint que la guarda</t>
        </is>
      </c>
      <c r="G46" s="6" t="inlineStr">
        <is>
          <t>Adiel</t>
        </is>
      </c>
      <c r="H46" s="6" t="n">
        <v>5</v>
      </c>
      <c r="I46" s="6" t="inlineStr">
        <is>
          <t>To Do</t>
        </is>
      </c>
      <c r="J46" s="6" t="inlineStr">
        <is>
          <t>25/10</t>
        </is>
      </c>
      <c r="K46" s="7" t="inlineStr"/>
      <c r="L46" s="7" t="inlineStr"/>
    </row>
    <row r="47">
      <c r="B47" s="6" t="inlineStr">
        <is>
          <t>T-042</t>
        </is>
      </c>
      <c r="C47" s="6" t="inlineStr">
        <is>
          <t>HU-16</t>
        </is>
      </c>
      <c r="D47" s="7" t="inlineStr">
        <is>
          <t>Importar precios unitarios</t>
        </is>
      </c>
      <c r="E47" s="6" t="inlineStr">
        <is>
          <t>Web</t>
        </is>
      </c>
      <c r="F47" s="7" t="inlineStr">
        <is>
          <t>Programar la pantalla web para importar el APU</t>
        </is>
      </c>
      <c r="G47" s="6" t="inlineStr">
        <is>
          <t>Fernando</t>
        </is>
      </c>
      <c r="H47" s="6" t="n">
        <v>5</v>
      </c>
      <c r="I47" s="6" t="inlineStr">
        <is>
          <t>To Do</t>
        </is>
      </c>
      <c r="J47" s="6" t="inlineStr">
        <is>
          <t>26/10</t>
        </is>
      </c>
      <c r="K47" s="7" t="inlineStr"/>
      <c r="L47" s="7" t="inlineStr"/>
    </row>
    <row r="48">
      <c r="B48" s="6" t="inlineStr">
        <is>
          <t>T-043</t>
        </is>
      </c>
      <c r="C48" s="6" t="inlineStr">
        <is>
          <t>HU-16</t>
        </is>
      </c>
      <c r="D48" s="7" t="inlineStr">
        <is>
          <t>Importar precios unitarios</t>
        </is>
      </c>
      <c r="E48" s="6" t="inlineStr">
        <is>
          <t>Pruebas</t>
        </is>
      </c>
      <c r="F48" s="7" t="inlineStr">
        <is>
          <t>Probar HU-16 en el ambiente de pruebas contra sus condiciones finales y aprobar su PR</t>
        </is>
      </c>
      <c r="G48" s="6" t="inlineStr">
        <is>
          <t>Henry</t>
        </is>
      </c>
      <c r="H48" s="6" t="n">
        <v>1</v>
      </c>
      <c r="I48" s="6" t="inlineStr">
        <is>
          <t>To Do</t>
        </is>
      </c>
      <c r="J48" s="6" t="inlineStr">
        <is>
          <t>27/10</t>
        </is>
      </c>
      <c r="K48" s="7" t="inlineStr">
        <is>
          <t>alguien distinto del autor (T1, T5, T8)</t>
        </is>
      </c>
      <c r="L48" s="7" t="inlineStr">
        <is>
          <t>T-040, T-041, T-042, T-139</t>
        </is>
      </c>
    </row>
    <row r="49">
      <c r="B49" s="8" t="inlineStr">
        <is>
          <t>T-044</t>
        </is>
      </c>
      <c r="C49" s="8" t="inlineStr">
        <is>
          <t>HU-16</t>
        </is>
      </c>
      <c r="D49" s="9" t="inlineStr">
        <is>
          <t>Importar precios unitarios</t>
        </is>
      </c>
      <c r="E49" s="8" t="inlineStr">
        <is>
          <t>Aceptación</t>
        </is>
      </c>
      <c r="F49" s="9" t="inlineStr">
        <is>
          <t>Aceptar HU-16 como Product Owner desde la interfaz y moverla a Done</t>
        </is>
      </c>
      <c r="G49" s="8" t="inlineStr">
        <is>
          <t>Adiel</t>
        </is>
      </c>
      <c r="H49" s="8" t="n">
        <v>0.5</v>
      </c>
      <c r="I49" s="8" t="inlineStr">
        <is>
          <t>To Do</t>
        </is>
      </c>
      <c r="J49" s="8" t="inlineStr">
        <is>
          <t>27/10</t>
        </is>
      </c>
      <c r="K49" s="9" t="inlineStr">
        <is>
          <t>mueve la HU a Done</t>
        </is>
      </c>
      <c r="L49" s="9" t="inlineStr">
        <is>
          <t>T-043</t>
        </is>
      </c>
    </row>
    <row r="50">
      <c r="B50" s="6" t="inlineStr">
        <is>
          <t>T-045</t>
        </is>
      </c>
      <c r="C50" s="6" t="inlineStr">
        <is>
          <t>HU-17</t>
        </is>
      </c>
      <c r="D50" s="7" t="inlineStr">
        <is>
          <t>Convertir unidades (kg a varillas)</t>
        </is>
      </c>
      <c r="E50" s="6" t="inlineStr">
        <is>
          <t>Backend</t>
        </is>
      </c>
      <c r="F50" s="7" t="inlineStr">
        <is>
          <t>Programar el registro del factor de conversión con su fecha y su usuario</t>
        </is>
      </c>
      <c r="G50" s="6" t="inlineStr">
        <is>
          <t>Adiel</t>
        </is>
      </c>
      <c r="H50" s="6" t="n">
        <v>2</v>
      </c>
      <c r="I50" s="6" t="inlineStr">
        <is>
          <t>To Do</t>
        </is>
      </c>
      <c r="J50" s="6" t="inlineStr">
        <is>
          <t>25/10</t>
        </is>
      </c>
      <c r="K50" s="7" t="inlineStr"/>
      <c r="L50" s="7" t="inlineStr"/>
    </row>
    <row r="51">
      <c r="B51" s="6" t="inlineStr">
        <is>
          <t>T-046</t>
        </is>
      </c>
      <c r="C51" s="6" t="inlineStr">
        <is>
          <t>HU-17</t>
        </is>
      </c>
      <c r="D51" s="7" t="inlineStr">
        <is>
          <t>Convertir unidades (kg a varillas)</t>
        </is>
      </c>
      <c r="E51" s="6" t="inlineStr">
        <is>
          <t>Web</t>
        </is>
      </c>
      <c r="F51" s="7" t="inlineStr">
        <is>
          <t>Programar el formulario web del factor de conversión (kg ↔ varillas)</t>
        </is>
      </c>
      <c r="G51" s="6" t="inlineStr">
        <is>
          <t>Fernando</t>
        </is>
      </c>
      <c r="H51" s="6" t="n">
        <v>2</v>
      </c>
      <c r="I51" s="6" t="inlineStr">
        <is>
          <t>To Do</t>
        </is>
      </c>
      <c r="J51" s="6" t="inlineStr">
        <is>
          <t>26/10</t>
        </is>
      </c>
      <c r="K51" s="7" t="inlineStr"/>
      <c r="L51" s="7" t="inlineStr"/>
    </row>
    <row r="52">
      <c r="B52" s="6" t="inlineStr">
        <is>
          <t>T-047</t>
        </is>
      </c>
      <c r="C52" s="6" t="inlineStr">
        <is>
          <t>HU-17</t>
        </is>
      </c>
      <c r="D52" s="7" t="inlineStr">
        <is>
          <t>Convertir unidades (kg a varillas)</t>
        </is>
      </c>
      <c r="E52" s="6" t="inlineStr">
        <is>
          <t>Pruebas</t>
        </is>
      </c>
      <c r="F52" s="7" t="inlineStr">
        <is>
          <t>Probar HU-17 en el ambiente de pruebas contra sus condiciones finales y aprobar su PR</t>
        </is>
      </c>
      <c r="G52" s="6" t="inlineStr">
        <is>
          <t>Henry</t>
        </is>
      </c>
      <c r="H52" s="6" t="n">
        <v>1</v>
      </c>
      <c r="I52" s="6" t="inlineStr">
        <is>
          <t>To Do</t>
        </is>
      </c>
      <c r="J52" s="6" t="inlineStr">
        <is>
          <t>27/10</t>
        </is>
      </c>
      <c r="K52" s="7" t="inlineStr">
        <is>
          <t>alguien distinto del autor (T1, T5, T8)</t>
        </is>
      </c>
      <c r="L52" s="7" t="inlineStr">
        <is>
          <t>T-045, T-046, T-139</t>
        </is>
      </c>
    </row>
    <row r="53">
      <c r="B53" s="8" t="inlineStr">
        <is>
          <t>T-048</t>
        </is>
      </c>
      <c r="C53" s="8" t="inlineStr">
        <is>
          <t>HU-17</t>
        </is>
      </c>
      <c r="D53" s="9" t="inlineStr">
        <is>
          <t>Convertir unidades (kg a varillas)</t>
        </is>
      </c>
      <c r="E53" s="8" t="inlineStr">
        <is>
          <t>Aceptación</t>
        </is>
      </c>
      <c r="F53" s="9" t="inlineStr">
        <is>
          <t>Aceptar HU-17 como Product Owner desde la interfaz y moverla a Done</t>
        </is>
      </c>
      <c r="G53" s="8" t="inlineStr">
        <is>
          <t>Adiel</t>
        </is>
      </c>
      <c r="H53" s="8" t="n">
        <v>0.5</v>
      </c>
      <c r="I53" s="8" t="inlineStr">
        <is>
          <t>To Do</t>
        </is>
      </c>
      <c r="J53" s="8" t="inlineStr">
        <is>
          <t>27/10</t>
        </is>
      </c>
      <c r="K53" s="9" t="inlineStr">
        <is>
          <t>mueve la HU a Done</t>
        </is>
      </c>
      <c r="L53" s="9" t="inlineStr">
        <is>
          <t>T-047</t>
        </is>
      </c>
    </row>
    <row r="54">
      <c r="B54" s="6" t="inlineStr">
        <is>
          <t>T-049</t>
        </is>
      </c>
      <c r="C54" s="6" t="inlineStr">
        <is>
          <t>HU-19</t>
        </is>
      </c>
      <c r="D54" s="7" t="inlineStr">
        <is>
          <t>Importar requerimiento de la obra</t>
        </is>
      </c>
      <c r="E54" s="6" t="inlineStr">
        <is>
          <t>Integraciones</t>
        </is>
      </c>
      <c r="F54" s="7" t="inlineStr">
        <is>
          <t>Adaptar el lector de la Relación de insumos para obtener el requerimiento total</t>
        </is>
      </c>
      <c r="G54" s="6" t="inlineStr">
        <is>
          <t>Fernando</t>
        </is>
      </c>
      <c r="H54" s="6" t="n">
        <v>3</v>
      </c>
      <c r="I54" s="6" t="inlineStr">
        <is>
          <t>To Do</t>
        </is>
      </c>
      <c r="J54" s="6" t="inlineStr">
        <is>
          <t>25/10</t>
        </is>
      </c>
      <c r="K54" s="7" t="inlineStr">
        <is>
          <t>el lector ya trae cantidades y precios</t>
        </is>
      </c>
      <c r="L54" s="7" t="inlineStr"/>
    </row>
    <row r="55">
      <c r="B55" s="6" t="inlineStr">
        <is>
          <t>T-050</t>
        </is>
      </c>
      <c r="C55" s="6" t="inlineStr">
        <is>
          <t>HU-19</t>
        </is>
      </c>
      <c r="D55" s="7" t="inlineStr">
        <is>
          <t>Importar requerimiento de la obra</t>
        </is>
      </c>
      <c r="E55" s="6" t="inlineStr">
        <is>
          <t>Backend</t>
        </is>
      </c>
      <c r="F55" s="7" t="inlineStr">
        <is>
          <t>Programar el guardado del requerimiento total y de sus ajustes con motivo</t>
        </is>
      </c>
      <c r="G55" s="6" t="inlineStr">
        <is>
          <t>Adiel</t>
        </is>
      </c>
      <c r="H55" s="6" t="n">
        <v>3</v>
      </c>
      <c r="I55" s="6" t="inlineStr">
        <is>
          <t>To Do</t>
        </is>
      </c>
      <c r="J55" s="6" t="inlineStr">
        <is>
          <t>25/10</t>
        </is>
      </c>
      <c r="K55" s="7" t="inlineStr"/>
      <c r="L55" s="7" t="inlineStr"/>
    </row>
    <row r="56">
      <c r="B56" s="6" t="inlineStr">
        <is>
          <t>T-051</t>
        </is>
      </c>
      <c r="C56" s="6" t="inlineStr">
        <is>
          <t>HU-19</t>
        </is>
      </c>
      <c r="D56" s="7" t="inlineStr">
        <is>
          <t>Importar requerimiento de la obra</t>
        </is>
      </c>
      <c r="E56" s="6" t="inlineStr">
        <is>
          <t>Web</t>
        </is>
      </c>
      <c r="F56" s="7" t="inlineStr">
        <is>
          <t>Programar la pantalla web del requerimiento total</t>
        </is>
      </c>
      <c r="G56" s="6" t="inlineStr">
        <is>
          <t>Fernando</t>
        </is>
      </c>
      <c r="H56" s="6" t="n">
        <v>3</v>
      </c>
      <c r="I56" s="6" t="inlineStr">
        <is>
          <t>To Do</t>
        </is>
      </c>
      <c r="J56" s="6" t="inlineStr">
        <is>
          <t>26/10</t>
        </is>
      </c>
      <c r="K56" s="7" t="inlineStr"/>
      <c r="L56" s="7" t="inlineStr"/>
    </row>
    <row r="57">
      <c r="B57" s="6" t="inlineStr">
        <is>
          <t>T-052</t>
        </is>
      </c>
      <c r="C57" s="6" t="inlineStr">
        <is>
          <t>HU-19</t>
        </is>
      </c>
      <c r="D57" s="7" t="inlineStr">
        <is>
          <t>Importar requerimiento de la obra</t>
        </is>
      </c>
      <c r="E57" s="6" t="inlineStr">
        <is>
          <t>Pruebas</t>
        </is>
      </c>
      <c r="F57" s="7" t="inlineStr">
        <is>
          <t>Probar HU-19 en el ambiente de pruebas contra sus condiciones finales y aprobar su PR</t>
        </is>
      </c>
      <c r="G57" s="6" t="inlineStr">
        <is>
          <t>Henry</t>
        </is>
      </c>
      <c r="H57" s="6" t="n">
        <v>1</v>
      </c>
      <c r="I57" s="6" t="inlineStr">
        <is>
          <t>To Do</t>
        </is>
      </c>
      <c r="J57" s="6" t="inlineStr">
        <is>
          <t>27/10</t>
        </is>
      </c>
      <c r="K57" s="7" t="inlineStr">
        <is>
          <t>alguien distinto del autor (T1, T5, T8)</t>
        </is>
      </c>
      <c r="L57" s="7" t="inlineStr">
        <is>
          <t>T-049, T-050, T-051, T-139</t>
        </is>
      </c>
    </row>
    <row r="58">
      <c r="B58" s="8" t="inlineStr">
        <is>
          <t>T-053</t>
        </is>
      </c>
      <c r="C58" s="8" t="inlineStr">
        <is>
          <t>HU-19</t>
        </is>
      </c>
      <c r="D58" s="9" t="inlineStr">
        <is>
          <t>Importar requerimiento de la obra</t>
        </is>
      </c>
      <c r="E58" s="8" t="inlineStr">
        <is>
          <t>Aceptación</t>
        </is>
      </c>
      <c r="F58" s="9" t="inlineStr">
        <is>
          <t>Aceptar HU-19 como Product Owner desde la interfaz y moverla a Done</t>
        </is>
      </c>
      <c r="G58" s="8" t="inlineStr">
        <is>
          <t>Adiel</t>
        </is>
      </c>
      <c r="H58" s="8" t="n">
        <v>0.5</v>
      </c>
      <c r="I58" s="8" t="inlineStr">
        <is>
          <t>To Do</t>
        </is>
      </c>
      <c r="J58" s="8" t="inlineStr">
        <is>
          <t>27/10</t>
        </is>
      </c>
      <c r="K58" s="9" t="inlineStr">
        <is>
          <t>mueve la HU a Done</t>
        </is>
      </c>
      <c r="L58" s="9" t="inlineStr">
        <is>
          <t>T-052</t>
        </is>
      </c>
    </row>
    <row r="59">
      <c r="B59" s="6" t="inlineStr">
        <is>
          <t>T-054</t>
        </is>
      </c>
      <c r="C59" s="6" t="inlineStr">
        <is>
          <t>HU-23</t>
        </is>
      </c>
      <c r="D59" s="7" t="inlineStr">
        <is>
          <t>Consultar cuánto se compró y consumió</t>
        </is>
      </c>
      <c r="E59" s="6" t="inlineStr">
        <is>
          <t>Backend</t>
        </is>
      </c>
      <c r="F59" s="7" t="inlineStr">
        <is>
          <t>Programar la consulta de avance: requerido, comprado, recibido y consumido por insumo</t>
        </is>
      </c>
      <c r="G59" s="6" t="inlineStr">
        <is>
          <t>Adiel</t>
        </is>
      </c>
      <c r="H59" s="6" t="n">
        <v>3</v>
      </c>
      <c r="I59" s="6" t="inlineStr">
        <is>
          <t>To Do</t>
        </is>
      </c>
      <c r="J59" s="6" t="inlineStr">
        <is>
          <t>25/10</t>
        </is>
      </c>
      <c r="K59" s="7" t="inlineStr"/>
      <c r="L59" s="7" t="inlineStr"/>
    </row>
    <row r="60">
      <c r="B60" s="6" t="inlineStr">
        <is>
          <t>T-055</t>
        </is>
      </c>
      <c r="C60" s="6" t="inlineStr">
        <is>
          <t>HU-23</t>
        </is>
      </c>
      <c r="D60" s="7" t="inlineStr">
        <is>
          <t>Consultar cuánto se compró y consumió</t>
        </is>
      </c>
      <c r="E60" s="6" t="inlineStr">
        <is>
          <t>Web</t>
        </is>
      </c>
      <c r="F60" s="7" t="inlineStr">
        <is>
          <t>Programar la pantalla web de avance de compra y consumo</t>
        </is>
      </c>
      <c r="G60" s="6" t="inlineStr">
        <is>
          <t>Fernando</t>
        </is>
      </c>
      <c r="H60" s="6" t="n">
        <v>3</v>
      </c>
      <c r="I60" s="6" t="inlineStr">
        <is>
          <t>Done</t>
        </is>
      </c>
      <c r="J60" s="6" t="inlineStr">
        <is>
          <t>26/10</t>
        </is>
      </c>
      <c r="K60" s="7" t="inlineStr">
        <is>
          <t>pantalla hecha con datos simulados; falta conectarla a la API real</t>
        </is>
      </c>
      <c r="L60" s="7" t="inlineStr"/>
    </row>
    <row r="61">
      <c r="B61" s="6" t="inlineStr">
        <is>
          <t>T-056</t>
        </is>
      </c>
      <c r="C61" s="6" t="inlineStr">
        <is>
          <t>HU-23</t>
        </is>
      </c>
      <c r="D61" s="7" t="inlineStr">
        <is>
          <t>Consultar cuánto se compró y consumió</t>
        </is>
      </c>
      <c r="E61" s="6" t="inlineStr">
        <is>
          <t>Web</t>
        </is>
      </c>
      <c r="F61" s="7" t="inlineStr">
        <is>
          <t>Conectar la pantalla de avance con la API real</t>
        </is>
      </c>
      <c r="G61" s="6" t="inlineStr">
        <is>
          <t>Fernando</t>
        </is>
      </c>
      <c r="H61" s="6" t="n">
        <v>3</v>
      </c>
      <c r="I61" s="6" t="inlineStr">
        <is>
          <t>To Do</t>
        </is>
      </c>
      <c r="J61" s="6" t="inlineStr">
        <is>
          <t>26/10</t>
        </is>
      </c>
      <c r="K61" s="7" t="inlineStr"/>
      <c r="L61" s="7" t="inlineStr">
        <is>
          <t>T-054, T-140</t>
        </is>
      </c>
    </row>
    <row r="62">
      <c r="B62" s="6" t="inlineStr">
        <is>
          <t>T-057</t>
        </is>
      </c>
      <c r="C62" s="6" t="inlineStr">
        <is>
          <t>HU-23</t>
        </is>
      </c>
      <c r="D62" s="7" t="inlineStr">
        <is>
          <t>Consultar cuánto se compró y consumió</t>
        </is>
      </c>
      <c r="E62" s="6" t="inlineStr">
        <is>
          <t>Pruebas</t>
        </is>
      </c>
      <c r="F62" s="7" t="inlineStr">
        <is>
          <t>Probar HU-23 en el ambiente de pruebas contra sus condiciones finales y aprobar su PR</t>
        </is>
      </c>
      <c r="G62" s="6" t="inlineStr">
        <is>
          <t>Henry</t>
        </is>
      </c>
      <c r="H62" s="6" t="n">
        <v>1</v>
      </c>
      <c r="I62" s="6" t="inlineStr">
        <is>
          <t>To Do</t>
        </is>
      </c>
      <c r="J62" s="6" t="inlineStr">
        <is>
          <t>27/10</t>
        </is>
      </c>
      <c r="K62" s="7" t="inlineStr">
        <is>
          <t>alguien distinto del autor (T1, T5, T8)</t>
        </is>
      </c>
      <c r="L62" s="7" t="inlineStr">
        <is>
          <t>T-054, T-055, T-056, T-139</t>
        </is>
      </c>
    </row>
    <row r="63">
      <c r="B63" s="8" t="inlineStr">
        <is>
          <t>T-058</t>
        </is>
      </c>
      <c r="C63" s="8" t="inlineStr">
        <is>
          <t>HU-23</t>
        </is>
      </c>
      <c r="D63" s="9" t="inlineStr">
        <is>
          <t>Consultar cuánto se compró y consumió</t>
        </is>
      </c>
      <c r="E63" s="8" t="inlineStr">
        <is>
          <t>Aceptación</t>
        </is>
      </c>
      <c r="F63" s="9" t="inlineStr">
        <is>
          <t>Aceptar HU-23 como Product Owner desde la interfaz y moverla a Done</t>
        </is>
      </c>
      <c r="G63" s="8" t="inlineStr">
        <is>
          <t>Adiel</t>
        </is>
      </c>
      <c r="H63" s="8" t="n">
        <v>0.5</v>
      </c>
      <c r="I63" s="8" t="inlineStr">
        <is>
          <t>To Do</t>
        </is>
      </c>
      <c r="J63" s="8" t="inlineStr">
        <is>
          <t>27/10</t>
        </is>
      </c>
      <c r="K63" s="9" t="inlineStr">
        <is>
          <t>mueve la HU a Done</t>
        </is>
      </c>
      <c r="L63" s="9" t="inlineStr">
        <is>
          <t>T-057</t>
        </is>
      </c>
    </row>
    <row r="64">
      <c r="B64" s="6" t="inlineStr">
        <is>
          <t>T-059</t>
        </is>
      </c>
      <c r="C64" s="6" t="inlineStr">
        <is>
          <t>HU-24</t>
        </is>
      </c>
      <c r="D64" s="7" t="inlineStr">
        <is>
          <t>Consultar cuánto falta comprar</t>
        </is>
      </c>
      <c r="E64" s="6" t="inlineStr">
        <is>
          <t>Backend</t>
        </is>
      </c>
      <c r="F64" s="7" t="inlineStr">
        <is>
          <t>Programar la consulta de lo que falta comprar por insumo</t>
        </is>
      </c>
      <c r="G64" s="6" t="inlineStr">
        <is>
          <t>Adiel</t>
        </is>
      </c>
      <c r="H64" s="6" t="n">
        <v>2</v>
      </c>
      <c r="I64" s="6" t="inlineStr">
        <is>
          <t>To Do</t>
        </is>
      </c>
      <c r="J64" s="6" t="inlineStr">
        <is>
          <t>25/10</t>
        </is>
      </c>
      <c r="K64" s="7" t="inlineStr"/>
      <c r="L64" s="7" t="inlineStr"/>
    </row>
    <row r="65">
      <c r="B65" s="6" t="inlineStr">
        <is>
          <t>T-060</t>
        </is>
      </c>
      <c r="C65" s="6" t="inlineStr">
        <is>
          <t>HU-24</t>
        </is>
      </c>
      <c r="D65" s="7" t="inlineStr">
        <is>
          <t>Consultar cuánto falta comprar</t>
        </is>
      </c>
      <c r="E65" s="6" t="inlineStr">
        <is>
          <t>Web</t>
        </is>
      </c>
      <c r="F65" s="7" t="inlineStr">
        <is>
          <t>Programar la pantalla web «Saldo por comprar» con filtros y exportación CSV</t>
        </is>
      </c>
      <c r="G65" s="6" t="inlineStr">
        <is>
          <t>Fernando</t>
        </is>
      </c>
      <c r="H65" s="6" t="n">
        <v>2</v>
      </c>
      <c r="I65" s="6" t="inlineStr">
        <is>
          <t>Done</t>
        </is>
      </c>
      <c r="J65" s="6" t="inlineStr">
        <is>
          <t>26/10</t>
        </is>
      </c>
      <c r="K65" s="7" t="inlineStr">
        <is>
          <t>pantalla hecha con datos simulados; falta conectarla a la API real</t>
        </is>
      </c>
      <c r="L65" s="7" t="inlineStr"/>
    </row>
    <row r="66">
      <c r="B66" s="6" t="inlineStr">
        <is>
          <t>T-061</t>
        </is>
      </c>
      <c r="C66" s="6" t="inlineStr">
        <is>
          <t>HU-24</t>
        </is>
      </c>
      <c r="D66" s="7" t="inlineStr">
        <is>
          <t>Consultar cuánto falta comprar</t>
        </is>
      </c>
      <c r="E66" s="6" t="inlineStr">
        <is>
          <t>Web</t>
        </is>
      </c>
      <c r="F66" s="7" t="inlineStr">
        <is>
          <t>Conectar la pantalla de saldo por comprar con la API real</t>
        </is>
      </c>
      <c r="G66" s="6" t="inlineStr">
        <is>
          <t>Fernando</t>
        </is>
      </c>
      <c r="H66" s="6" t="n">
        <v>2</v>
      </c>
      <c r="I66" s="6" t="inlineStr">
        <is>
          <t>To Do</t>
        </is>
      </c>
      <c r="J66" s="6" t="inlineStr">
        <is>
          <t>26/10</t>
        </is>
      </c>
      <c r="K66" s="7" t="inlineStr"/>
      <c r="L66" s="7" t="inlineStr">
        <is>
          <t>T-059, T-140</t>
        </is>
      </c>
    </row>
    <row r="67">
      <c r="B67" s="6" t="inlineStr">
        <is>
          <t>T-062</t>
        </is>
      </c>
      <c r="C67" s="6" t="inlineStr">
        <is>
          <t>HU-24</t>
        </is>
      </c>
      <c r="D67" s="7" t="inlineStr">
        <is>
          <t>Consultar cuánto falta comprar</t>
        </is>
      </c>
      <c r="E67" s="6" t="inlineStr">
        <is>
          <t>Pruebas</t>
        </is>
      </c>
      <c r="F67" s="7" t="inlineStr">
        <is>
          <t>Probar HU-24 en el ambiente de pruebas contra sus condiciones finales y aprobar su PR</t>
        </is>
      </c>
      <c r="G67" s="6" t="inlineStr">
        <is>
          <t>Henry</t>
        </is>
      </c>
      <c r="H67" s="6" t="n">
        <v>1</v>
      </c>
      <c r="I67" s="6" t="inlineStr">
        <is>
          <t>To Do</t>
        </is>
      </c>
      <c r="J67" s="6" t="inlineStr">
        <is>
          <t>27/10</t>
        </is>
      </c>
      <c r="K67" s="7" t="inlineStr">
        <is>
          <t>alguien distinto del autor (T1, T5, T8)</t>
        </is>
      </c>
      <c r="L67" s="7" t="inlineStr">
        <is>
          <t>T-059, T-060, T-061, T-139</t>
        </is>
      </c>
    </row>
    <row r="68">
      <c r="B68" s="8" t="inlineStr">
        <is>
          <t>T-063</t>
        </is>
      </c>
      <c r="C68" s="8" t="inlineStr">
        <is>
          <t>HU-24</t>
        </is>
      </c>
      <c r="D68" s="9" t="inlineStr">
        <is>
          <t>Consultar cuánto falta comprar</t>
        </is>
      </c>
      <c r="E68" s="8" t="inlineStr">
        <is>
          <t>Aceptación</t>
        </is>
      </c>
      <c r="F68" s="9" t="inlineStr">
        <is>
          <t>Aceptar HU-24 como Product Owner desde la interfaz y moverla a Done</t>
        </is>
      </c>
      <c r="G68" s="8" t="inlineStr">
        <is>
          <t>Adiel</t>
        </is>
      </c>
      <c r="H68" s="8" t="n">
        <v>0.5</v>
      </c>
      <c r="I68" s="8" t="inlineStr">
        <is>
          <t>To Do</t>
        </is>
      </c>
      <c r="J68" s="8" t="inlineStr">
        <is>
          <t>27/10</t>
        </is>
      </c>
      <c r="K68" s="9" t="inlineStr">
        <is>
          <t>mueve la HU a Done</t>
        </is>
      </c>
      <c r="L68" s="9" t="inlineStr">
        <is>
          <t>T-062</t>
        </is>
      </c>
    </row>
    <row r="69">
      <c r="B69" s="6" t="inlineStr">
        <is>
          <t>T-064</t>
        </is>
      </c>
      <c r="C69" s="6" t="inlineStr">
        <is>
          <t>HU-25</t>
        </is>
      </c>
      <c r="D69" s="7" t="inlineStr">
        <is>
          <t>Definir punto de reposición</t>
        </is>
      </c>
      <c r="E69" s="6" t="inlineStr">
        <is>
          <t>Backend</t>
        </is>
      </c>
      <c r="F69" s="7" t="inlineStr">
        <is>
          <t>Programar el registro del stock de seguridad y del punto de reposición, con histórico</t>
        </is>
      </c>
      <c r="G69" s="6" t="inlineStr">
        <is>
          <t>Adiel</t>
        </is>
      </c>
      <c r="H69" s="6" t="n">
        <v>4</v>
      </c>
      <c r="I69" s="6" t="inlineStr">
        <is>
          <t>To Do</t>
        </is>
      </c>
      <c r="J69" s="6" t="inlineStr">
        <is>
          <t>25/10</t>
        </is>
      </c>
      <c r="K69" s="7" t="inlineStr"/>
      <c r="L69" s="7" t="inlineStr"/>
    </row>
    <row r="70">
      <c r="B70" s="6" t="inlineStr">
        <is>
          <t>T-065</t>
        </is>
      </c>
      <c r="C70" s="6" t="inlineStr">
        <is>
          <t>HU-25</t>
        </is>
      </c>
      <c r="D70" s="7" t="inlineStr">
        <is>
          <t>Definir punto de reposición</t>
        </is>
      </c>
      <c r="E70" s="6" t="inlineStr">
        <is>
          <t>Web</t>
        </is>
      </c>
      <c r="F70" s="7" t="inlineStr">
        <is>
          <t>Programar el formulario web de parámetros de reposición</t>
        </is>
      </c>
      <c r="G70" s="6" t="inlineStr">
        <is>
          <t>Fernando</t>
        </is>
      </c>
      <c r="H70" s="6" t="n">
        <v>4</v>
      </c>
      <c r="I70" s="6" t="inlineStr">
        <is>
          <t>To Do</t>
        </is>
      </c>
      <c r="J70" s="6" t="inlineStr">
        <is>
          <t>26/10</t>
        </is>
      </c>
      <c r="K70" s="7" t="inlineStr"/>
      <c r="L70" s="7" t="inlineStr"/>
    </row>
    <row r="71">
      <c r="B71" s="6" t="inlineStr">
        <is>
          <t>T-066</t>
        </is>
      </c>
      <c r="C71" s="6" t="inlineStr">
        <is>
          <t>HU-25</t>
        </is>
      </c>
      <c r="D71" s="7" t="inlineStr">
        <is>
          <t>Definir punto de reposición</t>
        </is>
      </c>
      <c r="E71" s="6" t="inlineStr">
        <is>
          <t>Pruebas</t>
        </is>
      </c>
      <c r="F71" s="7" t="inlineStr">
        <is>
          <t>Probar HU-25 en el ambiente de pruebas contra sus condiciones finales y aprobar su PR</t>
        </is>
      </c>
      <c r="G71" s="6" t="inlineStr">
        <is>
          <t>Henry</t>
        </is>
      </c>
      <c r="H71" s="6" t="n">
        <v>1</v>
      </c>
      <c r="I71" s="6" t="inlineStr">
        <is>
          <t>To Do</t>
        </is>
      </c>
      <c r="J71" s="6" t="inlineStr">
        <is>
          <t>27/10</t>
        </is>
      </c>
      <c r="K71" s="7" t="inlineStr">
        <is>
          <t>alguien distinto del autor (T1, T5, T8)</t>
        </is>
      </c>
      <c r="L71" s="7" t="inlineStr">
        <is>
          <t>T-064, T-065, T-139</t>
        </is>
      </c>
    </row>
    <row r="72">
      <c r="B72" s="8" t="inlineStr">
        <is>
          <t>T-067</t>
        </is>
      </c>
      <c r="C72" s="8" t="inlineStr">
        <is>
          <t>HU-25</t>
        </is>
      </c>
      <c r="D72" s="9" t="inlineStr">
        <is>
          <t>Definir punto de reposición</t>
        </is>
      </c>
      <c r="E72" s="8" t="inlineStr">
        <is>
          <t>Aceptación</t>
        </is>
      </c>
      <c r="F72" s="9" t="inlineStr">
        <is>
          <t>Aceptar HU-25 como Product Owner desde la interfaz y moverla a Done</t>
        </is>
      </c>
      <c r="G72" s="8" t="inlineStr">
        <is>
          <t>Adiel</t>
        </is>
      </c>
      <c r="H72" s="8" t="n">
        <v>0.5</v>
      </c>
      <c r="I72" s="8" t="inlineStr">
        <is>
          <t>To Do</t>
        </is>
      </c>
      <c r="J72" s="8" t="inlineStr">
        <is>
          <t>27/10</t>
        </is>
      </c>
      <c r="K72" s="9" t="inlineStr">
        <is>
          <t>mueve la HU a Done</t>
        </is>
      </c>
      <c r="L72" s="9" t="inlineStr">
        <is>
          <t>T-066</t>
        </is>
      </c>
    </row>
    <row r="73">
      <c r="B73" s="6" t="inlineStr">
        <is>
          <t>T-068</t>
        </is>
      </c>
      <c r="C73" s="6" t="inlineStr">
        <is>
          <t>HU-26</t>
        </is>
      </c>
      <c r="D73" s="7" t="inlineStr">
        <is>
          <t>Avisar cuándo reponer</t>
        </is>
      </c>
      <c r="E73" s="6" t="inlineStr">
        <is>
          <t>Backend</t>
        </is>
      </c>
      <c r="F73" s="7" t="inlineStr">
        <is>
          <t>Programar el motor de alertas: una por insumo y marcada como atendida al comprar</t>
        </is>
      </c>
      <c r="G73" s="6" t="inlineStr">
        <is>
          <t>Adiel</t>
        </is>
      </c>
      <c r="H73" s="6" t="n">
        <v>3</v>
      </c>
      <c r="I73" s="6" t="inlineStr">
        <is>
          <t>To Do</t>
        </is>
      </c>
      <c r="J73" s="6" t="inlineStr">
        <is>
          <t>25/10</t>
        </is>
      </c>
      <c r="K73" s="7" t="inlineStr"/>
      <c r="L73" s="7" t="inlineStr"/>
    </row>
    <row r="74">
      <c r="B74" s="6" t="inlineStr">
        <is>
          <t>T-069</t>
        </is>
      </c>
      <c r="C74" s="6" t="inlineStr">
        <is>
          <t>HU-26</t>
        </is>
      </c>
      <c r="D74" s="7" t="inlineStr">
        <is>
          <t>Avisar cuándo reponer</t>
        </is>
      </c>
      <c r="E74" s="6" t="inlineStr">
        <is>
          <t>Web</t>
        </is>
      </c>
      <c r="F74" s="7" t="inlineStr">
        <is>
          <t>Programar las alertas de reposición en la web</t>
        </is>
      </c>
      <c r="G74" s="6" t="inlineStr">
        <is>
          <t>Fernando</t>
        </is>
      </c>
      <c r="H74" s="6" t="n">
        <v>3</v>
      </c>
      <c r="I74" s="6" t="inlineStr">
        <is>
          <t>Done</t>
        </is>
      </c>
      <c r="J74" s="6" t="inlineStr">
        <is>
          <t>26/10</t>
        </is>
      </c>
      <c r="K74" s="7" t="inlineStr">
        <is>
          <t>pantalla hecha con datos simulados; falta conectarla a la API real</t>
        </is>
      </c>
      <c r="L74" s="7" t="inlineStr"/>
    </row>
    <row r="75">
      <c r="B75" s="6" t="inlineStr">
        <is>
          <t>T-070</t>
        </is>
      </c>
      <c r="C75" s="6" t="inlineStr">
        <is>
          <t>HU-26</t>
        </is>
      </c>
      <c r="D75" s="7" t="inlineStr">
        <is>
          <t>Avisar cuándo reponer</t>
        </is>
      </c>
      <c r="E75" s="6" t="inlineStr">
        <is>
          <t>Web</t>
        </is>
      </c>
      <c r="F75" s="7" t="inlineStr">
        <is>
          <t>Conectar las alertas con la API real</t>
        </is>
      </c>
      <c r="G75" s="6" t="inlineStr">
        <is>
          <t>Fernando</t>
        </is>
      </c>
      <c r="H75" s="6" t="n">
        <v>3</v>
      </c>
      <c r="I75" s="6" t="inlineStr">
        <is>
          <t>To Do</t>
        </is>
      </c>
      <c r="J75" s="6" t="inlineStr">
        <is>
          <t>26/10</t>
        </is>
      </c>
      <c r="K75" s="7" t="inlineStr"/>
      <c r="L75" s="7" t="inlineStr">
        <is>
          <t>T-068, T-140</t>
        </is>
      </c>
    </row>
    <row r="76">
      <c r="B76" s="6" t="inlineStr">
        <is>
          <t>T-071</t>
        </is>
      </c>
      <c r="C76" s="6" t="inlineStr">
        <is>
          <t>HU-26</t>
        </is>
      </c>
      <c r="D76" s="7" t="inlineStr">
        <is>
          <t>Avisar cuándo reponer</t>
        </is>
      </c>
      <c r="E76" s="6" t="inlineStr">
        <is>
          <t>Pruebas</t>
        </is>
      </c>
      <c r="F76" s="7" t="inlineStr">
        <is>
          <t>Probar HU-26 en el ambiente de pruebas contra sus condiciones finales y aprobar su PR</t>
        </is>
      </c>
      <c r="G76" s="6" t="inlineStr">
        <is>
          <t>Henry</t>
        </is>
      </c>
      <c r="H76" s="6" t="n">
        <v>1</v>
      </c>
      <c r="I76" s="6" t="inlineStr">
        <is>
          <t>To Do</t>
        </is>
      </c>
      <c r="J76" s="6" t="inlineStr">
        <is>
          <t>27/10</t>
        </is>
      </c>
      <c r="K76" s="7" t="inlineStr">
        <is>
          <t>alguien distinto del autor (T1, T5, T8)</t>
        </is>
      </c>
      <c r="L76" s="7" t="inlineStr">
        <is>
          <t>T-068, T-069, T-070, T-139</t>
        </is>
      </c>
    </row>
    <row r="77">
      <c r="B77" s="8" t="inlineStr">
        <is>
          <t>T-072</t>
        </is>
      </c>
      <c r="C77" s="8" t="inlineStr">
        <is>
          <t>HU-26</t>
        </is>
      </c>
      <c r="D77" s="9" t="inlineStr">
        <is>
          <t>Avisar cuándo reponer</t>
        </is>
      </c>
      <c r="E77" s="8" t="inlineStr">
        <is>
          <t>Aceptación</t>
        </is>
      </c>
      <c r="F77" s="9" t="inlineStr">
        <is>
          <t>Aceptar HU-26 como Product Owner desde la interfaz y moverla a Done</t>
        </is>
      </c>
      <c r="G77" s="8" t="inlineStr">
        <is>
          <t>Adiel</t>
        </is>
      </c>
      <c r="H77" s="8" t="n">
        <v>0.5</v>
      </c>
      <c r="I77" s="8" t="inlineStr">
        <is>
          <t>To Do</t>
        </is>
      </c>
      <c r="J77" s="8" t="inlineStr">
        <is>
          <t>27/10</t>
        </is>
      </c>
      <c r="K77" s="9" t="inlineStr">
        <is>
          <t>mueve la HU a Done</t>
        </is>
      </c>
      <c r="L77" s="9" t="inlineStr">
        <is>
          <t>T-071</t>
        </is>
      </c>
    </row>
    <row r="78">
      <c r="B78" s="6" t="inlineStr">
        <is>
          <t>T-073</t>
        </is>
      </c>
      <c r="C78" s="6" t="inlineStr">
        <is>
          <t>HU-27</t>
        </is>
      </c>
      <c r="D78" s="7" t="inlineStr">
        <is>
          <t>Sugerir cuánto comprar</t>
        </is>
      </c>
      <c r="E78" s="6" t="inlineStr">
        <is>
          <t>Backend</t>
        </is>
      </c>
      <c r="F78" s="7" t="inlineStr">
        <is>
          <t>Programar el cálculo de la sugerencia de compra con su criterio</t>
        </is>
      </c>
      <c r="G78" s="6" t="inlineStr">
        <is>
          <t>Adiel</t>
        </is>
      </c>
      <c r="H78" s="6" t="n">
        <v>3</v>
      </c>
      <c r="I78" s="6" t="inlineStr">
        <is>
          <t>To Do</t>
        </is>
      </c>
      <c r="J78" s="6" t="inlineStr">
        <is>
          <t>25/10</t>
        </is>
      </c>
      <c r="K78" s="7" t="inlineStr"/>
      <c r="L78" s="7" t="inlineStr"/>
    </row>
    <row r="79">
      <c r="B79" s="6" t="inlineStr">
        <is>
          <t>T-074</t>
        </is>
      </c>
      <c r="C79" s="6" t="inlineStr">
        <is>
          <t>HU-27</t>
        </is>
      </c>
      <c r="D79" s="7" t="inlineStr">
        <is>
          <t>Sugerir cuánto comprar</t>
        </is>
      </c>
      <c r="E79" s="6" t="inlineStr">
        <is>
          <t>Web</t>
        </is>
      </c>
      <c r="F79" s="7" t="inlineStr">
        <is>
          <t>Programar la sugerencia editable dentro de la alerta</t>
        </is>
      </c>
      <c r="G79" s="6" t="inlineStr">
        <is>
          <t>Fernando</t>
        </is>
      </c>
      <c r="H79" s="6" t="n">
        <v>3</v>
      </c>
      <c r="I79" s="6" t="inlineStr">
        <is>
          <t>Done</t>
        </is>
      </c>
      <c r="J79" s="6" t="inlineStr">
        <is>
          <t>26/10</t>
        </is>
      </c>
      <c r="K79" s="7" t="inlineStr">
        <is>
          <t>pantalla hecha con datos simulados; falta conectarla a la API real</t>
        </is>
      </c>
      <c r="L79" s="7" t="inlineStr"/>
    </row>
    <row r="80">
      <c r="B80" s="6" t="inlineStr">
        <is>
          <t>T-075</t>
        </is>
      </c>
      <c r="C80" s="6" t="inlineStr">
        <is>
          <t>HU-27</t>
        </is>
      </c>
      <c r="D80" s="7" t="inlineStr">
        <is>
          <t>Sugerir cuánto comprar</t>
        </is>
      </c>
      <c r="E80" s="6" t="inlineStr">
        <is>
          <t>Web</t>
        </is>
      </c>
      <c r="F80" s="7" t="inlineStr">
        <is>
          <t>Conectar la sugerencia con la API real</t>
        </is>
      </c>
      <c r="G80" s="6" t="inlineStr">
        <is>
          <t>Fernando</t>
        </is>
      </c>
      <c r="H80" s="6" t="n">
        <v>3</v>
      </c>
      <c r="I80" s="6" t="inlineStr">
        <is>
          <t>To Do</t>
        </is>
      </c>
      <c r="J80" s="6" t="inlineStr">
        <is>
          <t>26/10</t>
        </is>
      </c>
      <c r="K80" s="7" t="inlineStr"/>
      <c r="L80" s="7" t="inlineStr">
        <is>
          <t>T-073, T-140</t>
        </is>
      </c>
    </row>
    <row r="81">
      <c r="B81" s="6" t="inlineStr">
        <is>
          <t>T-076</t>
        </is>
      </c>
      <c r="C81" s="6" t="inlineStr">
        <is>
          <t>HU-27</t>
        </is>
      </c>
      <c r="D81" s="7" t="inlineStr">
        <is>
          <t>Sugerir cuánto comprar</t>
        </is>
      </c>
      <c r="E81" s="6" t="inlineStr">
        <is>
          <t>Pruebas</t>
        </is>
      </c>
      <c r="F81" s="7" t="inlineStr">
        <is>
          <t>Probar HU-27 en el ambiente de pruebas contra sus condiciones finales y aprobar su PR</t>
        </is>
      </c>
      <c r="G81" s="6" t="inlineStr">
        <is>
          <t>Henry</t>
        </is>
      </c>
      <c r="H81" s="6" t="n">
        <v>1</v>
      </c>
      <c r="I81" s="6" t="inlineStr">
        <is>
          <t>To Do</t>
        </is>
      </c>
      <c r="J81" s="6" t="inlineStr">
        <is>
          <t>27/10</t>
        </is>
      </c>
      <c r="K81" s="7" t="inlineStr">
        <is>
          <t>alguien distinto del autor (T1, T5, T8)</t>
        </is>
      </c>
      <c r="L81" s="7" t="inlineStr">
        <is>
          <t>T-073, T-074, T-075, T-139</t>
        </is>
      </c>
    </row>
    <row r="82">
      <c r="B82" s="8" t="inlineStr">
        <is>
          <t>T-077</t>
        </is>
      </c>
      <c r="C82" s="8" t="inlineStr">
        <is>
          <t>HU-27</t>
        </is>
      </c>
      <c r="D82" s="9" t="inlineStr">
        <is>
          <t>Sugerir cuánto comprar</t>
        </is>
      </c>
      <c r="E82" s="8" t="inlineStr">
        <is>
          <t>Aceptación</t>
        </is>
      </c>
      <c r="F82" s="9" t="inlineStr">
        <is>
          <t>Aceptar HU-27 como Product Owner desde la interfaz y moverla a Done</t>
        </is>
      </c>
      <c r="G82" s="8" t="inlineStr">
        <is>
          <t>Adiel</t>
        </is>
      </c>
      <c r="H82" s="8" t="n">
        <v>0.5</v>
      </c>
      <c r="I82" s="8" t="inlineStr">
        <is>
          <t>To Do</t>
        </is>
      </c>
      <c r="J82" s="8" t="inlineStr">
        <is>
          <t>27/10</t>
        </is>
      </c>
      <c r="K82" s="9" t="inlineStr">
        <is>
          <t>mueve la HU a Done</t>
        </is>
      </c>
      <c r="L82" s="9" t="inlineStr">
        <is>
          <t>T-076</t>
        </is>
      </c>
    </row>
    <row r="83">
      <c r="B83" s="6" t="inlineStr">
        <is>
          <t>T-078</t>
        </is>
      </c>
      <c r="C83" s="6" t="inlineStr">
        <is>
          <t>HU-29</t>
        </is>
      </c>
      <c r="D83" s="7" t="inlineStr">
        <is>
          <t>Consultar proveedores</t>
        </is>
      </c>
      <c r="E83" s="6" t="inlineStr">
        <is>
          <t>Backend</t>
        </is>
      </c>
      <c r="F83" s="7" t="inlineStr">
        <is>
          <t>Programar la búsqueda de proveedores por razón social o RUC</t>
        </is>
      </c>
      <c r="G83" s="6" t="inlineStr">
        <is>
          <t>Adiel</t>
        </is>
      </c>
      <c r="H83" s="6" t="n">
        <v>2</v>
      </c>
      <c r="I83" s="6" t="inlineStr">
        <is>
          <t>Done</t>
        </is>
      </c>
      <c r="J83" s="6" t="inlineStr">
        <is>
          <t>25/10</t>
        </is>
      </c>
      <c r="K83" s="7" t="inlineStr">
        <is>
          <t>hecho en la API de Adiel (PR #1 fusionado a main), con pruebas</t>
        </is>
      </c>
      <c r="L83" s="7" t="inlineStr"/>
    </row>
    <row r="84">
      <c r="B84" s="6" t="inlineStr">
        <is>
          <t>T-079</t>
        </is>
      </c>
      <c r="C84" s="6" t="inlineStr">
        <is>
          <t>HU-29</t>
        </is>
      </c>
      <c r="D84" s="7" t="inlineStr">
        <is>
          <t>Consultar proveedores</t>
        </is>
      </c>
      <c r="E84" s="6" t="inlineStr">
        <is>
          <t>Web</t>
        </is>
      </c>
      <c r="F84" s="7" t="inlineStr">
        <is>
          <t>Programar la pantalla web de proveedores con los 626 reales</t>
        </is>
      </c>
      <c r="G84" s="6" t="inlineStr">
        <is>
          <t>Fernando</t>
        </is>
      </c>
      <c r="H84" s="6" t="n">
        <v>2</v>
      </c>
      <c r="I84" s="6" t="inlineStr">
        <is>
          <t>Done</t>
        </is>
      </c>
      <c r="J84" s="6" t="inlineStr">
        <is>
          <t>26/10</t>
        </is>
      </c>
      <c r="K84" s="7" t="inlineStr">
        <is>
          <t>pantalla hecha con datos simulados; falta conectarla a la API real</t>
        </is>
      </c>
      <c r="L84" s="7" t="inlineStr"/>
    </row>
    <row r="85">
      <c r="B85" s="6" t="inlineStr">
        <is>
          <t>T-080</t>
        </is>
      </c>
      <c r="C85" s="6" t="inlineStr">
        <is>
          <t>HU-29</t>
        </is>
      </c>
      <c r="D85" s="7" t="inlineStr">
        <is>
          <t>Consultar proveedores</t>
        </is>
      </c>
      <c r="E85" s="6" t="inlineStr">
        <is>
          <t>Web</t>
        </is>
      </c>
      <c r="F85" s="7" t="inlineStr">
        <is>
          <t>Conectar la pantalla de proveedores con la API real</t>
        </is>
      </c>
      <c r="G85" s="6" t="inlineStr">
        <is>
          <t>Henry</t>
        </is>
      </c>
      <c r="H85" s="6" t="n">
        <v>2</v>
      </c>
      <c r="I85" s="6" t="inlineStr">
        <is>
          <t>To Do</t>
        </is>
      </c>
      <c r="J85" s="6" t="inlineStr">
        <is>
          <t>26/10</t>
        </is>
      </c>
      <c r="K85" s="7" t="inlineStr"/>
      <c r="L85" s="7" t="inlineStr">
        <is>
          <t>T-078, T-140</t>
        </is>
      </c>
    </row>
    <row r="86">
      <c r="B86" s="6" t="inlineStr">
        <is>
          <t>T-081</t>
        </is>
      </c>
      <c r="C86" s="6" t="inlineStr">
        <is>
          <t>HU-29</t>
        </is>
      </c>
      <c r="D86" s="7" t="inlineStr">
        <is>
          <t>Consultar proveedores</t>
        </is>
      </c>
      <c r="E86" s="6" t="inlineStr">
        <is>
          <t>Pruebas</t>
        </is>
      </c>
      <c r="F86" s="7" t="inlineStr">
        <is>
          <t>Probar HU-29 en el ambiente de pruebas contra sus condiciones finales y aprobar su PR</t>
        </is>
      </c>
      <c r="G86" s="6" t="inlineStr">
        <is>
          <t>Fernando</t>
        </is>
      </c>
      <c r="H86" s="6" t="n">
        <v>1</v>
      </c>
      <c r="I86" s="6" t="inlineStr">
        <is>
          <t>To Do</t>
        </is>
      </c>
      <c r="J86" s="6" t="inlineStr">
        <is>
          <t>27/10</t>
        </is>
      </c>
      <c r="K86" s="7" t="inlineStr">
        <is>
          <t>alguien distinto del autor (T1, T5, T8)</t>
        </is>
      </c>
      <c r="L86" s="7" t="inlineStr">
        <is>
          <t>T-078, T-079, T-080, T-139</t>
        </is>
      </c>
    </row>
    <row r="87">
      <c r="B87" s="8" t="inlineStr">
        <is>
          <t>T-082</t>
        </is>
      </c>
      <c r="C87" s="8" t="inlineStr">
        <is>
          <t>HU-29</t>
        </is>
      </c>
      <c r="D87" s="9" t="inlineStr">
        <is>
          <t>Consultar proveedores</t>
        </is>
      </c>
      <c r="E87" s="8" t="inlineStr">
        <is>
          <t>Aceptación</t>
        </is>
      </c>
      <c r="F87" s="9" t="inlineStr">
        <is>
          <t>Aceptar HU-29 como Product Owner desde la interfaz y moverla a Done</t>
        </is>
      </c>
      <c r="G87" s="8" t="inlineStr">
        <is>
          <t>Adiel</t>
        </is>
      </c>
      <c r="H87" s="8" t="n">
        <v>0.5</v>
      </c>
      <c r="I87" s="8" t="inlineStr">
        <is>
          <t>To Do</t>
        </is>
      </c>
      <c r="J87" s="8" t="inlineStr">
        <is>
          <t>27/10</t>
        </is>
      </c>
      <c r="K87" s="9" t="inlineStr">
        <is>
          <t>mueve la HU a Done</t>
        </is>
      </c>
      <c r="L87" s="9" t="inlineStr">
        <is>
          <t>T-081</t>
        </is>
      </c>
    </row>
    <row r="88">
      <c r="B88" s="6" t="inlineStr">
        <is>
          <t>T-083</t>
        </is>
      </c>
      <c r="C88" s="6" t="inlineStr">
        <is>
          <t>HU-30</t>
        </is>
      </c>
      <c r="D88" s="7" t="inlineStr">
        <is>
          <t>Registrar proveedores</t>
        </is>
      </c>
      <c r="E88" s="6" t="inlineStr">
        <is>
          <t>Backend</t>
        </is>
      </c>
      <c r="F88" s="7" t="inlineStr">
        <is>
          <t>Programar el alta de proveedor rechazando RUC o DNI repetidos</t>
        </is>
      </c>
      <c r="G88" s="6" t="inlineStr">
        <is>
          <t>Adiel</t>
        </is>
      </c>
      <c r="H88" s="6" t="n">
        <v>2</v>
      </c>
      <c r="I88" s="6" t="inlineStr">
        <is>
          <t>Done</t>
        </is>
      </c>
      <c r="J88" s="6" t="inlineStr">
        <is>
          <t>25/10</t>
        </is>
      </c>
      <c r="K88" s="7" t="inlineStr">
        <is>
          <t>hecho en la API de Adiel (PR #1 fusionado a main), con pruebas</t>
        </is>
      </c>
      <c r="L88" s="7" t="inlineStr"/>
    </row>
    <row r="89">
      <c r="B89" s="6" t="inlineStr">
        <is>
          <t>T-084</t>
        </is>
      </c>
      <c r="C89" s="6" t="inlineStr">
        <is>
          <t>HU-30</t>
        </is>
      </c>
      <c r="D89" s="7" t="inlineStr">
        <is>
          <t>Registrar proveedores</t>
        </is>
      </c>
      <c r="E89" s="6" t="inlineStr">
        <is>
          <t>Web</t>
        </is>
      </c>
      <c r="F89" s="7" t="inlineStr">
        <is>
          <t>Programar el alta rápida de proveedor desde la compra</t>
        </is>
      </c>
      <c r="G89" s="6" t="inlineStr">
        <is>
          <t>Fernando</t>
        </is>
      </c>
      <c r="H89" s="6" t="n">
        <v>2</v>
      </c>
      <c r="I89" s="6" t="inlineStr">
        <is>
          <t>Done</t>
        </is>
      </c>
      <c r="J89" s="6" t="inlineStr">
        <is>
          <t>26/10</t>
        </is>
      </c>
      <c r="K89" s="7" t="inlineStr">
        <is>
          <t>pantalla hecha con datos simulados; falta conectarla a la API real</t>
        </is>
      </c>
      <c r="L89" s="7" t="inlineStr"/>
    </row>
    <row r="90">
      <c r="B90" s="6" t="inlineStr">
        <is>
          <t>T-085</t>
        </is>
      </c>
      <c r="C90" s="6" t="inlineStr">
        <is>
          <t>HU-30</t>
        </is>
      </c>
      <c r="D90" s="7" t="inlineStr">
        <is>
          <t>Registrar proveedores</t>
        </is>
      </c>
      <c r="E90" s="6" t="inlineStr">
        <is>
          <t>Web</t>
        </is>
      </c>
      <c r="F90" s="7" t="inlineStr">
        <is>
          <t>Conectar el alta de proveedor con la API real</t>
        </is>
      </c>
      <c r="G90" s="6" t="inlineStr">
        <is>
          <t>Henry</t>
        </is>
      </c>
      <c r="H90" s="6" t="n">
        <v>2</v>
      </c>
      <c r="I90" s="6" t="inlineStr">
        <is>
          <t>To Do</t>
        </is>
      </c>
      <c r="J90" s="6" t="inlineStr">
        <is>
          <t>26/10</t>
        </is>
      </c>
      <c r="K90" s="7" t="inlineStr"/>
      <c r="L90" s="7" t="inlineStr">
        <is>
          <t>T-083, T-140</t>
        </is>
      </c>
    </row>
    <row r="91">
      <c r="B91" s="6" t="inlineStr">
        <is>
          <t>T-086</t>
        </is>
      </c>
      <c r="C91" s="6" t="inlineStr">
        <is>
          <t>HU-30</t>
        </is>
      </c>
      <c r="D91" s="7" t="inlineStr">
        <is>
          <t>Registrar proveedores</t>
        </is>
      </c>
      <c r="E91" s="6" t="inlineStr">
        <is>
          <t>Pruebas</t>
        </is>
      </c>
      <c r="F91" s="7" t="inlineStr">
        <is>
          <t>Probar HU-30 en el ambiente de pruebas contra sus condiciones finales y aprobar su PR</t>
        </is>
      </c>
      <c r="G91" s="6" t="inlineStr">
        <is>
          <t>Fernando</t>
        </is>
      </c>
      <c r="H91" s="6" t="n">
        <v>1</v>
      </c>
      <c r="I91" s="6" t="inlineStr">
        <is>
          <t>To Do</t>
        </is>
      </c>
      <c r="J91" s="6" t="inlineStr">
        <is>
          <t>27/10</t>
        </is>
      </c>
      <c r="K91" s="7" t="inlineStr">
        <is>
          <t>alguien distinto del autor (T1, T5, T8)</t>
        </is>
      </c>
      <c r="L91" s="7" t="inlineStr">
        <is>
          <t>T-083, T-084, T-085, T-139</t>
        </is>
      </c>
    </row>
    <row r="92">
      <c r="B92" s="8" t="inlineStr">
        <is>
          <t>T-087</t>
        </is>
      </c>
      <c r="C92" s="8" t="inlineStr">
        <is>
          <t>HU-30</t>
        </is>
      </c>
      <c r="D92" s="9" t="inlineStr">
        <is>
          <t>Registrar proveedores</t>
        </is>
      </c>
      <c r="E92" s="8" t="inlineStr">
        <is>
          <t>Aceptación</t>
        </is>
      </c>
      <c r="F92" s="9" t="inlineStr">
        <is>
          <t>Aceptar HU-30 como Product Owner desde la interfaz y moverla a Done</t>
        </is>
      </c>
      <c r="G92" s="8" t="inlineStr">
        <is>
          <t>Adiel</t>
        </is>
      </c>
      <c r="H92" s="8" t="n">
        <v>0.5</v>
      </c>
      <c r="I92" s="8" t="inlineStr">
        <is>
          <t>To Do</t>
        </is>
      </c>
      <c r="J92" s="8" t="inlineStr">
        <is>
          <t>27/10</t>
        </is>
      </c>
      <c r="K92" s="9" t="inlineStr">
        <is>
          <t>mueve la HU a Done</t>
        </is>
      </c>
      <c r="L92" s="9" t="inlineStr">
        <is>
          <t>T-086</t>
        </is>
      </c>
    </row>
    <row r="93">
      <c r="B93" s="6" t="inlineStr">
        <is>
          <t>T-088</t>
        </is>
      </c>
      <c r="C93" s="6" t="inlineStr">
        <is>
          <t>HU-32</t>
        </is>
      </c>
      <c r="D93" s="7" t="inlineStr">
        <is>
          <t>Registrar compras</t>
        </is>
      </c>
      <c r="E93" s="6" t="inlineStr">
        <is>
          <t>Backend</t>
        </is>
      </c>
      <c r="F93" s="7" t="inlineStr">
        <is>
          <t>Programar el registro de compra: comprobante único, base, IGV y total, sin mover stock</t>
        </is>
      </c>
      <c r="G93" s="6" t="inlineStr">
        <is>
          <t>Adiel</t>
        </is>
      </c>
      <c r="H93" s="6" t="n">
        <v>5</v>
      </c>
      <c r="I93" s="6" t="inlineStr">
        <is>
          <t>Done</t>
        </is>
      </c>
      <c r="J93" s="6" t="inlineStr">
        <is>
          <t>25/10</t>
        </is>
      </c>
      <c r="K93" s="7" t="inlineStr">
        <is>
          <t>hecho en la API de Adiel (PR #1 fusionado a main), con pruebas</t>
        </is>
      </c>
      <c r="L93" s="7" t="inlineStr"/>
    </row>
    <row r="94">
      <c r="B94" s="6" t="inlineStr">
        <is>
          <t>T-089</t>
        </is>
      </c>
      <c r="C94" s="6" t="inlineStr">
        <is>
          <t>HU-32</t>
        </is>
      </c>
      <c r="D94" s="7" t="inlineStr">
        <is>
          <t>Registrar compras</t>
        </is>
      </c>
      <c r="E94" s="6" t="inlineStr">
        <is>
          <t>Web</t>
        </is>
      </c>
      <c r="F94" s="7" t="inlineStr">
        <is>
          <t>Programar la pantalla web de compras</t>
        </is>
      </c>
      <c r="G94" s="6" t="inlineStr">
        <is>
          <t>Fernando</t>
        </is>
      </c>
      <c r="H94" s="6" t="n">
        <v>5</v>
      </c>
      <c r="I94" s="6" t="inlineStr">
        <is>
          <t>Done</t>
        </is>
      </c>
      <c r="J94" s="6" t="inlineStr">
        <is>
          <t>26/10</t>
        </is>
      </c>
      <c r="K94" s="7" t="inlineStr">
        <is>
          <t>pantalla hecha con datos simulados; falta conectarla a la API real</t>
        </is>
      </c>
      <c r="L94" s="7" t="inlineStr"/>
    </row>
    <row r="95">
      <c r="B95" s="6" t="inlineStr">
        <is>
          <t>T-090</t>
        </is>
      </c>
      <c r="C95" s="6" t="inlineStr">
        <is>
          <t>HU-32</t>
        </is>
      </c>
      <c r="D95" s="7" t="inlineStr">
        <is>
          <t>Registrar compras</t>
        </is>
      </c>
      <c r="E95" s="6" t="inlineStr">
        <is>
          <t>Web</t>
        </is>
      </c>
      <c r="F95" s="7" t="inlineStr">
        <is>
          <t>Conectar la pantalla de compras con la API real</t>
        </is>
      </c>
      <c r="G95" s="6" t="inlineStr">
        <is>
          <t>Henry</t>
        </is>
      </c>
      <c r="H95" s="6" t="n">
        <v>5</v>
      </c>
      <c r="I95" s="6" t="inlineStr">
        <is>
          <t>To Do</t>
        </is>
      </c>
      <c r="J95" s="6" t="inlineStr">
        <is>
          <t>26/10</t>
        </is>
      </c>
      <c r="K95" s="7" t="inlineStr"/>
      <c r="L95" s="7" t="inlineStr">
        <is>
          <t>T-088, T-140</t>
        </is>
      </c>
    </row>
    <row r="96">
      <c r="B96" s="6" t="inlineStr">
        <is>
          <t>T-091</t>
        </is>
      </c>
      <c r="C96" s="6" t="inlineStr">
        <is>
          <t>HU-32</t>
        </is>
      </c>
      <c r="D96" s="7" t="inlineStr">
        <is>
          <t>Registrar compras</t>
        </is>
      </c>
      <c r="E96" s="6" t="inlineStr">
        <is>
          <t>Pruebas</t>
        </is>
      </c>
      <c r="F96" s="7" t="inlineStr">
        <is>
          <t>Probar HU-32 en el ambiente de pruebas contra sus condiciones finales y aprobar su PR</t>
        </is>
      </c>
      <c r="G96" s="6" t="inlineStr">
        <is>
          <t>Fernando</t>
        </is>
      </c>
      <c r="H96" s="6" t="n">
        <v>1</v>
      </c>
      <c r="I96" s="6" t="inlineStr">
        <is>
          <t>To Do</t>
        </is>
      </c>
      <c r="J96" s="6" t="inlineStr">
        <is>
          <t>27/10</t>
        </is>
      </c>
      <c r="K96" s="7" t="inlineStr">
        <is>
          <t>alguien distinto del autor (T1, T5, T8)</t>
        </is>
      </c>
      <c r="L96" s="7" t="inlineStr">
        <is>
          <t>T-088, T-089, T-090, T-139</t>
        </is>
      </c>
    </row>
    <row r="97">
      <c r="B97" s="8" t="inlineStr">
        <is>
          <t>T-092</t>
        </is>
      </c>
      <c r="C97" s="8" t="inlineStr">
        <is>
          <t>HU-32</t>
        </is>
      </c>
      <c r="D97" s="9" t="inlineStr">
        <is>
          <t>Registrar compras</t>
        </is>
      </c>
      <c r="E97" s="8" t="inlineStr">
        <is>
          <t>Aceptación</t>
        </is>
      </c>
      <c r="F97" s="9" t="inlineStr">
        <is>
          <t>Aceptar HU-32 como Product Owner desde la interfaz y moverla a Done</t>
        </is>
      </c>
      <c r="G97" s="8" t="inlineStr">
        <is>
          <t>Adiel</t>
        </is>
      </c>
      <c r="H97" s="8" t="n">
        <v>0.5</v>
      </c>
      <c r="I97" s="8" t="inlineStr">
        <is>
          <t>To Do</t>
        </is>
      </c>
      <c r="J97" s="8" t="inlineStr">
        <is>
          <t>27/10</t>
        </is>
      </c>
      <c r="K97" s="9" t="inlineStr">
        <is>
          <t>mueve la HU a Done</t>
        </is>
      </c>
      <c r="L97" s="9" t="inlineStr">
        <is>
          <t>T-091</t>
        </is>
      </c>
    </row>
    <row r="98">
      <c r="B98" s="6" t="inlineStr">
        <is>
          <t>T-093</t>
        </is>
      </c>
      <c r="C98" s="6" t="inlineStr">
        <is>
          <t>HU-35</t>
        </is>
      </c>
      <c r="D98" s="7" t="inlineStr">
        <is>
          <t>Recibir compras</t>
        </is>
      </c>
      <c r="E98" s="6" t="inlineStr">
        <is>
          <t>Backend</t>
        </is>
      </c>
      <c r="F98" s="7" t="inlineStr">
        <is>
          <t>Programar la recepción total o parcial que genera el ingreso al kárdex</t>
        </is>
      </c>
      <c r="G98" s="6" t="inlineStr">
        <is>
          <t>Adiel</t>
        </is>
      </c>
      <c r="H98" s="6" t="n">
        <v>4</v>
      </c>
      <c r="I98" s="6" t="inlineStr">
        <is>
          <t>To Do</t>
        </is>
      </c>
      <c r="J98" s="6" t="inlineStr">
        <is>
          <t>25/10</t>
        </is>
      </c>
      <c r="K98" s="7" t="inlineStr"/>
      <c r="L98" s="7" t="inlineStr"/>
    </row>
    <row r="99">
      <c r="B99" s="6" t="inlineStr">
        <is>
          <t>T-094</t>
        </is>
      </c>
      <c r="C99" s="6" t="inlineStr">
        <is>
          <t>HU-35</t>
        </is>
      </c>
      <c r="D99" s="7" t="inlineStr">
        <is>
          <t>Recibir compras</t>
        </is>
      </c>
      <c r="E99" s="6" t="inlineStr">
        <is>
          <t>Web</t>
        </is>
      </c>
      <c r="F99" s="7" t="inlineStr">
        <is>
          <t>Programar el registro de recepción en la web (pedido, recibido, pendiente)</t>
        </is>
      </c>
      <c r="G99" s="6" t="inlineStr">
        <is>
          <t>Fernando</t>
        </is>
      </c>
      <c r="H99" s="6" t="n">
        <v>4</v>
      </c>
      <c r="I99" s="6" t="inlineStr">
        <is>
          <t>Done</t>
        </is>
      </c>
      <c r="J99" s="6" t="inlineStr">
        <is>
          <t>26/10</t>
        </is>
      </c>
      <c r="K99" s="7" t="inlineStr">
        <is>
          <t>pantalla hecha con datos simulados; falta conectarla a la API real</t>
        </is>
      </c>
      <c r="L99" s="7" t="inlineStr"/>
    </row>
    <row r="100">
      <c r="B100" s="6" t="inlineStr">
        <is>
          <t>T-095</t>
        </is>
      </c>
      <c r="C100" s="6" t="inlineStr">
        <is>
          <t>HU-35</t>
        </is>
      </c>
      <c r="D100" s="7" t="inlineStr">
        <is>
          <t>Recibir compras</t>
        </is>
      </c>
      <c r="E100" s="6" t="inlineStr">
        <is>
          <t>Web</t>
        </is>
      </c>
      <c r="F100" s="7" t="inlineStr">
        <is>
          <t>Conectar la recepción con la API real</t>
        </is>
      </c>
      <c r="G100" s="6" t="inlineStr">
        <is>
          <t>Henry</t>
        </is>
      </c>
      <c r="H100" s="6" t="n">
        <v>4</v>
      </c>
      <c r="I100" s="6" t="inlineStr">
        <is>
          <t>To Do</t>
        </is>
      </c>
      <c r="J100" s="6" t="inlineStr">
        <is>
          <t>26/10</t>
        </is>
      </c>
      <c r="K100" s="7" t="inlineStr"/>
      <c r="L100" s="7" t="inlineStr">
        <is>
          <t>T-093, T-140</t>
        </is>
      </c>
    </row>
    <row r="101">
      <c r="B101" s="6" t="inlineStr">
        <is>
          <t>T-096</t>
        </is>
      </c>
      <c r="C101" s="6" t="inlineStr">
        <is>
          <t>HU-35</t>
        </is>
      </c>
      <c r="D101" s="7" t="inlineStr">
        <is>
          <t>Recibir compras</t>
        </is>
      </c>
      <c r="E101" s="6" t="inlineStr">
        <is>
          <t>Android</t>
        </is>
      </c>
      <c r="F101" s="7" t="inlineStr">
        <is>
          <t>Programar la recepción de compras en la app del almacenero</t>
        </is>
      </c>
      <c r="G101" s="6" t="inlineStr">
        <is>
          <t>Nicolás</t>
        </is>
      </c>
      <c r="H101" s="6" t="n">
        <v>4</v>
      </c>
      <c r="I101" s="6" t="inlineStr">
        <is>
          <t>To Do</t>
        </is>
      </c>
      <c r="J101" s="6" t="inlineStr">
        <is>
          <t>26/10</t>
        </is>
      </c>
      <c r="K101" s="7" t="inlineStr"/>
      <c r="L101" s="7" t="inlineStr">
        <is>
          <t>T-141</t>
        </is>
      </c>
    </row>
    <row r="102">
      <c r="B102" s="6" t="inlineStr">
        <is>
          <t>T-097</t>
        </is>
      </c>
      <c r="C102" s="6" t="inlineStr">
        <is>
          <t>HU-35</t>
        </is>
      </c>
      <c r="D102" s="7" t="inlineStr">
        <is>
          <t>Recibir compras</t>
        </is>
      </c>
      <c r="E102" s="6" t="inlineStr">
        <is>
          <t>Pruebas</t>
        </is>
      </c>
      <c r="F102" s="7" t="inlineStr">
        <is>
          <t>Probar HU-35 en el ambiente de pruebas contra sus condiciones finales y aprobar su PR</t>
        </is>
      </c>
      <c r="G102" s="6" t="inlineStr">
        <is>
          <t>Henry</t>
        </is>
      </c>
      <c r="H102" s="6" t="n">
        <v>1</v>
      </c>
      <c r="I102" s="6" t="inlineStr">
        <is>
          <t>To Do</t>
        </is>
      </c>
      <c r="J102" s="6" t="inlineStr">
        <is>
          <t>27/10</t>
        </is>
      </c>
      <c r="K102" s="7" t="inlineStr">
        <is>
          <t>alguien distinto del autor (T1, T5, T8)</t>
        </is>
      </c>
      <c r="L102" s="7" t="inlineStr">
        <is>
          <t>T-093, T-094, T-095, T-096, T-139</t>
        </is>
      </c>
    </row>
    <row r="103">
      <c r="B103" s="8" t="inlineStr">
        <is>
          <t>T-098</t>
        </is>
      </c>
      <c r="C103" s="8" t="inlineStr">
        <is>
          <t>HU-35</t>
        </is>
      </c>
      <c r="D103" s="9" t="inlineStr">
        <is>
          <t>Recibir compras</t>
        </is>
      </c>
      <c r="E103" s="8" t="inlineStr">
        <is>
          <t>Aceptación</t>
        </is>
      </c>
      <c r="F103" s="9" t="inlineStr">
        <is>
          <t>Aceptar HU-35 como Product Owner desde la interfaz y moverla a Done</t>
        </is>
      </c>
      <c r="G103" s="8" t="inlineStr">
        <is>
          <t>Adiel</t>
        </is>
      </c>
      <c r="H103" s="8" t="n">
        <v>0.5</v>
      </c>
      <c r="I103" s="8" t="inlineStr">
        <is>
          <t>To Do</t>
        </is>
      </c>
      <c r="J103" s="8" t="inlineStr">
        <is>
          <t>27/10</t>
        </is>
      </c>
      <c r="K103" s="9" t="inlineStr">
        <is>
          <t>mueve la HU a Done</t>
        </is>
      </c>
      <c r="L103" s="9" t="inlineStr">
        <is>
          <t>T-097</t>
        </is>
      </c>
    </row>
    <row r="104">
      <c r="B104" s="6" t="inlineStr">
        <is>
          <t>T-099</t>
        </is>
      </c>
      <c r="C104" s="6" t="inlineStr">
        <is>
          <t>HU-37</t>
        </is>
      </c>
      <c r="D104" s="7" t="inlineStr">
        <is>
          <t>Registrar sin señal</t>
        </is>
      </c>
      <c r="E104" s="6" t="inlineStr">
        <is>
          <t>Android</t>
        </is>
      </c>
      <c r="F104" s="7" t="inlineStr">
        <is>
          <t>Programar la cola local (Room) con uuid_cliente y hora del celular, y mostrar «pendiente de enviar» en cada movimiento</t>
        </is>
      </c>
      <c r="G104" s="6" t="inlineStr">
        <is>
          <t>Nicolás</t>
        </is>
      </c>
      <c r="H104" s="6" t="n">
        <v>14</v>
      </c>
      <c r="I104" s="6" t="inlineStr">
        <is>
          <t>To Do</t>
        </is>
      </c>
      <c r="J104" s="6" t="inlineStr">
        <is>
          <t>26/10</t>
        </is>
      </c>
      <c r="K104" s="7" t="inlineStr"/>
      <c r="L104" s="7" t="inlineStr">
        <is>
          <t>T-141</t>
        </is>
      </c>
    </row>
    <row r="105">
      <c r="B105" s="6" t="inlineStr">
        <is>
          <t>T-100</t>
        </is>
      </c>
      <c r="C105" s="6" t="inlineStr">
        <is>
          <t>HU-37</t>
        </is>
      </c>
      <c r="D105" s="7" t="inlineStr">
        <is>
          <t>Registrar sin señal</t>
        </is>
      </c>
      <c r="E105" s="6" t="inlineStr">
        <is>
          <t>Pruebas</t>
        </is>
      </c>
      <c r="F105" s="7" t="inlineStr">
        <is>
          <t>Probar HU-37 en el ambiente de pruebas contra sus condiciones finales y aprobar su PR</t>
        </is>
      </c>
      <c r="G105" s="6" t="inlineStr">
        <is>
          <t>Henry</t>
        </is>
      </c>
      <c r="H105" s="6" t="n">
        <v>1</v>
      </c>
      <c r="I105" s="6" t="inlineStr">
        <is>
          <t>To Do</t>
        </is>
      </c>
      <c r="J105" s="6" t="inlineStr">
        <is>
          <t>27/10</t>
        </is>
      </c>
      <c r="K105" s="7" t="inlineStr">
        <is>
          <t>alguien distinto del autor (T1, T5, T8)</t>
        </is>
      </c>
      <c r="L105" s="7" t="inlineStr">
        <is>
          <t>T-099, T-139</t>
        </is>
      </c>
    </row>
    <row r="106">
      <c r="B106" s="8" t="inlineStr">
        <is>
          <t>T-101</t>
        </is>
      </c>
      <c r="C106" s="8" t="inlineStr">
        <is>
          <t>HU-37</t>
        </is>
      </c>
      <c r="D106" s="9" t="inlineStr">
        <is>
          <t>Registrar sin señal</t>
        </is>
      </c>
      <c r="E106" s="8" t="inlineStr">
        <is>
          <t>Aceptación</t>
        </is>
      </c>
      <c r="F106" s="9" t="inlineStr">
        <is>
          <t>Aceptar HU-37 como Product Owner desde la interfaz y moverla a Done</t>
        </is>
      </c>
      <c r="G106" s="8" t="inlineStr">
        <is>
          <t>Adiel</t>
        </is>
      </c>
      <c r="H106" s="8" t="n">
        <v>0.5</v>
      </c>
      <c r="I106" s="8" t="inlineStr">
        <is>
          <t>To Do</t>
        </is>
      </c>
      <c r="J106" s="8" t="inlineStr">
        <is>
          <t>27/10</t>
        </is>
      </c>
      <c r="K106" s="9" t="inlineStr">
        <is>
          <t>mueve la HU a Done</t>
        </is>
      </c>
      <c r="L106" s="9" t="inlineStr">
        <is>
          <t>T-100</t>
        </is>
      </c>
    </row>
    <row r="107">
      <c r="B107" s="6" t="inlineStr">
        <is>
          <t>T-102</t>
        </is>
      </c>
      <c r="C107" s="6" t="inlineStr">
        <is>
          <t>HU-38</t>
        </is>
      </c>
      <c r="D107" s="7" t="inlineStr">
        <is>
          <t>Sincronizar pendientes</t>
        </is>
      </c>
      <c r="E107" s="6" t="inlineStr">
        <is>
          <t>Android</t>
        </is>
      </c>
      <c r="F107" s="7" t="inlineStr">
        <is>
          <t>Programar el envío automático de pendientes al volver la señal (WorkManager)</t>
        </is>
      </c>
      <c r="G107" s="6" t="inlineStr">
        <is>
          <t>Nicolás</t>
        </is>
      </c>
      <c r="H107" s="6" t="n">
        <v>4</v>
      </c>
      <c r="I107" s="6" t="inlineStr">
        <is>
          <t>To Do</t>
        </is>
      </c>
      <c r="J107" s="6" t="inlineStr">
        <is>
          <t>26/10</t>
        </is>
      </c>
      <c r="K107" s="7" t="inlineStr"/>
      <c r="L107" s="7" t="inlineStr">
        <is>
          <t>T-141</t>
        </is>
      </c>
    </row>
    <row r="108">
      <c r="B108" s="6" t="inlineStr">
        <is>
          <t>T-103</t>
        </is>
      </c>
      <c r="C108" s="6" t="inlineStr">
        <is>
          <t>HU-38</t>
        </is>
      </c>
      <c r="D108" s="7" t="inlineStr">
        <is>
          <t>Sincronizar pendientes</t>
        </is>
      </c>
      <c r="E108" s="6" t="inlineStr">
        <is>
          <t>Backend</t>
        </is>
      </c>
      <c r="F108" s="7" t="inlineStr">
        <is>
          <t>Programar la idempotencia por uuid_cliente y devolver el motivo del rechazo</t>
        </is>
      </c>
      <c r="G108" s="6" t="inlineStr">
        <is>
          <t>Adiel</t>
        </is>
      </c>
      <c r="H108" s="6" t="n">
        <v>4</v>
      </c>
      <c r="I108" s="6" t="inlineStr">
        <is>
          <t>To Do</t>
        </is>
      </c>
      <c r="J108" s="6" t="inlineStr">
        <is>
          <t>25/10</t>
        </is>
      </c>
      <c r="K108" s="7" t="inlineStr"/>
      <c r="L108" s="7" t="inlineStr"/>
    </row>
    <row r="109">
      <c r="B109" s="6" t="inlineStr">
        <is>
          <t>T-104</t>
        </is>
      </c>
      <c r="C109" s="6" t="inlineStr">
        <is>
          <t>HU-38</t>
        </is>
      </c>
      <c r="D109" s="7" t="inlineStr">
        <is>
          <t>Sincronizar pendientes</t>
        </is>
      </c>
      <c r="E109" s="6" t="inlineStr">
        <is>
          <t>Pruebas</t>
        </is>
      </c>
      <c r="F109" s="7" t="inlineStr">
        <is>
          <t>Probar HU-38 en el ambiente de pruebas contra sus condiciones finales y aprobar su PR</t>
        </is>
      </c>
      <c r="G109" s="6" t="inlineStr">
        <is>
          <t>Henry</t>
        </is>
      </c>
      <c r="H109" s="6" t="n">
        <v>1</v>
      </c>
      <c r="I109" s="6" t="inlineStr">
        <is>
          <t>To Do</t>
        </is>
      </c>
      <c r="J109" s="6" t="inlineStr">
        <is>
          <t>27/10</t>
        </is>
      </c>
      <c r="K109" s="7" t="inlineStr">
        <is>
          <t>alguien distinto del autor (T1, T5, T8)</t>
        </is>
      </c>
      <c r="L109" s="7" t="inlineStr">
        <is>
          <t>T-102, T-103, T-139</t>
        </is>
      </c>
    </row>
    <row r="110">
      <c r="B110" s="8" t="inlineStr">
        <is>
          <t>T-105</t>
        </is>
      </c>
      <c r="C110" s="8" t="inlineStr">
        <is>
          <t>HU-38</t>
        </is>
      </c>
      <c r="D110" s="9" t="inlineStr">
        <is>
          <t>Sincronizar pendientes</t>
        </is>
      </c>
      <c r="E110" s="8" t="inlineStr">
        <is>
          <t>Aceptación</t>
        </is>
      </c>
      <c r="F110" s="9" t="inlineStr">
        <is>
          <t>Aceptar HU-38 como Product Owner desde la interfaz y moverla a Done</t>
        </is>
      </c>
      <c r="G110" s="8" t="inlineStr">
        <is>
          <t>Adiel</t>
        </is>
      </c>
      <c r="H110" s="8" t="n">
        <v>0.5</v>
      </c>
      <c r="I110" s="8" t="inlineStr">
        <is>
          <t>To Do</t>
        </is>
      </c>
      <c r="J110" s="8" t="inlineStr">
        <is>
          <t>27/10</t>
        </is>
      </c>
      <c r="K110" s="9" t="inlineStr">
        <is>
          <t>mueve la HU a Done</t>
        </is>
      </c>
      <c r="L110" s="9" t="inlineStr">
        <is>
          <t>T-104</t>
        </is>
      </c>
    </row>
    <row r="111">
      <c r="B111" s="6" t="inlineStr">
        <is>
          <t>T-106</t>
        </is>
      </c>
      <c r="C111" s="6" t="inlineStr">
        <is>
          <t>HU-40</t>
        </is>
      </c>
      <c r="D111" s="7" t="inlineStr">
        <is>
          <t>Registrar salidas de material</t>
        </is>
      </c>
      <c r="E111" s="6" t="inlineStr">
        <is>
          <t>Backend</t>
        </is>
      </c>
      <c r="F111" s="7" t="inlineStr">
        <is>
          <t>Programar la salida: rechazar si supera el saldo y congelar el costo promedio</t>
        </is>
      </c>
      <c r="G111" s="6" t="inlineStr">
        <is>
          <t>Adiel</t>
        </is>
      </c>
      <c r="H111" s="6" t="n">
        <v>7</v>
      </c>
      <c r="I111" s="6" t="inlineStr">
        <is>
          <t>To Do</t>
        </is>
      </c>
      <c r="J111" s="6" t="inlineStr">
        <is>
          <t>25/10</t>
        </is>
      </c>
      <c r="K111" s="7" t="inlineStr"/>
      <c r="L111" s="7" t="inlineStr"/>
    </row>
    <row r="112">
      <c r="B112" s="6" t="inlineStr">
        <is>
          <t>T-107</t>
        </is>
      </c>
      <c r="C112" s="6" t="inlineStr">
        <is>
          <t>HU-40</t>
        </is>
      </c>
      <c r="D112" s="7" t="inlineStr">
        <is>
          <t>Registrar salidas de material</t>
        </is>
      </c>
      <c r="E112" s="6" t="inlineStr">
        <is>
          <t>Android</t>
        </is>
      </c>
      <c r="F112" s="7" t="inlineStr">
        <is>
          <t>Programar la pantalla de salida en la app (insumo, cantidad, motivo, quién retira)</t>
        </is>
      </c>
      <c r="G112" s="6" t="inlineStr">
        <is>
          <t>Nicolás</t>
        </is>
      </c>
      <c r="H112" s="6" t="n">
        <v>7</v>
      </c>
      <c r="I112" s="6" t="inlineStr">
        <is>
          <t>To Do</t>
        </is>
      </c>
      <c r="J112" s="6" t="inlineStr">
        <is>
          <t>26/10</t>
        </is>
      </c>
      <c r="K112" s="7" t="inlineStr"/>
      <c r="L112" s="7" t="inlineStr">
        <is>
          <t>T-141</t>
        </is>
      </c>
    </row>
    <row r="113">
      <c r="B113" s="6" t="inlineStr">
        <is>
          <t>T-108</t>
        </is>
      </c>
      <c r="C113" s="6" t="inlineStr">
        <is>
          <t>HU-40</t>
        </is>
      </c>
      <c r="D113" s="7" t="inlineStr">
        <is>
          <t>Registrar salidas de material</t>
        </is>
      </c>
      <c r="E113" s="6" t="inlineStr">
        <is>
          <t>Pruebas</t>
        </is>
      </c>
      <c r="F113" s="7" t="inlineStr">
        <is>
          <t>Probar HU-40 en el ambiente de pruebas contra sus condiciones finales y aprobar su PR</t>
        </is>
      </c>
      <c r="G113" s="6" t="inlineStr">
        <is>
          <t>Henry</t>
        </is>
      </c>
      <c r="H113" s="6" t="n">
        <v>1</v>
      </c>
      <c r="I113" s="6" t="inlineStr">
        <is>
          <t>To Do</t>
        </is>
      </c>
      <c r="J113" s="6" t="inlineStr">
        <is>
          <t>27/10</t>
        </is>
      </c>
      <c r="K113" s="7" t="inlineStr">
        <is>
          <t>alguien distinto del autor (T1, T5, T8)</t>
        </is>
      </c>
      <c r="L113" s="7" t="inlineStr">
        <is>
          <t>T-106, T-107, T-139</t>
        </is>
      </c>
    </row>
    <row r="114">
      <c r="B114" s="8" t="inlineStr">
        <is>
          <t>T-109</t>
        </is>
      </c>
      <c r="C114" s="8" t="inlineStr">
        <is>
          <t>HU-40</t>
        </is>
      </c>
      <c r="D114" s="9" t="inlineStr">
        <is>
          <t>Registrar salidas de material</t>
        </is>
      </c>
      <c r="E114" s="8" t="inlineStr">
        <is>
          <t>Aceptación</t>
        </is>
      </c>
      <c r="F114" s="9" t="inlineStr">
        <is>
          <t>Aceptar HU-40 como Product Owner desde la interfaz y moverla a Done</t>
        </is>
      </c>
      <c r="G114" s="8" t="inlineStr">
        <is>
          <t>Adiel</t>
        </is>
      </c>
      <c r="H114" s="8" t="n">
        <v>0.5</v>
      </c>
      <c r="I114" s="8" t="inlineStr">
        <is>
          <t>To Do</t>
        </is>
      </c>
      <c r="J114" s="8" t="inlineStr">
        <is>
          <t>27/10</t>
        </is>
      </c>
      <c r="K114" s="9" t="inlineStr">
        <is>
          <t>mueve la HU a Done</t>
        </is>
      </c>
      <c r="L114" s="9" t="inlineStr">
        <is>
          <t>T-108</t>
        </is>
      </c>
    </row>
    <row r="115">
      <c r="B115" s="6" t="inlineStr">
        <is>
          <t>T-110</t>
        </is>
      </c>
      <c r="C115" s="6" t="inlineStr">
        <is>
          <t>HU-43</t>
        </is>
      </c>
      <c r="D115" s="7" t="inlineStr">
        <is>
          <t>Consultar stock</t>
        </is>
      </c>
      <c r="E115" s="6" t="inlineStr">
        <is>
          <t>Backend</t>
        </is>
      </c>
      <c r="F115" s="7" t="inlineStr">
        <is>
          <t>Programar el cálculo del stock desde el libro de movimientos, por almacén y consolidado</t>
        </is>
      </c>
      <c r="G115" s="6" t="inlineStr">
        <is>
          <t>Adiel</t>
        </is>
      </c>
      <c r="H115" s="6" t="n">
        <v>2</v>
      </c>
      <c r="I115" s="6" t="inlineStr">
        <is>
          <t>To Do</t>
        </is>
      </c>
      <c r="J115" s="6" t="inlineStr">
        <is>
          <t>25/10</t>
        </is>
      </c>
      <c r="K115" s="7" t="inlineStr"/>
      <c r="L115" s="7" t="inlineStr"/>
    </row>
    <row r="116">
      <c r="B116" s="6" t="inlineStr">
        <is>
          <t>T-111</t>
        </is>
      </c>
      <c r="C116" s="6" t="inlineStr">
        <is>
          <t>HU-43</t>
        </is>
      </c>
      <c r="D116" s="7" t="inlineStr">
        <is>
          <t>Consultar stock</t>
        </is>
      </c>
      <c r="E116" s="6" t="inlineStr">
        <is>
          <t>Web</t>
        </is>
      </c>
      <c r="F116" s="7" t="inlineStr">
        <is>
          <t>Programar la pantalla web de stock y kárdex</t>
        </is>
      </c>
      <c r="G116" s="6" t="inlineStr">
        <is>
          <t>Fernando</t>
        </is>
      </c>
      <c r="H116" s="6" t="n">
        <v>2</v>
      </c>
      <c r="I116" s="6" t="inlineStr">
        <is>
          <t>Done</t>
        </is>
      </c>
      <c r="J116" s="6" t="inlineStr">
        <is>
          <t>26/10</t>
        </is>
      </c>
      <c r="K116" s="7" t="inlineStr">
        <is>
          <t>pantalla hecha con datos simulados; falta conectarla a la API real</t>
        </is>
      </c>
      <c r="L116" s="7" t="inlineStr"/>
    </row>
    <row r="117">
      <c r="B117" s="6" t="inlineStr">
        <is>
          <t>T-112</t>
        </is>
      </c>
      <c r="C117" s="6" t="inlineStr">
        <is>
          <t>HU-43</t>
        </is>
      </c>
      <c r="D117" s="7" t="inlineStr">
        <is>
          <t>Consultar stock</t>
        </is>
      </c>
      <c r="E117" s="6" t="inlineStr">
        <is>
          <t>Web</t>
        </is>
      </c>
      <c r="F117" s="7" t="inlineStr">
        <is>
          <t>Conectar la pantalla de stock y kárdex con la API real</t>
        </is>
      </c>
      <c r="G117" s="6" t="inlineStr">
        <is>
          <t>Henry</t>
        </is>
      </c>
      <c r="H117" s="6" t="n">
        <v>2</v>
      </c>
      <c r="I117" s="6" t="inlineStr">
        <is>
          <t>To Do</t>
        </is>
      </c>
      <c r="J117" s="6" t="inlineStr">
        <is>
          <t>26/10</t>
        </is>
      </c>
      <c r="K117" s="7" t="inlineStr"/>
      <c r="L117" s="7" t="inlineStr">
        <is>
          <t>T-110, T-140</t>
        </is>
      </c>
    </row>
    <row r="118">
      <c r="B118" s="6" t="inlineStr">
        <is>
          <t>T-113</t>
        </is>
      </c>
      <c r="C118" s="6" t="inlineStr">
        <is>
          <t>HU-43</t>
        </is>
      </c>
      <c r="D118" s="7" t="inlineStr">
        <is>
          <t>Consultar stock</t>
        </is>
      </c>
      <c r="E118" s="6" t="inlineStr">
        <is>
          <t>Android</t>
        </is>
      </c>
      <c r="F118" s="7" t="inlineStr">
        <is>
          <t>Programar la consulta de stock en la app</t>
        </is>
      </c>
      <c r="G118" s="6" t="inlineStr">
        <is>
          <t>Nicolás</t>
        </is>
      </c>
      <c r="H118" s="6" t="n">
        <v>2</v>
      </c>
      <c r="I118" s="6" t="inlineStr">
        <is>
          <t>To Do</t>
        </is>
      </c>
      <c r="J118" s="6" t="inlineStr">
        <is>
          <t>26/10</t>
        </is>
      </c>
      <c r="K118" s="7" t="inlineStr"/>
      <c r="L118" s="7" t="inlineStr">
        <is>
          <t>T-141</t>
        </is>
      </c>
    </row>
    <row r="119">
      <c r="B119" s="6" t="inlineStr">
        <is>
          <t>T-114</t>
        </is>
      </c>
      <c r="C119" s="6" t="inlineStr">
        <is>
          <t>HU-43</t>
        </is>
      </c>
      <c r="D119" s="7" t="inlineStr">
        <is>
          <t>Consultar stock</t>
        </is>
      </c>
      <c r="E119" s="6" t="inlineStr">
        <is>
          <t>Pruebas</t>
        </is>
      </c>
      <c r="F119" s="7" t="inlineStr">
        <is>
          <t>Probar HU-43 en el ambiente de pruebas contra sus condiciones finales y aprobar su PR</t>
        </is>
      </c>
      <c r="G119" s="6" t="inlineStr">
        <is>
          <t>Henry</t>
        </is>
      </c>
      <c r="H119" s="6" t="n">
        <v>1</v>
      </c>
      <c r="I119" s="6" t="inlineStr">
        <is>
          <t>To Do</t>
        </is>
      </c>
      <c r="J119" s="6" t="inlineStr">
        <is>
          <t>27/10</t>
        </is>
      </c>
      <c r="K119" s="7" t="inlineStr">
        <is>
          <t>alguien distinto del autor (T1, T5, T8)</t>
        </is>
      </c>
      <c r="L119" s="7" t="inlineStr">
        <is>
          <t>T-110, T-111, T-112, T-113, T-139</t>
        </is>
      </c>
    </row>
    <row r="120">
      <c r="B120" s="8" t="inlineStr">
        <is>
          <t>T-115</t>
        </is>
      </c>
      <c r="C120" s="8" t="inlineStr">
        <is>
          <t>HU-43</t>
        </is>
      </c>
      <c r="D120" s="9" t="inlineStr">
        <is>
          <t>Consultar stock</t>
        </is>
      </c>
      <c r="E120" s="8" t="inlineStr">
        <is>
          <t>Aceptación</t>
        </is>
      </c>
      <c r="F120" s="9" t="inlineStr">
        <is>
          <t>Aceptar HU-43 como Product Owner desde la interfaz y moverla a Done</t>
        </is>
      </c>
      <c r="G120" s="8" t="inlineStr">
        <is>
          <t>Adiel</t>
        </is>
      </c>
      <c r="H120" s="8" t="n">
        <v>0.5</v>
      </c>
      <c r="I120" s="8" t="inlineStr">
        <is>
          <t>To Do</t>
        </is>
      </c>
      <c r="J120" s="8" t="inlineStr">
        <is>
          <t>27/10</t>
        </is>
      </c>
      <c r="K120" s="9" t="inlineStr">
        <is>
          <t>mueve la HU a Done</t>
        </is>
      </c>
      <c r="L120" s="9" t="inlineStr">
        <is>
          <t>T-114</t>
        </is>
      </c>
    </row>
    <row r="121">
      <c r="B121" s="6" t="inlineStr">
        <is>
          <t>T-116</t>
        </is>
      </c>
      <c r="C121" s="6" t="inlineStr">
        <is>
          <t>HU-45</t>
        </is>
      </c>
      <c r="D121" s="7" t="inlineStr">
        <is>
          <t>Corregir movimientos</t>
        </is>
      </c>
      <c r="E121" s="6" t="inlineStr">
        <is>
          <t>Backend</t>
        </is>
      </c>
      <c r="F121" s="7" t="inlineStr">
        <is>
          <t>Programar el reverso que apunta al original, sin UPDATE ni DELETE</t>
        </is>
      </c>
      <c r="G121" s="6" t="inlineStr">
        <is>
          <t>Adiel</t>
        </is>
      </c>
      <c r="H121" s="6" t="n">
        <v>3</v>
      </c>
      <c r="I121" s="6" t="inlineStr">
        <is>
          <t>To Do</t>
        </is>
      </c>
      <c r="J121" s="6" t="inlineStr">
        <is>
          <t>25/10</t>
        </is>
      </c>
      <c r="K121" s="7" t="inlineStr"/>
      <c r="L121" s="7" t="inlineStr"/>
    </row>
    <row r="122">
      <c r="B122" s="6" t="inlineStr">
        <is>
          <t>T-117</t>
        </is>
      </c>
      <c r="C122" s="6" t="inlineStr">
        <is>
          <t>HU-45</t>
        </is>
      </c>
      <c r="D122" s="7" t="inlineStr">
        <is>
          <t>Corregir movimientos</t>
        </is>
      </c>
      <c r="E122" s="6" t="inlineStr">
        <is>
          <t>Web</t>
        </is>
      </c>
      <c r="F122" s="7" t="inlineStr">
        <is>
          <t>Programar la corrección con reverso desde el kárdex web</t>
        </is>
      </c>
      <c r="G122" s="6" t="inlineStr">
        <is>
          <t>Fernando</t>
        </is>
      </c>
      <c r="H122" s="6" t="n">
        <v>3</v>
      </c>
      <c r="I122" s="6" t="inlineStr">
        <is>
          <t>Done</t>
        </is>
      </c>
      <c r="J122" s="6" t="inlineStr">
        <is>
          <t>26/10</t>
        </is>
      </c>
      <c r="K122" s="7" t="inlineStr">
        <is>
          <t>pantalla hecha con datos simulados; falta conectarla a la API real</t>
        </is>
      </c>
      <c r="L122" s="7" t="inlineStr"/>
    </row>
    <row r="123">
      <c r="B123" s="6" t="inlineStr">
        <is>
          <t>T-118</t>
        </is>
      </c>
      <c r="C123" s="6" t="inlineStr">
        <is>
          <t>HU-45</t>
        </is>
      </c>
      <c r="D123" s="7" t="inlineStr">
        <is>
          <t>Corregir movimientos</t>
        </is>
      </c>
      <c r="E123" s="6" t="inlineStr">
        <is>
          <t>Web</t>
        </is>
      </c>
      <c r="F123" s="7" t="inlineStr">
        <is>
          <t>Conectar el reverso con la API real</t>
        </is>
      </c>
      <c r="G123" s="6" t="inlineStr">
        <is>
          <t>Henry</t>
        </is>
      </c>
      <c r="H123" s="6" t="n">
        <v>3</v>
      </c>
      <c r="I123" s="6" t="inlineStr">
        <is>
          <t>To Do</t>
        </is>
      </c>
      <c r="J123" s="6" t="inlineStr">
        <is>
          <t>26/10</t>
        </is>
      </c>
      <c r="K123" s="7" t="inlineStr"/>
      <c r="L123" s="7" t="inlineStr">
        <is>
          <t>T-116, T-140</t>
        </is>
      </c>
    </row>
    <row r="124">
      <c r="B124" s="6" t="inlineStr">
        <is>
          <t>T-119</t>
        </is>
      </c>
      <c r="C124" s="6" t="inlineStr">
        <is>
          <t>HU-45</t>
        </is>
      </c>
      <c r="D124" s="7" t="inlineStr">
        <is>
          <t>Corregir movimientos</t>
        </is>
      </c>
      <c r="E124" s="6" t="inlineStr">
        <is>
          <t>Pruebas</t>
        </is>
      </c>
      <c r="F124" s="7" t="inlineStr">
        <is>
          <t>Probar HU-45 en el ambiente de pruebas contra sus condiciones finales y aprobar su PR</t>
        </is>
      </c>
      <c r="G124" s="6" t="inlineStr">
        <is>
          <t>Fernando</t>
        </is>
      </c>
      <c r="H124" s="6" t="n">
        <v>1</v>
      </c>
      <c r="I124" s="6" t="inlineStr">
        <is>
          <t>To Do</t>
        </is>
      </c>
      <c r="J124" s="6" t="inlineStr">
        <is>
          <t>27/10</t>
        </is>
      </c>
      <c r="K124" s="7" t="inlineStr">
        <is>
          <t>alguien distinto del autor (T1, T5, T8)</t>
        </is>
      </c>
      <c r="L124" s="7" t="inlineStr">
        <is>
          <t>T-116, T-117, T-118, T-139</t>
        </is>
      </c>
    </row>
    <row r="125">
      <c r="B125" s="8" t="inlineStr">
        <is>
          <t>T-120</t>
        </is>
      </c>
      <c r="C125" s="8" t="inlineStr">
        <is>
          <t>HU-45</t>
        </is>
      </c>
      <c r="D125" s="9" t="inlineStr">
        <is>
          <t>Corregir movimientos</t>
        </is>
      </c>
      <c r="E125" s="8" t="inlineStr">
        <is>
          <t>Aceptación</t>
        </is>
      </c>
      <c r="F125" s="9" t="inlineStr">
        <is>
          <t>Aceptar HU-45 como Product Owner desde la interfaz y moverla a Done</t>
        </is>
      </c>
      <c r="G125" s="8" t="inlineStr">
        <is>
          <t>Adiel</t>
        </is>
      </c>
      <c r="H125" s="8" t="n">
        <v>0.5</v>
      </c>
      <c r="I125" s="8" t="inlineStr">
        <is>
          <t>To Do</t>
        </is>
      </c>
      <c r="J125" s="8" t="inlineStr">
        <is>
          <t>27/10</t>
        </is>
      </c>
      <c r="K125" s="9" t="inlineStr">
        <is>
          <t>mueve la HU a Done</t>
        </is>
      </c>
      <c r="L125" s="9" t="inlineStr">
        <is>
          <t>T-119</t>
        </is>
      </c>
    </row>
    <row r="126">
      <c r="B126" s="6" t="inlineStr">
        <is>
          <t>T-121</t>
        </is>
      </c>
      <c r="C126" s="6" t="inlineStr">
        <is>
          <t>HU-55</t>
        </is>
      </c>
      <c r="D126" s="7" t="inlineStr">
        <is>
          <t>Valorizar salidas</t>
        </is>
      </c>
      <c r="E126" s="6" t="inlineStr">
        <is>
          <t>Backend</t>
        </is>
      </c>
      <c r="F126" s="7" t="inlineStr">
        <is>
          <t>Programar el costo promedio ponderado congelado en cada salida, sin IGV de factura (NIC 2)</t>
        </is>
      </c>
      <c r="G126" s="6" t="inlineStr">
        <is>
          <t>Adiel</t>
        </is>
      </c>
      <c r="H126" s="6" t="n">
        <v>7</v>
      </c>
      <c r="I126" s="6" t="inlineStr">
        <is>
          <t>To Do</t>
        </is>
      </c>
      <c r="J126" s="6" t="inlineStr">
        <is>
          <t>25/10</t>
        </is>
      </c>
      <c r="K126" s="7" t="inlineStr"/>
      <c r="L126" s="7" t="inlineStr"/>
    </row>
    <row r="127">
      <c r="B127" s="6" t="inlineStr">
        <is>
          <t>T-122</t>
        </is>
      </c>
      <c r="C127" s="6" t="inlineStr">
        <is>
          <t>HU-55</t>
        </is>
      </c>
      <c r="D127" s="7" t="inlineStr">
        <is>
          <t>Valorizar salidas</t>
        </is>
      </c>
      <c r="E127" s="6" t="inlineStr">
        <is>
          <t>Web</t>
        </is>
      </c>
      <c r="F127" s="7" t="inlineStr">
        <is>
          <t>Mostrar la salida valorizada en el kárdex y en el reporte web</t>
        </is>
      </c>
      <c r="G127" s="6" t="inlineStr">
        <is>
          <t>Henry</t>
        </is>
      </c>
      <c r="H127" s="6" t="n">
        <v>7</v>
      </c>
      <c r="I127" s="6" t="inlineStr">
        <is>
          <t>To Do</t>
        </is>
      </c>
      <c r="J127" s="6" t="inlineStr">
        <is>
          <t>26/10</t>
        </is>
      </c>
      <c r="K127" s="7" t="inlineStr"/>
      <c r="L127" s="7" t="inlineStr"/>
    </row>
    <row r="128">
      <c r="B128" s="6" t="inlineStr">
        <is>
          <t>T-123</t>
        </is>
      </c>
      <c r="C128" s="6" t="inlineStr">
        <is>
          <t>HU-55</t>
        </is>
      </c>
      <c r="D128" s="7" t="inlineStr">
        <is>
          <t>Valorizar salidas</t>
        </is>
      </c>
      <c r="E128" s="6" t="inlineStr">
        <is>
          <t>Pruebas</t>
        </is>
      </c>
      <c r="F128" s="7" t="inlineStr">
        <is>
          <t>Probar HU-55 en el ambiente de pruebas contra sus condiciones finales y aprobar su PR</t>
        </is>
      </c>
      <c r="G128" s="6" t="inlineStr">
        <is>
          <t>Fernando</t>
        </is>
      </c>
      <c r="H128" s="6" t="n">
        <v>1</v>
      </c>
      <c r="I128" s="6" t="inlineStr">
        <is>
          <t>To Do</t>
        </is>
      </c>
      <c r="J128" s="6" t="inlineStr">
        <is>
          <t>27/10</t>
        </is>
      </c>
      <c r="K128" s="7" t="inlineStr">
        <is>
          <t>alguien distinto del autor (T1, T5, T8)</t>
        </is>
      </c>
      <c r="L128" s="7" t="inlineStr">
        <is>
          <t>T-121, T-122, T-139</t>
        </is>
      </c>
    </row>
    <row r="129">
      <c r="B129" s="8" t="inlineStr">
        <is>
          <t>T-124</t>
        </is>
      </c>
      <c r="C129" s="8" t="inlineStr">
        <is>
          <t>HU-55</t>
        </is>
      </c>
      <c r="D129" s="9" t="inlineStr">
        <is>
          <t>Valorizar salidas</t>
        </is>
      </c>
      <c r="E129" s="8" t="inlineStr">
        <is>
          <t>Aceptación</t>
        </is>
      </c>
      <c r="F129" s="9" t="inlineStr">
        <is>
          <t>Aceptar HU-55 como Product Owner desde la interfaz y moverla a Done</t>
        </is>
      </c>
      <c r="G129" s="8" t="inlineStr">
        <is>
          <t>Adiel</t>
        </is>
      </c>
      <c r="H129" s="8" t="n">
        <v>0.5</v>
      </c>
      <c r="I129" s="8" t="inlineStr">
        <is>
          <t>To Do</t>
        </is>
      </c>
      <c r="J129" s="8" t="inlineStr">
        <is>
          <t>27/10</t>
        </is>
      </c>
      <c r="K129" s="9" t="inlineStr">
        <is>
          <t>mueve la HU a Done</t>
        </is>
      </c>
      <c r="L129" s="9" t="inlineStr">
        <is>
          <t>T-123</t>
        </is>
      </c>
    </row>
    <row r="130">
      <c r="B130" s="6" t="inlineStr">
        <is>
          <t>T-125</t>
        </is>
      </c>
      <c r="C130" s="6" t="inlineStr">
        <is>
          <t>HU-57</t>
        </is>
      </c>
      <c r="D130" s="7" t="inlineStr">
        <is>
          <t>Comparar consumo vs. lo planificado</t>
        </is>
      </c>
      <c r="E130" s="6" t="inlineStr">
        <is>
          <t>Backend</t>
        </is>
      </c>
      <c r="F130" s="7" t="inlineStr">
        <is>
          <t>Programar la comparación del consumo contra lo planificado en el S10</t>
        </is>
      </c>
      <c r="G130" s="6" t="inlineStr">
        <is>
          <t>Adiel</t>
        </is>
      </c>
      <c r="H130" s="6" t="n">
        <v>5</v>
      </c>
      <c r="I130" s="6" t="inlineStr">
        <is>
          <t>To Do</t>
        </is>
      </c>
      <c r="J130" s="6" t="inlineStr">
        <is>
          <t>25/10</t>
        </is>
      </c>
      <c r="K130" s="7" t="inlineStr"/>
      <c r="L130" s="7" t="inlineStr"/>
    </row>
    <row r="131">
      <c r="B131" s="6" t="inlineStr">
        <is>
          <t>T-126</t>
        </is>
      </c>
      <c r="C131" s="6" t="inlineStr">
        <is>
          <t>HU-57</t>
        </is>
      </c>
      <c r="D131" s="7" t="inlineStr">
        <is>
          <t>Comparar consumo vs. lo planificado</t>
        </is>
      </c>
      <c r="E131" s="6" t="inlineStr">
        <is>
          <t>Web</t>
        </is>
      </c>
      <c r="F131" s="7" t="inlineStr">
        <is>
          <t>Programar la pantalla web «Gasto en recursos» con la desviación</t>
        </is>
      </c>
      <c r="G131" s="6" t="inlineStr">
        <is>
          <t>Fernando</t>
        </is>
      </c>
      <c r="H131" s="6" t="n">
        <v>5</v>
      </c>
      <c r="I131" s="6" t="inlineStr">
        <is>
          <t>Done</t>
        </is>
      </c>
      <c r="J131" s="6" t="inlineStr">
        <is>
          <t>26/10</t>
        </is>
      </c>
      <c r="K131" s="7" t="inlineStr">
        <is>
          <t>pantalla hecha con datos simulados; falta conectarla a la API real</t>
        </is>
      </c>
      <c r="L131" s="7" t="inlineStr"/>
    </row>
    <row r="132">
      <c r="B132" s="6" t="inlineStr">
        <is>
          <t>T-127</t>
        </is>
      </c>
      <c r="C132" s="6" t="inlineStr">
        <is>
          <t>HU-57</t>
        </is>
      </c>
      <c r="D132" s="7" t="inlineStr">
        <is>
          <t>Comparar consumo vs. lo planificado</t>
        </is>
      </c>
      <c r="E132" s="6" t="inlineStr">
        <is>
          <t>Web</t>
        </is>
      </c>
      <c r="F132" s="7" t="inlineStr">
        <is>
          <t>Conectar la pantalla de desviación con la API real</t>
        </is>
      </c>
      <c r="G132" s="6" t="inlineStr">
        <is>
          <t>Henry</t>
        </is>
      </c>
      <c r="H132" s="6" t="n">
        <v>5</v>
      </c>
      <c r="I132" s="6" t="inlineStr">
        <is>
          <t>To Do</t>
        </is>
      </c>
      <c r="J132" s="6" t="inlineStr">
        <is>
          <t>26/10</t>
        </is>
      </c>
      <c r="K132" s="7" t="inlineStr"/>
      <c r="L132" s="7" t="inlineStr">
        <is>
          <t>T-125, T-140</t>
        </is>
      </c>
    </row>
    <row r="133">
      <c r="B133" s="6" t="inlineStr">
        <is>
          <t>T-128</t>
        </is>
      </c>
      <c r="C133" s="6" t="inlineStr">
        <is>
          <t>HU-57</t>
        </is>
      </c>
      <c r="D133" s="7" t="inlineStr">
        <is>
          <t>Comparar consumo vs. lo planificado</t>
        </is>
      </c>
      <c r="E133" s="6" t="inlineStr">
        <is>
          <t>Pruebas</t>
        </is>
      </c>
      <c r="F133" s="7" t="inlineStr">
        <is>
          <t>Probar HU-57 en el ambiente de pruebas contra sus condiciones finales y aprobar su PR</t>
        </is>
      </c>
      <c r="G133" s="6" t="inlineStr">
        <is>
          <t>Fernando</t>
        </is>
      </c>
      <c r="H133" s="6" t="n">
        <v>1</v>
      </c>
      <c r="I133" s="6" t="inlineStr">
        <is>
          <t>To Do</t>
        </is>
      </c>
      <c r="J133" s="6" t="inlineStr">
        <is>
          <t>27/10</t>
        </is>
      </c>
      <c r="K133" s="7" t="inlineStr">
        <is>
          <t>alguien distinto del autor (T1, T5, T8)</t>
        </is>
      </c>
      <c r="L133" s="7" t="inlineStr">
        <is>
          <t>T-125, T-126, T-127, T-139</t>
        </is>
      </c>
    </row>
    <row r="134">
      <c r="B134" s="8" t="inlineStr">
        <is>
          <t>T-129</t>
        </is>
      </c>
      <c r="C134" s="8" t="inlineStr">
        <is>
          <t>HU-57</t>
        </is>
      </c>
      <c r="D134" s="9" t="inlineStr">
        <is>
          <t>Comparar consumo vs. lo planificado</t>
        </is>
      </c>
      <c r="E134" s="8" t="inlineStr">
        <is>
          <t>Aceptación</t>
        </is>
      </c>
      <c r="F134" s="9" t="inlineStr">
        <is>
          <t>Aceptar HU-57 como Product Owner desde la interfaz y moverla a Done</t>
        </is>
      </c>
      <c r="G134" s="8" t="inlineStr">
        <is>
          <t>Adiel</t>
        </is>
      </c>
      <c r="H134" s="8" t="n">
        <v>0.5</v>
      </c>
      <c r="I134" s="8" t="inlineStr">
        <is>
          <t>To Do</t>
        </is>
      </c>
      <c r="J134" s="8" t="inlineStr">
        <is>
          <t>27/10</t>
        </is>
      </c>
      <c r="K134" s="9" t="inlineStr">
        <is>
          <t>mueve la HU a Done</t>
        </is>
      </c>
      <c r="L134" s="9" t="inlineStr">
        <is>
          <t>T-128</t>
        </is>
      </c>
    </row>
    <row r="135">
      <c r="B135" s="6" t="inlineStr">
        <is>
          <t>T-130</t>
        </is>
      </c>
      <c r="C135" s="6" t="inlineStr">
        <is>
          <t>HU-62</t>
        </is>
      </c>
      <c r="D135" s="7" t="inlineStr">
        <is>
          <t>Registrar trabajadores</t>
        </is>
      </c>
      <c r="E135" s="6" t="inlineStr">
        <is>
          <t>Backend</t>
        </is>
      </c>
      <c r="F135" s="7" t="inlineStr">
        <is>
          <t>Programar el registro de trabajadores: único por obra y baja con fecha</t>
        </is>
      </c>
      <c r="G135" s="6" t="inlineStr">
        <is>
          <t>Adiel</t>
        </is>
      </c>
      <c r="H135" s="6" t="n">
        <v>2</v>
      </c>
      <c r="I135" s="6" t="inlineStr">
        <is>
          <t>Done</t>
        </is>
      </c>
      <c r="J135" s="6" t="inlineStr">
        <is>
          <t>25/10</t>
        </is>
      </c>
      <c r="K135" s="7" t="inlineStr">
        <is>
          <t>hecho en la API de Adiel (PR #1 fusionado a main), con pruebas</t>
        </is>
      </c>
      <c r="L135" s="7" t="inlineStr"/>
    </row>
    <row r="136">
      <c r="B136" s="6" t="inlineStr">
        <is>
          <t>T-131</t>
        </is>
      </c>
      <c r="C136" s="6" t="inlineStr">
        <is>
          <t>HU-62</t>
        </is>
      </c>
      <c r="D136" s="7" t="inlineStr">
        <is>
          <t>Registrar trabajadores</t>
        </is>
      </c>
      <c r="E136" s="6" t="inlineStr">
        <is>
          <t>Integraciones</t>
        </is>
      </c>
      <c r="F136" s="7" t="inlineStr">
        <is>
          <t>Programar la consulta de DNI en RENIEC desde el microservicio</t>
        </is>
      </c>
      <c r="G136" s="6" t="inlineStr">
        <is>
          <t>Fernando</t>
        </is>
      </c>
      <c r="H136" s="6" t="n">
        <v>2</v>
      </c>
      <c r="I136" s="6" t="inlineStr">
        <is>
          <t>Done</t>
        </is>
      </c>
      <c r="J136" s="6" t="inlineStr">
        <is>
          <t>25/10</t>
        </is>
      </c>
      <c r="K136" s="7" t="inlineStr">
        <is>
          <t>probado con Factiliza</t>
        </is>
      </c>
      <c r="L136" s="7" t="inlineStr"/>
    </row>
    <row r="137">
      <c r="B137" s="6" t="inlineStr">
        <is>
          <t>T-132</t>
        </is>
      </c>
      <c r="C137" s="6" t="inlineStr">
        <is>
          <t>HU-62</t>
        </is>
      </c>
      <c r="D137" s="7" t="inlineStr">
        <is>
          <t>Registrar trabajadores</t>
        </is>
      </c>
      <c r="E137" s="6" t="inlineStr">
        <is>
          <t>Android</t>
        </is>
      </c>
      <c r="F137" s="7" t="inlineStr">
        <is>
          <t>Programar en la app el registro de trabajadores con consulta de DNI</t>
        </is>
      </c>
      <c r="G137" s="6" t="inlineStr">
        <is>
          <t>Nicolás</t>
        </is>
      </c>
      <c r="H137" s="6" t="n">
        <v>2</v>
      </c>
      <c r="I137" s="6" t="inlineStr">
        <is>
          <t>To Do</t>
        </is>
      </c>
      <c r="J137" s="6" t="inlineStr">
        <is>
          <t>26/10</t>
        </is>
      </c>
      <c r="K137" s="7" t="inlineStr"/>
      <c r="L137" s="7" t="inlineStr">
        <is>
          <t>T-141</t>
        </is>
      </c>
    </row>
    <row r="138">
      <c r="B138" s="6" t="inlineStr">
        <is>
          <t>T-133</t>
        </is>
      </c>
      <c r="C138" s="6" t="inlineStr">
        <is>
          <t>HU-62</t>
        </is>
      </c>
      <c r="D138" s="7" t="inlineStr">
        <is>
          <t>Registrar trabajadores</t>
        </is>
      </c>
      <c r="E138" s="6" t="inlineStr">
        <is>
          <t>Pruebas</t>
        </is>
      </c>
      <c r="F138" s="7" t="inlineStr">
        <is>
          <t>Probar HU-62 en el ambiente de pruebas contra sus condiciones finales y aprobar su PR</t>
        </is>
      </c>
      <c r="G138" s="6" t="inlineStr">
        <is>
          <t>Henry</t>
        </is>
      </c>
      <c r="H138" s="6" t="n">
        <v>1</v>
      </c>
      <c r="I138" s="6" t="inlineStr">
        <is>
          <t>To Do</t>
        </is>
      </c>
      <c r="J138" s="6" t="inlineStr">
        <is>
          <t>27/10</t>
        </is>
      </c>
      <c r="K138" s="7" t="inlineStr">
        <is>
          <t>alguien distinto del autor (T1, T5, T8)</t>
        </is>
      </c>
      <c r="L138" s="7" t="inlineStr">
        <is>
          <t>T-130, T-131, T-132, T-139</t>
        </is>
      </c>
    </row>
    <row r="139">
      <c r="B139" s="8" t="inlineStr">
        <is>
          <t>T-134</t>
        </is>
      </c>
      <c r="C139" s="8" t="inlineStr">
        <is>
          <t>HU-62</t>
        </is>
      </c>
      <c r="D139" s="9" t="inlineStr">
        <is>
          <t>Registrar trabajadores</t>
        </is>
      </c>
      <c r="E139" s="8" t="inlineStr">
        <is>
          <t>Aceptación</t>
        </is>
      </c>
      <c r="F139" s="9" t="inlineStr">
        <is>
          <t>Aceptar HU-62 como Product Owner desde la interfaz y moverla a Done</t>
        </is>
      </c>
      <c r="G139" s="8" t="inlineStr">
        <is>
          <t>Adiel</t>
        </is>
      </c>
      <c r="H139" s="8" t="n">
        <v>0.5</v>
      </c>
      <c r="I139" s="8" t="inlineStr">
        <is>
          <t>To Do</t>
        </is>
      </c>
      <c r="J139" s="8" t="inlineStr">
        <is>
          <t>27/10</t>
        </is>
      </c>
      <c r="K139" s="9" t="inlineStr">
        <is>
          <t>mueve la HU a Done</t>
        </is>
      </c>
      <c r="L139" s="9" t="inlineStr">
        <is>
          <t>T-133</t>
        </is>
      </c>
    </row>
    <row r="140">
      <c r="B140" s="6" t="inlineStr">
        <is>
          <t>T-135</t>
        </is>
      </c>
      <c r="C140" s="6" t="inlineStr">
        <is>
          <t>HU-63</t>
        </is>
      </c>
      <c r="D140" s="7" t="inlineStr">
        <is>
          <t>Tomar asistencia</t>
        </is>
      </c>
      <c r="E140" s="6" t="inlineStr">
        <is>
          <t>Backend</t>
        </is>
      </c>
      <c r="F140" s="7" t="inlineStr">
        <is>
          <t>Programar la asistencia: una jornada por trabajador y fecha, corrección sin borrar</t>
        </is>
      </c>
      <c r="G140" s="6" t="inlineStr">
        <is>
          <t>Adiel</t>
        </is>
      </c>
      <c r="H140" s="6" t="n">
        <v>4</v>
      </c>
      <c r="I140" s="6" t="inlineStr">
        <is>
          <t>Done</t>
        </is>
      </c>
      <c r="J140" s="6" t="inlineStr">
        <is>
          <t>25/10</t>
        </is>
      </c>
      <c r="K140" s="7" t="inlineStr">
        <is>
          <t>tareo hecho en la API de Adiel; confirmar criterios</t>
        </is>
      </c>
      <c r="L140" s="7" t="inlineStr"/>
    </row>
    <row r="141">
      <c r="B141" s="6" t="inlineStr">
        <is>
          <t>T-136</t>
        </is>
      </c>
      <c r="C141" s="6" t="inlineStr">
        <is>
          <t>HU-63</t>
        </is>
      </c>
      <c r="D141" s="7" t="inlineStr">
        <is>
          <t>Tomar asistencia</t>
        </is>
      </c>
      <c r="E141" s="6" t="inlineStr">
        <is>
          <t>Android</t>
        </is>
      </c>
      <c r="F141" s="7" t="inlineStr">
        <is>
          <t>Programar la pantalla de asistencia del día en la app (horas normales y extra)</t>
        </is>
      </c>
      <c r="G141" s="6" t="inlineStr">
        <is>
          <t>Nicolás</t>
        </is>
      </c>
      <c r="H141" s="6" t="n">
        <v>4</v>
      </c>
      <c r="I141" s="6" t="inlineStr">
        <is>
          <t>To Do</t>
        </is>
      </c>
      <c r="J141" s="6" t="inlineStr">
        <is>
          <t>26/10</t>
        </is>
      </c>
      <c r="K141" s="7" t="inlineStr"/>
      <c r="L141" s="7" t="inlineStr">
        <is>
          <t>T-141</t>
        </is>
      </c>
    </row>
    <row r="142">
      <c r="B142" s="6" t="inlineStr">
        <is>
          <t>T-137</t>
        </is>
      </c>
      <c r="C142" s="6" t="inlineStr">
        <is>
          <t>HU-63</t>
        </is>
      </c>
      <c r="D142" s="7" t="inlineStr">
        <is>
          <t>Tomar asistencia</t>
        </is>
      </c>
      <c r="E142" s="6" t="inlineStr">
        <is>
          <t>Pruebas</t>
        </is>
      </c>
      <c r="F142" s="7" t="inlineStr">
        <is>
          <t>Probar HU-63 en el ambiente de pruebas contra sus condiciones finales y aprobar su PR</t>
        </is>
      </c>
      <c r="G142" s="6" t="inlineStr">
        <is>
          <t>Henry</t>
        </is>
      </c>
      <c r="H142" s="6" t="n">
        <v>1</v>
      </c>
      <c r="I142" s="6" t="inlineStr">
        <is>
          <t>To Do</t>
        </is>
      </c>
      <c r="J142" s="6" t="inlineStr">
        <is>
          <t>27/10</t>
        </is>
      </c>
      <c r="K142" s="7" t="inlineStr">
        <is>
          <t>alguien distinto del autor (T1, T5, T8)</t>
        </is>
      </c>
      <c r="L142" s="7" t="inlineStr">
        <is>
          <t>T-135, T-136, T-139</t>
        </is>
      </c>
    </row>
    <row r="143">
      <c r="B143" s="8" t="inlineStr">
        <is>
          <t>T-138</t>
        </is>
      </c>
      <c r="C143" s="8" t="inlineStr">
        <is>
          <t>HU-63</t>
        </is>
      </c>
      <c r="D143" s="9" t="inlineStr">
        <is>
          <t>Tomar asistencia</t>
        </is>
      </c>
      <c r="E143" s="8" t="inlineStr">
        <is>
          <t>Aceptación</t>
        </is>
      </c>
      <c r="F143" s="9" t="inlineStr">
        <is>
          <t>Aceptar HU-63 como Product Owner desde la interfaz y moverla a Done</t>
        </is>
      </c>
      <c r="G143" s="8" t="inlineStr">
        <is>
          <t>Adiel</t>
        </is>
      </c>
      <c r="H143" s="8" t="n">
        <v>0.5</v>
      </c>
      <c r="I143" s="8" t="inlineStr">
        <is>
          <t>To Do</t>
        </is>
      </c>
      <c r="J143" s="8" t="inlineStr">
        <is>
          <t>27/10</t>
        </is>
      </c>
      <c r="K143" s="9" t="inlineStr">
        <is>
          <t>mueve la HU a Done</t>
        </is>
      </c>
      <c r="L143" s="9" t="inlineStr">
        <is>
          <t>T-137</t>
        </is>
      </c>
    </row>
    <row r="144">
      <c r="B144" s="6" t="inlineStr">
        <is>
          <t>T-139</t>
        </is>
      </c>
      <c r="C144" s="6" t="inlineStr">
        <is>
          <t>—</t>
        </is>
      </c>
      <c r="D144" s="7" t="inlineStr">
        <is>
          <t>Transversal</t>
        </is>
      </c>
      <c r="E144" s="6" t="inlineStr">
        <is>
          <t>DevOps</t>
        </is>
      </c>
      <c r="F144" s="7" t="inlineStr">
        <is>
          <t>Desplegar el ambiente de pruebas (API, base de datos y web) que exige el T8 de la DoD</t>
        </is>
      </c>
      <c r="G144" s="6" t="inlineStr">
        <is>
          <t>Fernando</t>
        </is>
      </c>
      <c r="H144" s="6" t="n">
        <v>6</v>
      </c>
      <c r="I144" s="6" t="inlineStr">
        <is>
          <t>To Do</t>
        </is>
      </c>
      <c r="J144" s="6" t="inlineStr">
        <is>
          <t>24/10</t>
        </is>
      </c>
      <c r="K144" s="7" t="inlineStr">
        <is>
          <t>sin esto ninguna HU puede quedar Done</t>
        </is>
      </c>
      <c r="L144" s="7" t="inlineStr"/>
    </row>
    <row r="145">
      <c r="B145" s="6" t="inlineStr">
        <is>
          <t>T-140</t>
        </is>
      </c>
      <c r="C145" s="6" t="inlineStr">
        <is>
          <t>—</t>
        </is>
      </c>
      <c r="D145" s="7" t="inlineStr">
        <is>
          <t>Transversal</t>
        </is>
      </c>
      <c r="E145" s="6" t="inlineStr">
        <is>
          <t>Web</t>
        </is>
      </c>
      <c r="F145" s="7" t="inlineStr">
        <is>
          <t>Programar el ClienteHttp para que la web hable con la API real (snake_case ↔ camelCase, errores {codigo, mensaje})</t>
        </is>
      </c>
      <c r="G145" s="6" t="inlineStr">
        <is>
          <t>Henry</t>
        </is>
      </c>
      <c r="H145" s="6" t="n">
        <v>4</v>
      </c>
      <c r="I145" s="6" t="inlineStr">
        <is>
          <t>To Do</t>
        </is>
      </c>
      <c r="J145" s="6" t="inlineStr">
        <is>
          <t>26/10</t>
        </is>
      </c>
      <c r="K145" s="7" t="inlineStr">
        <is>
          <t>desbloquea todas las tareas «Conectar…»</t>
        </is>
      </c>
      <c r="L145" s="7" t="inlineStr"/>
    </row>
    <row r="146">
      <c r="B146" s="6" t="inlineStr">
        <is>
          <t>T-141</t>
        </is>
      </c>
      <c r="C146" s="6" t="inlineStr">
        <is>
          <t>—</t>
        </is>
      </c>
      <c r="D146" s="7" t="inlineStr">
        <is>
          <t>Transversal</t>
        </is>
      </c>
      <c r="E146" s="6" t="inlineStr">
        <is>
          <t>Android</t>
        </is>
      </c>
      <c r="F146" s="7" t="inlineStr">
        <is>
          <t>Crear el proyecto base de la app: Compose, Room, WorkManager y cliente de la API</t>
        </is>
      </c>
      <c r="G146" s="6" t="inlineStr">
        <is>
          <t>Nicolás</t>
        </is>
      </c>
      <c r="H146" s="6" t="n">
        <v>6</v>
      </c>
      <c r="I146" s="6" t="inlineStr">
        <is>
          <t>To Do</t>
        </is>
      </c>
      <c r="J146" s="6" t="inlineStr">
        <is>
          <t>26/10</t>
        </is>
      </c>
      <c r="K146" s="7" t="inlineStr">
        <is>
          <t>desbloquea todas las tareas Android</t>
        </is>
      </c>
      <c r="L146" s="7" t="inlineStr"/>
    </row>
    <row r="147">
      <c r="B147" s="6" t="inlineStr">
        <is>
          <t>T-142</t>
        </is>
      </c>
      <c r="C147" s="6" t="inlineStr">
        <is>
          <t>—</t>
        </is>
      </c>
      <c r="D147" s="7" t="inlineStr">
        <is>
          <t>Transversal</t>
        </is>
      </c>
      <c r="E147" s="6" t="inlineStr">
        <is>
          <t>Backend</t>
        </is>
      </c>
      <c r="F147" s="7" t="inlineStr">
        <is>
          <t>Cargar en la base las semillas de los 626 proveedores reales</t>
        </is>
      </c>
      <c r="G147" s="6" t="inlineStr">
        <is>
          <t>Adiel</t>
        </is>
      </c>
      <c r="H147" s="6" t="n">
        <v>1</v>
      </c>
      <c r="I147" s="6" t="inlineStr">
        <is>
          <t>To Do</t>
        </is>
      </c>
      <c r="J147" s="6" t="inlineStr">
        <is>
          <t>25/10</t>
        </is>
      </c>
      <c r="K147" s="7" t="inlineStr"/>
      <c r="L147" s="7" t="inlineStr"/>
    </row>
    <row r="148">
      <c r="B148" s="6" t="inlineStr">
        <is>
          <t>T-143</t>
        </is>
      </c>
      <c r="C148" s="6" t="inlineStr">
        <is>
          <t>—</t>
        </is>
      </c>
      <c r="D148" s="7" t="inlineStr">
        <is>
          <t>Transversal</t>
        </is>
      </c>
      <c r="E148" s="6" t="inlineStr">
        <is>
          <t>DevOps</t>
        </is>
      </c>
      <c r="F148" s="7" t="inlineStr">
        <is>
          <t>Configurar las pruebas automáticas en cada PR con GitHub Actions</t>
        </is>
      </c>
      <c r="G148" s="6" t="inlineStr">
        <is>
          <t>Adiel</t>
        </is>
      </c>
      <c r="H148" s="6" t="n">
        <v>3</v>
      </c>
      <c r="I148" s="6" t="inlineStr">
        <is>
          <t>To Do</t>
        </is>
      </c>
      <c r="J148" s="6" t="inlineStr">
        <is>
          <t>24/10</t>
        </is>
      </c>
      <c r="K148" s="7" t="inlineStr">
        <is>
          <t>T5 de la DoD</t>
        </is>
      </c>
      <c r="L148" s="7" t="inlineStr"/>
    </row>
    <row r="149">
      <c r="B149" s="6" t="inlineStr">
        <is>
          <t>T-144</t>
        </is>
      </c>
      <c r="C149" s="6" t="inlineStr">
        <is>
          <t>—</t>
        </is>
      </c>
      <c r="D149" s="7" t="inlineStr">
        <is>
          <t>Transversal</t>
        </is>
      </c>
      <c r="E149" s="6" t="inlineStr">
        <is>
          <t>Scrum</t>
        </is>
      </c>
      <c r="F149" s="7" t="inlineStr">
        <is>
          <t>Poner el repositorio en privado e invitar al docente como lector</t>
        </is>
      </c>
      <c r="G149" s="6" t="inlineStr">
        <is>
          <t>Fernando</t>
        </is>
      </c>
      <c r="H149" s="6" t="n">
        <v>0.5</v>
      </c>
      <c r="I149" s="6" t="inlineStr">
        <is>
          <t>To Do</t>
        </is>
      </c>
      <c r="J149" s="6" t="inlineStr">
        <is>
          <t>23/10</t>
        </is>
      </c>
      <c r="K149" s="7" t="inlineStr">
        <is>
          <t>hoy está público</t>
        </is>
      </c>
      <c r="L149" s="7" t="inlineStr"/>
    </row>
    <row r="150">
      <c r="B150" s="6" t="inlineStr">
        <is>
          <t>T-145</t>
        </is>
      </c>
      <c r="C150" s="6" t="inlineStr">
        <is>
          <t>—</t>
        </is>
      </c>
      <c r="D150" s="7" t="inlineStr">
        <is>
          <t>Transversal</t>
        </is>
      </c>
      <c r="E150" s="6" t="inlineStr">
        <is>
          <t>Scrum</t>
        </is>
      </c>
      <c r="F150" s="7" t="inlineStr">
        <is>
          <t>Armar el tablero en GitHub Projects con las plantillas de DoR y DoD</t>
        </is>
      </c>
      <c r="G150" s="6" t="inlineStr">
        <is>
          <t>Fernando</t>
        </is>
      </c>
      <c r="H150" s="6" t="n">
        <v>2</v>
      </c>
      <c r="I150" s="6" t="inlineStr">
        <is>
          <t>Doing</t>
        </is>
      </c>
      <c r="J150" s="6" t="inlineStr">
        <is>
          <t>23/10</t>
        </is>
      </c>
      <c r="K150" s="7" t="inlineStr"/>
      <c r="L150" s="7" t="inlineStr"/>
    </row>
    <row r="151">
      <c r="B151" s="6" t="inlineStr">
        <is>
          <t>T-146</t>
        </is>
      </c>
      <c r="C151" s="6" t="inlineStr">
        <is>
          <t>—</t>
        </is>
      </c>
      <c r="D151" s="7" t="inlineStr">
        <is>
          <t>Transversal</t>
        </is>
      </c>
      <c r="E151" s="6" t="inlineStr">
        <is>
          <t>Scrum</t>
        </is>
      </c>
      <c r="F151" s="7" t="inlineStr">
        <is>
          <t>Facilitar el Daily Scrum de 15 minutos cada día, registrarlo y actualizar el burndown</t>
        </is>
      </c>
      <c r="G151" s="6" t="inlineStr">
        <is>
          <t>Fernando</t>
        </is>
      </c>
      <c r="H151" s="6" t="n">
        <v>2</v>
      </c>
      <c r="I151" s="6" t="inlineStr">
        <is>
          <t>Doing</t>
        </is>
      </c>
      <c r="J151" s="6" t="inlineStr">
        <is>
          <t>27/10</t>
        </is>
      </c>
      <c r="K151" s="7" t="inlineStr">
        <is>
          <t>hasta el 28/10</t>
        </is>
      </c>
      <c r="L151" s="7" t="inlineStr"/>
    </row>
    <row r="152">
      <c r="B152" s="6" t="inlineStr">
        <is>
          <t>T-147</t>
        </is>
      </c>
      <c r="C152" s="6" t="inlineStr">
        <is>
          <t>—</t>
        </is>
      </c>
      <c r="D152" s="7" t="inlineStr">
        <is>
          <t>Transversal</t>
        </is>
      </c>
      <c r="E152" s="6" t="inlineStr">
        <is>
          <t>UX</t>
        </is>
      </c>
      <c r="F152" s="7" t="inlineStr">
        <is>
          <t>Simplificar los textos de cada pantalla web: título y una línea, con ayuda «?» bajo demanda</t>
        </is>
      </c>
      <c r="G152" s="6" t="inlineStr">
        <is>
          <t>Fernando</t>
        </is>
      </c>
      <c r="H152" s="6" t="n">
        <v>3</v>
      </c>
      <c r="I152" s="6" t="inlineStr">
        <is>
          <t>To Do</t>
        </is>
      </c>
      <c r="J152" s="6" t="inlineStr">
        <is>
          <t>26/10</t>
        </is>
      </c>
      <c r="K152" s="7" t="inlineStr">
        <is>
          <t>observación de Fernando: hoy hay demasiado texto</t>
        </is>
      </c>
      <c r="L152" s="7" t="inlineStr"/>
    </row>
    <row r="153">
      <c r="B153" s="6" t="inlineStr">
        <is>
          <t>T-148</t>
        </is>
      </c>
      <c r="C153" s="6" t="inlineStr">
        <is>
          <t>—</t>
        </is>
      </c>
      <c r="D153" s="7" t="inlineStr">
        <is>
          <t>Transversal</t>
        </is>
      </c>
      <c r="E153" s="6" t="inlineStr">
        <is>
          <t>UX</t>
        </is>
      </c>
      <c r="F153" s="7" t="inlineStr">
        <is>
          <t>Validar las pantallas con el cliente (Pool) en una sesión corta y registrar sus observaciones</t>
        </is>
      </c>
      <c r="G153" s="6" t="inlineStr">
        <is>
          <t>Fernando</t>
        </is>
      </c>
      <c r="H153" s="6" t="n">
        <v>1.5</v>
      </c>
      <c r="I153" s="6" t="inlineStr">
        <is>
          <t>To Do</t>
        </is>
      </c>
      <c r="J153" s="6" t="inlineStr">
        <is>
          <t>26/10</t>
        </is>
      </c>
      <c r="K153" s="7" t="inlineStr">
        <is>
          <t>que lo use quien lo va a usar</t>
        </is>
      </c>
      <c r="L153" s="7" t="inlineStr"/>
    </row>
    <row r="154">
      <c r="B154" s="6" t="inlineStr">
        <is>
          <t>T-149</t>
        </is>
      </c>
      <c r="C154" s="6" t="inlineStr">
        <is>
          <t>—</t>
        </is>
      </c>
      <c r="D154" s="7" t="inlineStr">
        <is>
          <t>Transversal</t>
        </is>
      </c>
      <c r="E154" s="6" t="inlineStr">
        <is>
          <t>UX</t>
        </is>
      </c>
      <c r="F154" s="7" t="inlineStr">
        <is>
          <t>Revisar la app con guantes y al sol: botones grandes, una acción por pantalla, contraste AA</t>
        </is>
      </c>
      <c r="G154" s="6" t="inlineStr">
        <is>
          <t>Nicolás</t>
        </is>
      </c>
      <c r="H154" s="6" t="n">
        <v>2</v>
      </c>
      <c r="I154" s="6" t="inlineStr">
        <is>
          <t>To Do</t>
        </is>
      </c>
      <c r="J154" s="6" t="inlineStr">
        <is>
          <t>26/10</t>
        </is>
      </c>
      <c r="K154" s="7" t="inlineStr">
        <is>
          <t>el almacenero trabaja en obra</t>
        </is>
      </c>
      <c r="L154" s="7" t="inlineStr"/>
    </row>
    <row r="155">
      <c r="B155" s="6" t="inlineStr">
        <is>
          <t>T-150</t>
        </is>
      </c>
      <c r="C155" s="6" t="inlineStr">
        <is>
          <t>—</t>
        </is>
      </c>
      <c r="D155" s="7" t="inlineStr">
        <is>
          <t>Transversal</t>
        </is>
      </c>
      <c r="E155" s="6" t="inlineStr">
        <is>
          <t>Diseño UI</t>
        </is>
      </c>
      <c r="F155" s="7" t="inlineStr">
        <is>
          <t>Diseñar las 23 pantallas del Sprint 1 y los mapas de navegación</t>
        </is>
      </c>
      <c r="G155" s="6" t="inlineStr">
        <is>
          <t>Fernando</t>
        </is>
      </c>
      <c r="H155" s="6" t="n">
        <v>2</v>
      </c>
      <c r="I155" s="6" t="inlineStr">
        <is>
          <t>Done</t>
        </is>
      </c>
      <c r="J155" s="6" t="inlineStr">
        <is>
          <t>23/10</t>
        </is>
      </c>
      <c r="K155" s="7" t="inlineStr">
        <is>
          <t>lienzo «SIGRO · Pantallas y diagramas del Sprint 1», WCAG AA</t>
        </is>
      </c>
      <c r="L155" s="7" t="inlineStr"/>
    </row>
    <row r="156">
      <c r="B156" s="6" t="inlineStr">
        <is>
          <t>T-151</t>
        </is>
      </c>
      <c r="C156" s="6" t="inlineStr">
        <is>
          <t>—</t>
        </is>
      </c>
      <c r="D156" s="7" t="inlineStr">
        <is>
          <t>Transversal</t>
        </is>
      </c>
      <c r="E156" s="6" t="inlineStr">
        <is>
          <t>Modelado UML</t>
        </is>
      </c>
      <c r="F156" s="7" t="inlineStr">
        <is>
          <t>Modelar los 3 diagramas de casos de uso y los 3 de secuencia (importación S10, salida sin señal, recepción y costo promedio)</t>
        </is>
      </c>
      <c r="G156" s="6" t="inlineStr">
        <is>
          <t>Fernando</t>
        </is>
      </c>
      <c r="H156" s="6" t="n">
        <v>2</v>
      </c>
      <c r="I156" s="6" t="inlineStr">
        <is>
          <t>Done</t>
        </is>
      </c>
      <c r="J156" s="6" t="inlineStr">
        <is>
          <t>24/10</t>
        </is>
      </c>
      <c r="K156" s="7" t="inlineStr">
        <is>
          <t>en el lienzo; cubren HU-07, 35, 37, 38, 40 y 55</t>
        </is>
      </c>
      <c r="L156" s="7" t="inlineStr"/>
    </row>
    <row r="157">
      <c r="B157" s="6" t="inlineStr">
        <is>
          <t>T-152</t>
        </is>
      </c>
      <c r="C157" s="6" t="inlineStr">
        <is>
          <t>—</t>
        </is>
      </c>
      <c r="D157" s="7" t="inlineStr">
        <is>
          <t>Transversal</t>
        </is>
      </c>
      <c r="E157" s="6" t="inlineStr">
        <is>
          <t>Modelado UML</t>
        </is>
      </c>
      <c r="F157" s="7" t="inlineStr">
        <is>
          <t>Modelar la secuencia del login y del permiso verificado en el servidor (HU-12 a HU-15)</t>
        </is>
      </c>
      <c r="G157" s="6" t="inlineStr">
        <is>
          <t>Henry</t>
        </is>
      </c>
      <c r="H157" s="6" t="n">
        <v>1.5</v>
      </c>
      <c r="I157" s="6" t="inlineStr">
        <is>
          <t>To Do</t>
        </is>
      </c>
      <c r="J157" s="6" t="inlineStr">
        <is>
          <t>24/10</t>
        </is>
      </c>
      <c r="K157" s="7" t="inlineStr"/>
      <c r="L157" s="7" t="inlineStr"/>
    </row>
    <row r="158">
      <c r="B158" s="6" t="inlineStr">
        <is>
          <t>T-153</t>
        </is>
      </c>
      <c r="C158" s="6" t="inlineStr">
        <is>
          <t>—</t>
        </is>
      </c>
      <c r="D158" s="7" t="inlineStr">
        <is>
          <t>Transversal</t>
        </is>
      </c>
      <c r="E158" s="6" t="inlineStr">
        <is>
          <t>Modelado UML</t>
        </is>
      </c>
      <c r="F158" s="7" t="inlineStr">
        <is>
          <t>Modelar la secuencia de la alerta de reposición con Notificaciones (HU-25 a HU-27)</t>
        </is>
      </c>
      <c r="G158" s="6" t="inlineStr">
        <is>
          <t>Fernando</t>
        </is>
      </c>
      <c r="H158" s="6" t="n">
        <v>1.5</v>
      </c>
      <c r="I158" s="6" t="inlineStr">
        <is>
          <t>To Do</t>
        </is>
      </c>
      <c r="J158" s="6" t="inlineStr">
        <is>
          <t>24/10</t>
        </is>
      </c>
      <c r="K158" s="7" t="inlineStr"/>
      <c r="L158" s="7" t="inlineStr"/>
    </row>
    <row r="159">
      <c r="B159" s="6" t="inlineStr">
        <is>
          <t>T-154</t>
        </is>
      </c>
      <c r="C159" s="6" t="inlineStr">
        <is>
          <t>—</t>
        </is>
      </c>
      <c r="D159" s="7" t="inlineStr">
        <is>
          <t>Transversal</t>
        </is>
      </c>
      <c r="E159" s="6" t="inlineStr">
        <is>
          <t>Modelado UML</t>
        </is>
      </c>
      <c r="F159" s="7" t="inlineStr">
        <is>
          <t>Dibujar los diagramas de actividades del negocio y de estados</t>
        </is>
      </c>
      <c r="G159" s="6" t="inlineStr">
        <is>
          <t>Nicolás</t>
        </is>
      </c>
      <c r="H159" s="6" t="n">
        <v>2</v>
      </c>
      <c r="I159" s="6" t="inlineStr">
        <is>
          <t>Done</t>
        </is>
      </c>
      <c r="J159" s="6" t="inlineStr">
        <is>
          <t>24/10</t>
        </is>
      </c>
      <c r="K159" s="7" t="inlineStr">
        <is>
          <t>14 hojas: A1–A4 y E1–E3 (22/10)</t>
        </is>
      </c>
      <c r="L159" s="7" t="inlineStr"/>
    </row>
    <row r="160">
      <c r="B160" s="6" t="inlineStr">
        <is>
          <t>T-155</t>
        </is>
      </c>
      <c r="C160" s="6" t="inlineStr">
        <is>
          <t>—</t>
        </is>
      </c>
      <c r="D160" s="7" t="inlineStr">
        <is>
          <t>Transversal</t>
        </is>
      </c>
      <c r="E160" s="6" t="inlineStr">
        <is>
          <t>Modelado UML</t>
        </is>
      </c>
      <c r="F160" s="7" t="inlineStr">
        <is>
          <t>Dibujar la arquitectura en las cuatro vistas del C4 a partir del diagrama de microservicios</t>
        </is>
      </c>
      <c r="G160" s="6" t="inlineStr">
        <is>
          <t>Nicolás</t>
        </is>
      </c>
      <c r="H160" s="6" t="n">
        <v>4</v>
      </c>
      <c r="I160" s="6" t="inlineStr">
        <is>
          <t>To Do</t>
        </is>
      </c>
      <c r="J160" s="6" t="inlineStr">
        <is>
          <t>24/10</t>
        </is>
      </c>
      <c r="K160" s="7" t="inlineStr">
        <is>
          <t>parte de api/docs/diagrama-microservicios.png</t>
        </is>
      </c>
      <c r="L160" s="7" t="inlineStr"/>
    </row>
    <row r="161">
      <c r="B161" s="6" t="inlineStr">
        <is>
          <t>T-156</t>
        </is>
      </c>
      <c r="C161" s="6" t="inlineStr">
        <is>
          <t>—</t>
        </is>
      </c>
      <c r="D161" s="7" t="inlineStr">
        <is>
          <t>Transversal</t>
        </is>
      </c>
      <c r="E161" s="6" t="inlineStr">
        <is>
          <t>Review</t>
        </is>
      </c>
      <c r="F161" s="7" t="inlineStr">
        <is>
          <t>Preparar la demo de la Sprint Review: una compra que cruza recepción, salida y costo de punta a punta</t>
        </is>
      </c>
      <c r="G161" s="6" t="inlineStr">
        <is>
          <t>Fernando</t>
        </is>
      </c>
      <c r="H161" s="6" t="n">
        <v>2</v>
      </c>
      <c r="I161" s="6" t="inlineStr">
        <is>
          <t>To Do</t>
        </is>
      </c>
      <c r="J161" s="6" t="inlineStr">
        <is>
          <t>27/10</t>
        </is>
      </c>
      <c r="K161" s="7" t="inlineStr"/>
      <c r="L161" s="7" t="inlineStr"/>
    </row>
  </sheetData>
  <autoFilter ref="B5:L161"/>
  <conditionalFormatting sqref="B6:L161">
    <cfRule type="expression" priority="1" dxfId="3">
      <formula>$I6="To Do"</formula>
    </cfRule>
    <cfRule type="expression" priority="2" dxfId="1">
      <formula>$I6="Doing"</formula>
    </cfRule>
    <cfRule type="expression" priority="3" dxfId="0">
      <formula>$I6="Done"</formula>
    </cfRule>
  </conditionalFormatting>
  <dataValidations count="1">
    <dataValidation sqref="I6:I161" showDropDown="0" showInputMessage="0" showErrorMessage="0" allowBlank="0" type="list">
      <formula1>"To Do,Doing,Done"</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B2:H43"/>
  <sheetViews>
    <sheetView showGridLines="0" workbookViewId="0">
      <selection activeCell="A1" sqref="A1"/>
    </sheetView>
  </sheetViews>
  <sheetFormatPr baseColWidth="8" defaultRowHeight="15"/>
  <cols>
    <col width="2" customWidth="1" min="1" max="1"/>
    <col width="16" customWidth="1" min="2" max="2"/>
    <col width="36" customWidth="1" min="3" max="3"/>
    <col width="9" customWidth="1" min="4" max="4"/>
    <col width="9" customWidth="1" min="5" max="5"/>
    <col width="12" customWidth="1" min="6" max="6"/>
    <col width="10" customWidth="1" min="7" max="7"/>
    <col width="16" customWidth="1" min="8" max="8"/>
  </cols>
  <sheetData>
    <row r="2">
      <c r="B2" s="10" t="inlineStr">
        <is>
          <t>Resumen del tablero (se actualiza solo)</t>
        </is>
      </c>
    </row>
    <row r="4">
      <c r="B4" s="11" t="inlineStr">
        <is>
          <t>Responsable</t>
        </is>
      </c>
      <c r="C4" s="11" t="inlineStr">
        <is>
          <t>To Do</t>
        </is>
      </c>
      <c r="D4" s="11" t="inlineStr">
        <is>
          <t>Doing</t>
        </is>
      </c>
      <c r="E4" s="11" t="inlineStr">
        <is>
          <t>Done</t>
        </is>
      </c>
      <c r="F4" s="11" t="inlineStr">
        <is>
          <t>Horas pendientes</t>
        </is>
      </c>
      <c r="G4" s="11" t="inlineStr">
        <is>
          <t>Doing ≤ 2 (sin Scrum)</t>
        </is>
      </c>
    </row>
    <row r="5">
      <c r="B5" s="12" t="inlineStr">
        <is>
          <t>Fernando</t>
        </is>
      </c>
      <c r="C5" s="12">
        <f>COUNTIFS(Tablero!$G$6:$G$161,B5,Tablero!$I$6:$I$161,"To Do")</f>
        <v/>
      </c>
      <c r="D5" s="12">
        <f>COUNTIFS(Tablero!$G$6:$G$161,B5,Tablero!$I$6:$I$161,"Doing")</f>
        <v/>
      </c>
      <c r="E5" s="12">
        <f>COUNTIFS(Tablero!$G$6:$G$161,B5,Tablero!$I$6:$I$161,"Done")</f>
        <v/>
      </c>
      <c r="F5" s="12">
        <f>SUMIFS(Tablero!$H$6:$H$161,Tablero!$G$6:$G$161,B5,Tablero!$I$6:$I$161,"&lt;&gt;Done")</f>
        <v/>
      </c>
      <c r="G5" s="12">
        <f>IF(COUNTIFS(Tablero!$G$6:$G$161,B5,Tablero!$I$6:$I$161,"Doing",Tablero!$E$6:$E$161,"&lt;&gt;Scrum")&lt;=2,"ok","demasiado en curso")</f>
        <v/>
      </c>
    </row>
    <row r="6">
      <c r="B6" s="12" t="inlineStr">
        <is>
          <t>Henry</t>
        </is>
      </c>
      <c r="C6" s="12">
        <f>COUNTIFS(Tablero!$G$6:$G$161,B6,Tablero!$I$6:$I$161,"To Do")</f>
        <v/>
      </c>
      <c r="D6" s="12">
        <f>COUNTIFS(Tablero!$G$6:$G$161,B6,Tablero!$I$6:$I$161,"Doing")</f>
        <v/>
      </c>
      <c r="E6" s="12">
        <f>COUNTIFS(Tablero!$G$6:$G$161,B6,Tablero!$I$6:$I$161,"Done")</f>
        <v/>
      </c>
      <c r="F6" s="12">
        <f>SUMIFS(Tablero!$H$6:$H$161,Tablero!$G$6:$G$161,B6,Tablero!$I$6:$I$161,"&lt;&gt;Done")</f>
        <v/>
      </c>
      <c r="G6" s="12">
        <f>IF(COUNTIFS(Tablero!$G$6:$G$161,B6,Tablero!$I$6:$I$161,"Doing",Tablero!$E$6:$E$161,"&lt;&gt;Scrum")&lt;=2,"ok","demasiado en curso")</f>
        <v/>
      </c>
    </row>
    <row r="7">
      <c r="B7" s="12" t="inlineStr">
        <is>
          <t>Nicolás</t>
        </is>
      </c>
      <c r="C7" s="12">
        <f>COUNTIFS(Tablero!$G$6:$G$161,B7,Tablero!$I$6:$I$161,"To Do")</f>
        <v/>
      </c>
      <c r="D7" s="12">
        <f>COUNTIFS(Tablero!$G$6:$G$161,B7,Tablero!$I$6:$I$161,"Doing")</f>
        <v/>
      </c>
      <c r="E7" s="12">
        <f>COUNTIFS(Tablero!$G$6:$G$161,B7,Tablero!$I$6:$I$161,"Done")</f>
        <v/>
      </c>
      <c r="F7" s="12">
        <f>SUMIFS(Tablero!$H$6:$H$161,Tablero!$G$6:$G$161,B7,Tablero!$I$6:$I$161,"&lt;&gt;Done")</f>
        <v/>
      </c>
      <c r="G7" s="12">
        <f>IF(COUNTIFS(Tablero!$G$6:$G$161,B7,Tablero!$I$6:$I$161,"Doing",Tablero!$E$6:$E$161,"&lt;&gt;Scrum")&lt;=2,"ok","demasiado en curso")</f>
        <v/>
      </c>
    </row>
    <row r="8">
      <c r="B8" s="12" t="inlineStr">
        <is>
          <t>Adiel</t>
        </is>
      </c>
      <c r="C8" s="12">
        <f>COUNTIFS(Tablero!$G$6:$G$161,B8,Tablero!$I$6:$I$161,"To Do")</f>
        <v/>
      </c>
      <c r="D8" s="12">
        <f>COUNTIFS(Tablero!$G$6:$G$161,B8,Tablero!$I$6:$I$161,"Doing")</f>
        <v/>
      </c>
      <c r="E8" s="12">
        <f>COUNTIFS(Tablero!$G$6:$G$161,B8,Tablero!$I$6:$I$161,"Done")</f>
        <v/>
      </c>
      <c r="F8" s="12">
        <f>SUMIFS(Tablero!$H$6:$H$161,Tablero!$G$6:$G$161,B8,Tablero!$I$6:$I$161,"&lt;&gt;Done")</f>
        <v/>
      </c>
      <c r="G8" s="12">
        <f>IF(COUNTIFS(Tablero!$G$6:$G$161,B8,Tablero!$I$6:$I$161,"Doing",Tablero!$E$6:$E$161,"&lt;&gt;Scrum")&lt;=2,"ok","demasiado en curso")</f>
        <v/>
      </c>
    </row>
    <row r="9">
      <c r="B9" s="13" t="inlineStr">
        <is>
          <t>Total</t>
        </is>
      </c>
      <c r="C9" s="13">
        <f>SUM(C5:C8)</f>
        <v/>
      </c>
      <c r="D9" s="13">
        <f>SUM(D5:D8)</f>
        <v/>
      </c>
      <c r="E9" s="13">
        <f>SUM(E5:E8)</f>
        <v/>
      </c>
      <c r="F9" s="13">
        <f>SUM(F5:F8)</f>
        <v/>
      </c>
    </row>
    <row r="12">
      <c r="B12" s="11" t="inlineStr">
        <is>
          <t>HU</t>
        </is>
      </c>
      <c r="C12" s="11" t="inlineStr">
        <is>
          <t>Historia</t>
        </is>
      </c>
      <c r="D12" s="11" t="inlineStr">
        <is>
          <t>Puntos</t>
        </is>
      </c>
      <c r="E12" s="11" t="inlineStr">
        <is>
          <t>Tareas</t>
        </is>
      </c>
      <c r="F12" s="11" t="inlineStr">
        <is>
          <t>Tareas Done</t>
        </is>
      </c>
      <c r="G12" s="11" t="inlineStr">
        <is>
          <t>% avance</t>
        </is>
      </c>
      <c r="H12" s="11" t="inlineStr">
        <is>
          <t>Estado de la HU</t>
        </is>
      </c>
    </row>
    <row r="13">
      <c r="B13" s="12" t="inlineStr">
        <is>
          <t>HU-01</t>
        </is>
      </c>
      <c r="C13" s="12" t="inlineStr">
        <is>
          <t>Crear proyecto</t>
        </is>
      </c>
      <c r="D13" s="12" t="n">
        <v>3</v>
      </c>
      <c r="E13" s="12">
        <f>COUNTIF(Tablero!$C$6:$C$161,B13)</f>
        <v/>
      </c>
      <c r="F13" s="12">
        <f>COUNTIFS(Tablero!$C$6:$C$161,B13,Tablero!$I$6:$I$161,"Done")</f>
        <v/>
      </c>
      <c r="G13" s="14">
        <f>IF(E13=0,0,F13/E13)</f>
        <v/>
      </c>
      <c r="H13" s="12">
        <f>IF(COUNTIFS(Tablero!$C$6:$C$161,B13,Tablero!$E$6:$E$161,"Aceptación",Tablero!$I$6:$I$161,"Done")=1,"Done",IF(F13&gt;0,"Doing","To Do"))</f>
        <v/>
      </c>
    </row>
    <row r="14">
      <c r="B14" s="12" t="inlineStr">
        <is>
          <t>HU-03</t>
        </is>
      </c>
      <c r="C14" s="12" t="inlineStr">
        <is>
          <t>Reportar la obra en semanas</t>
        </is>
      </c>
      <c r="D14" s="12" t="n">
        <v>3</v>
      </c>
      <c r="E14" s="12">
        <f>COUNTIF(Tablero!$C$6:$C$161,B14)</f>
        <v/>
      </c>
      <c r="F14" s="12">
        <f>COUNTIFS(Tablero!$C$6:$C$161,B14,Tablero!$I$6:$I$161,"Done")</f>
        <v/>
      </c>
      <c r="G14" s="14">
        <f>IF(E14=0,0,F14/E14)</f>
        <v/>
      </c>
      <c r="H14" s="12">
        <f>IF(COUNTIFS(Tablero!$C$6:$C$161,B14,Tablero!$E$6:$E$161,"Aceptación",Tablero!$I$6:$I$161,"Done")=1,"Done",IF(F14&gt;0,"Doing","To Do"))</f>
        <v/>
      </c>
    </row>
    <row r="15">
      <c r="B15" s="12" t="inlineStr">
        <is>
          <t>HU-07</t>
        </is>
      </c>
      <c r="C15" s="12" t="inlineStr">
        <is>
          <t>Importar catálogo de insumos del S10</t>
        </is>
      </c>
      <c r="D15" s="12" t="n">
        <v>8</v>
      </c>
      <c r="E15" s="12">
        <f>COUNTIF(Tablero!$C$6:$C$161,B15)</f>
        <v/>
      </c>
      <c r="F15" s="12">
        <f>COUNTIFS(Tablero!$C$6:$C$161,B15,Tablero!$I$6:$I$161,"Done")</f>
        <v/>
      </c>
      <c r="G15" s="14">
        <f>IF(E15=0,0,F15/E15)</f>
        <v/>
      </c>
      <c r="H15" s="12">
        <f>IF(COUNTIFS(Tablero!$C$6:$C$161,B15,Tablero!$E$6:$E$161,"Aceptación",Tablero!$I$6:$I$161,"Done")=1,"Done",IF(F15&gt;0,"Doing","To Do"))</f>
        <v/>
      </c>
    </row>
    <row r="16">
      <c r="B16" s="12" t="inlineStr">
        <is>
          <t>HU-08</t>
        </is>
      </c>
      <c r="C16" s="12" t="inlineStr">
        <is>
          <t>Registrar insumos</t>
        </is>
      </c>
      <c r="D16" s="12" t="n">
        <v>5</v>
      </c>
      <c r="E16" s="12">
        <f>COUNTIF(Tablero!$C$6:$C$161,B16)</f>
        <v/>
      </c>
      <c r="F16" s="12">
        <f>COUNTIFS(Tablero!$C$6:$C$161,B16,Tablero!$I$6:$I$161,"Done")</f>
        <v/>
      </c>
      <c r="G16" s="14">
        <f>IF(E16=0,0,F16/E16)</f>
        <v/>
      </c>
      <c r="H16" s="12">
        <f>IF(COUNTIFS(Tablero!$C$6:$C$161,B16,Tablero!$E$6:$E$161,"Aceptación",Tablero!$I$6:$I$161,"Done")=1,"Done",IF(F16&gt;0,"Doing","To Do"))</f>
        <v/>
      </c>
    </row>
    <row r="17">
      <c r="B17" s="12" t="inlineStr">
        <is>
          <t>HU-12</t>
        </is>
      </c>
      <c r="C17" s="12" t="inlineStr">
        <is>
          <t>Loguear usuario</t>
        </is>
      </c>
      <c r="D17" s="12" t="n">
        <v>5</v>
      </c>
      <c r="E17" s="12">
        <f>COUNTIF(Tablero!$C$6:$C$161,B17)</f>
        <v/>
      </c>
      <c r="F17" s="12">
        <f>COUNTIFS(Tablero!$C$6:$C$161,B17,Tablero!$I$6:$I$161,"Done")</f>
        <v/>
      </c>
      <c r="G17" s="14">
        <f>IF(E17=0,0,F17/E17)</f>
        <v/>
      </c>
      <c r="H17" s="12">
        <f>IF(COUNTIFS(Tablero!$C$6:$C$161,B17,Tablero!$E$6:$E$161,"Aceptación",Tablero!$I$6:$I$161,"Done")=1,"Done",IF(F17&gt;0,"Doing","To Do"))</f>
        <v/>
      </c>
    </row>
    <row r="18">
      <c r="B18" s="12" t="inlineStr">
        <is>
          <t>HU-13</t>
        </is>
      </c>
      <c r="C18" s="12" t="inlineStr">
        <is>
          <t>Asignar roles</t>
        </is>
      </c>
      <c r="D18" s="12" t="n">
        <v>5</v>
      </c>
      <c r="E18" s="12">
        <f>COUNTIF(Tablero!$C$6:$C$161,B18)</f>
        <v/>
      </c>
      <c r="F18" s="12">
        <f>COUNTIFS(Tablero!$C$6:$C$161,B18,Tablero!$I$6:$I$161,"Done")</f>
        <v/>
      </c>
      <c r="G18" s="14">
        <f>IF(E18=0,0,F18/E18)</f>
        <v/>
      </c>
      <c r="H18" s="12">
        <f>IF(COUNTIFS(Tablero!$C$6:$C$161,B18,Tablero!$E$6:$E$161,"Aceptación",Tablero!$I$6:$I$161,"Done")=1,"Done",IF(F18&gt;0,"Doing","To Do"))</f>
        <v/>
      </c>
    </row>
    <row r="19">
      <c r="B19" s="12" t="inlineStr">
        <is>
          <t>HU-14</t>
        </is>
      </c>
      <c r="C19" s="12" t="inlineStr">
        <is>
          <t>Asignar usuarios a obras</t>
        </is>
      </c>
      <c r="D19" s="12" t="n">
        <v>3</v>
      </c>
      <c r="E19" s="12">
        <f>COUNTIF(Tablero!$C$6:$C$161,B19)</f>
        <v/>
      </c>
      <c r="F19" s="12">
        <f>COUNTIFS(Tablero!$C$6:$C$161,B19,Tablero!$I$6:$I$161,"Done")</f>
        <v/>
      </c>
      <c r="G19" s="14">
        <f>IF(E19=0,0,F19/E19)</f>
        <v/>
      </c>
      <c r="H19" s="12">
        <f>IF(COUNTIFS(Tablero!$C$6:$C$161,B19,Tablero!$E$6:$E$161,"Aceptación",Tablero!$I$6:$I$161,"Done")=1,"Done",IF(F19&gt;0,"Doing","To Do"))</f>
        <v/>
      </c>
    </row>
    <row r="20">
      <c r="B20" s="12" t="inlineStr">
        <is>
          <t>HU-15</t>
        </is>
      </c>
      <c r="C20" s="12" t="inlineStr">
        <is>
          <t>Autorizar celular de la obra</t>
        </is>
      </c>
      <c r="D20" s="12" t="n">
        <v>5</v>
      </c>
      <c r="E20" s="12">
        <f>COUNTIF(Tablero!$C$6:$C$161,B20)</f>
        <v/>
      </c>
      <c r="F20" s="12">
        <f>COUNTIFS(Tablero!$C$6:$C$161,B20,Tablero!$I$6:$I$161,"Done")</f>
        <v/>
      </c>
      <c r="G20" s="14">
        <f>IF(E20=0,0,F20/E20)</f>
        <v/>
      </c>
      <c r="H20" s="12">
        <f>IF(COUNTIFS(Tablero!$C$6:$C$161,B20,Tablero!$E$6:$E$161,"Aceptación",Tablero!$I$6:$I$161,"Done")=1,"Done",IF(F20&gt;0,"Doing","To Do"))</f>
        <v/>
      </c>
    </row>
    <row r="21">
      <c r="B21" s="12" t="inlineStr">
        <is>
          <t>HU-16</t>
        </is>
      </c>
      <c r="C21" s="12" t="inlineStr">
        <is>
          <t>Importar precios unitarios</t>
        </is>
      </c>
      <c r="D21" s="12" t="n">
        <v>8</v>
      </c>
      <c r="E21" s="12">
        <f>COUNTIF(Tablero!$C$6:$C$161,B21)</f>
        <v/>
      </c>
      <c r="F21" s="12">
        <f>COUNTIFS(Tablero!$C$6:$C$161,B21,Tablero!$I$6:$I$161,"Done")</f>
        <v/>
      </c>
      <c r="G21" s="14">
        <f>IF(E21=0,0,F21/E21)</f>
        <v/>
      </c>
      <c r="H21" s="12">
        <f>IF(COUNTIFS(Tablero!$C$6:$C$161,B21,Tablero!$E$6:$E$161,"Aceptación",Tablero!$I$6:$I$161,"Done")=1,"Done",IF(F21&gt;0,"Doing","To Do"))</f>
        <v/>
      </c>
    </row>
    <row r="22">
      <c r="B22" s="12" t="inlineStr">
        <is>
          <t>HU-17</t>
        </is>
      </c>
      <c r="C22" s="12" t="inlineStr">
        <is>
          <t>Convertir unidades (kg a varillas)</t>
        </is>
      </c>
      <c r="D22" s="12" t="n">
        <v>3</v>
      </c>
      <c r="E22" s="12">
        <f>COUNTIF(Tablero!$C$6:$C$161,B22)</f>
        <v/>
      </c>
      <c r="F22" s="12">
        <f>COUNTIFS(Tablero!$C$6:$C$161,B22,Tablero!$I$6:$I$161,"Done")</f>
        <v/>
      </c>
      <c r="G22" s="14">
        <f>IF(E22=0,0,F22/E22)</f>
        <v/>
      </c>
      <c r="H22" s="12">
        <f>IF(COUNTIFS(Tablero!$C$6:$C$161,B22,Tablero!$E$6:$E$161,"Aceptación",Tablero!$I$6:$I$161,"Done")=1,"Done",IF(F22&gt;0,"Doing","To Do"))</f>
        <v/>
      </c>
    </row>
    <row r="23">
      <c r="B23" s="12" t="inlineStr">
        <is>
          <t>HU-19</t>
        </is>
      </c>
      <c r="C23" s="12" t="inlineStr">
        <is>
          <t>Importar requerimiento de la obra</t>
        </is>
      </c>
      <c r="D23" s="12" t="n">
        <v>5</v>
      </c>
      <c r="E23" s="12">
        <f>COUNTIF(Tablero!$C$6:$C$161,B23)</f>
        <v/>
      </c>
      <c r="F23" s="12">
        <f>COUNTIFS(Tablero!$C$6:$C$161,B23,Tablero!$I$6:$I$161,"Done")</f>
        <v/>
      </c>
      <c r="G23" s="14">
        <f>IF(E23=0,0,F23/E23)</f>
        <v/>
      </c>
      <c r="H23" s="12">
        <f>IF(COUNTIFS(Tablero!$C$6:$C$161,B23,Tablero!$E$6:$E$161,"Aceptación",Tablero!$I$6:$I$161,"Done")=1,"Done",IF(F23&gt;0,"Doing","To Do"))</f>
        <v/>
      </c>
    </row>
    <row r="24">
      <c r="B24" s="12" t="inlineStr">
        <is>
          <t>HU-23</t>
        </is>
      </c>
      <c r="C24" s="12" t="inlineStr">
        <is>
          <t>Consultar cuánto se compró y consumió</t>
        </is>
      </c>
      <c r="D24" s="12" t="n">
        <v>5</v>
      </c>
      <c r="E24" s="12">
        <f>COUNTIF(Tablero!$C$6:$C$161,B24)</f>
        <v/>
      </c>
      <c r="F24" s="12">
        <f>COUNTIFS(Tablero!$C$6:$C$161,B24,Tablero!$I$6:$I$161,"Done")</f>
        <v/>
      </c>
      <c r="G24" s="14">
        <f>IF(E24=0,0,F24/E24)</f>
        <v/>
      </c>
      <c r="H24" s="12">
        <f>IF(COUNTIFS(Tablero!$C$6:$C$161,B24,Tablero!$E$6:$E$161,"Aceptación",Tablero!$I$6:$I$161,"Done")=1,"Done",IF(F24&gt;0,"Doing","To Do"))</f>
        <v/>
      </c>
    </row>
    <row r="25">
      <c r="B25" s="12" t="inlineStr">
        <is>
          <t>HU-24</t>
        </is>
      </c>
      <c r="C25" s="12" t="inlineStr">
        <is>
          <t>Consultar cuánto falta comprar</t>
        </is>
      </c>
      <c r="D25" s="12" t="n">
        <v>3</v>
      </c>
      <c r="E25" s="12">
        <f>COUNTIF(Tablero!$C$6:$C$161,B25)</f>
        <v/>
      </c>
      <c r="F25" s="12">
        <f>COUNTIFS(Tablero!$C$6:$C$161,B25,Tablero!$I$6:$I$161,"Done")</f>
        <v/>
      </c>
      <c r="G25" s="14">
        <f>IF(E25=0,0,F25/E25)</f>
        <v/>
      </c>
      <c r="H25" s="12">
        <f>IF(COUNTIFS(Tablero!$C$6:$C$161,B25,Tablero!$E$6:$E$161,"Aceptación",Tablero!$I$6:$I$161,"Done")=1,"Done",IF(F25&gt;0,"Doing","To Do"))</f>
        <v/>
      </c>
    </row>
    <row r="26">
      <c r="B26" s="12" t="inlineStr">
        <is>
          <t>HU-25</t>
        </is>
      </c>
      <c r="C26" s="12" t="inlineStr">
        <is>
          <t>Definir punto de reposición</t>
        </is>
      </c>
      <c r="D26" s="12" t="n">
        <v>5</v>
      </c>
      <c r="E26" s="12">
        <f>COUNTIF(Tablero!$C$6:$C$161,B26)</f>
        <v/>
      </c>
      <c r="F26" s="12">
        <f>COUNTIFS(Tablero!$C$6:$C$161,B26,Tablero!$I$6:$I$161,"Done")</f>
        <v/>
      </c>
      <c r="G26" s="14">
        <f>IF(E26=0,0,F26/E26)</f>
        <v/>
      </c>
      <c r="H26" s="12">
        <f>IF(COUNTIFS(Tablero!$C$6:$C$161,B26,Tablero!$E$6:$E$161,"Aceptación",Tablero!$I$6:$I$161,"Done")=1,"Done",IF(F26&gt;0,"Doing","To Do"))</f>
        <v/>
      </c>
    </row>
    <row r="27">
      <c r="B27" s="12" t="inlineStr">
        <is>
          <t>HU-26</t>
        </is>
      </c>
      <c r="C27" s="12" t="inlineStr">
        <is>
          <t>Avisar cuándo reponer</t>
        </is>
      </c>
      <c r="D27" s="12" t="n">
        <v>5</v>
      </c>
      <c r="E27" s="12">
        <f>COUNTIF(Tablero!$C$6:$C$161,B27)</f>
        <v/>
      </c>
      <c r="F27" s="12">
        <f>COUNTIFS(Tablero!$C$6:$C$161,B27,Tablero!$I$6:$I$161,"Done")</f>
        <v/>
      </c>
      <c r="G27" s="14">
        <f>IF(E27=0,0,F27/E27)</f>
        <v/>
      </c>
      <c r="H27" s="12">
        <f>IF(COUNTIFS(Tablero!$C$6:$C$161,B27,Tablero!$E$6:$E$161,"Aceptación",Tablero!$I$6:$I$161,"Done")=1,"Done",IF(F27&gt;0,"Doing","To Do"))</f>
        <v/>
      </c>
    </row>
    <row r="28">
      <c r="B28" s="12" t="inlineStr">
        <is>
          <t>HU-27</t>
        </is>
      </c>
      <c r="C28" s="12" t="inlineStr">
        <is>
          <t>Sugerir cuánto comprar</t>
        </is>
      </c>
      <c r="D28" s="12" t="n">
        <v>5</v>
      </c>
      <c r="E28" s="12">
        <f>COUNTIF(Tablero!$C$6:$C$161,B28)</f>
        <v/>
      </c>
      <c r="F28" s="12">
        <f>COUNTIFS(Tablero!$C$6:$C$161,B28,Tablero!$I$6:$I$161,"Done")</f>
        <v/>
      </c>
      <c r="G28" s="14">
        <f>IF(E28=0,0,F28/E28)</f>
        <v/>
      </c>
      <c r="H28" s="12">
        <f>IF(COUNTIFS(Tablero!$C$6:$C$161,B28,Tablero!$E$6:$E$161,"Aceptación",Tablero!$I$6:$I$161,"Done")=1,"Done",IF(F28&gt;0,"Doing","To Do"))</f>
        <v/>
      </c>
    </row>
    <row r="29">
      <c r="B29" s="12" t="inlineStr">
        <is>
          <t>HU-29</t>
        </is>
      </c>
      <c r="C29" s="12" t="inlineStr">
        <is>
          <t>Consultar proveedores</t>
        </is>
      </c>
      <c r="D29" s="12" t="n">
        <v>3</v>
      </c>
      <c r="E29" s="12">
        <f>COUNTIF(Tablero!$C$6:$C$161,B29)</f>
        <v/>
      </c>
      <c r="F29" s="12">
        <f>COUNTIFS(Tablero!$C$6:$C$161,B29,Tablero!$I$6:$I$161,"Done")</f>
        <v/>
      </c>
      <c r="G29" s="14">
        <f>IF(E29=0,0,F29/E29)</f>
        <v/>
      </c>
      <c r="H29" s="12">
        <f>IF(COUNTIFS(Tablero!$C$6:$C$161,B29,Tablero!$E$6:$E$161,"Aceptación",Tablero!$I$6:$I$161,"Done")=1,"Done",IF(F29&gt;0,"Doing","To Do"))</f>
        <v/>
      </c>
    </row>
    <row r="30">
      <c r="B30" s="12" t="inlineStr">
        <is>
          <t>HU-30</t>
        </is>
      </c>
      <c r="C30" s="12" t="inlineStr">
        <is>
          <t>Registrar proveedores</t>
        </is>
      </c>
      <c r="D30" s="12" t="n">
        <v>3</v>
      </c>
      <c r="E30" s="12">
        <f>COUNTIF(Tablero!$C$6:$C$161,B30)</f>
        <v/>
      </c>
      <c r="F30" s="12">
        <f>COUNTIFS(Tablero!$C$6:$C$161,B30,Tablero!$I$6:$I$161,"Done")</f>
        <v/>
      </c>
      <c r="G30" s="14">
        <f>IF(E30=0,0,F30/E30)</f>
        <v/>
      </c>
      <c r="H30" s="12">
        <f>IF(COUNTIFS(Tablero!$C$6:$C$161,B30,Tablero!$E$6:$E$161,"Aceptación",Tablero!$I$6:$I$161,"Done")=1,"Done",IF(F30&gt;0,"Doing","To Do"))</f>
        <v/>
      </c>
    </row>
    <row r="31">
      <c r="B31" s="12" t="inlineStr">
        <is>
          <t>HU-32</t>
        </is>
      </c>
      <c r="C31" s="12" t="inlineStr">
        <is>
          <t>Registrar compras</t>
        </is>
      </c>
      <c r="D31" s="12" t="n">
        <v>8</v>
      </c>
      <c r="E31" s="12">
        <f>COUNTIF(Tablero!$C$6:$C$161,B31)</f>
        <v/>
      </c>
      <c r="F31" s="12">
        <f>COUNTIFS(Tablero!$C$6:$C$161,B31,Tablero!$I$6:$I$161,"Done")</f>
        <v/>
      </c>
      <c r="G31" s="14">
        <f>IF(E31=0,0,F31/E31)</f>
        <v/>
      </c>
      <c r="H31" s="12">
        <f>IF(COUNTIFS(Tablero!$C$6:$C$161,B31,Tablero!$E$6:$E$161,"Aceptación",Tablero!$I$6:$I$161,"Done")=1,"Done",IF(F31&gt;0,"Doing","To Do"))</f>
        <v/>
      </c>
    </row>
    <row r="32">
      <c r="B32" s="12" t="inlineStr">
        <is>
          <t>HU-35</t>
        </is>
      </c>
      <c r="C32" s="12" t="inlineStr">
        <is>
          <t>Recibir compras</t>
        </is>
      </c>
      <c r="D32" s="12" t="n">
        <v>8</v>
      </c>
      <c r="E32" s="12">
        <f>COUNTIF(Tablero!$C$6:$C$161,B32)</f>
        <v/>
      </c>
      <c r="F32" s="12">
        <f>COUNTIFS(Tablero!$C$6:$C$161,B32,Tablero!$I$6:$I$161,"Done")</f>
        <v/>
      </c>
      <c r="G32" s="14">
        <f>IF(E32=0,0,F32/E32)</f>
        <v/>
      </c>
      <c r="H32" s="12">
        <f>IF(COUNTIFS(Tablero!$C$6:$C$161,B32,Tablero!$E$6:$E$161,"Aceptación",Tablero!$I$6:$I$161,"Done")=1,"Done",IF(F32&gt;0,"Doing","To Do"))</f>
        <v/>
      </c>
    </row>
    <row r="33">
      <c r="B33" s="12" t="inlineStr">
        <is>
          <t>HU-37</t>
        </is>
      </c>
      <c r="C33" s="12" t="inlineStr">
        <is>
          <t>Registrar sin señal</t>
        </is>
      </c>
      <c r="D33" s="12" t="n">
        <v>8</v>
      </c>
      <c r="E33" s="12">
        <f>COUNTIF(Tablero!$C$6:$C$161,B33)</f>
        <v/>
      </c>
      <c r="F33" s="12">
        <f>COUNTIFS(Tablero!$C$6:$C$161,B33,Tablero!$I$6:$I$161,"Done")</f>
        <v/>
      </c>
      <c r="G33" s="14">
        <f>IF(E33=0,0,F33/E33)</f>
        <v/>
      </c>
      <c r="H33" s="12">
        <f>IF(COUNTIFS(Tablero!$C$6:$C$161,B33,Tablero!$E$6:$E$161,"Aceptación",Tablero!$I$6:$I$161,"Done")=1,"Done",IF(F33&gt;0,"Doing","To Do"))</f>
        <v/>
      </c>
    </row>
    <row r="34">
      <c r="B34" s="12" t="inlineStr">
        <is>
          <t>HU-38</t>
        </is>
      </c>
      <c r="C34" s="12" t="inlineStr">
        <is>
          <t>Sincronizar pendientes</t>
        </is>
      </c>
      <c r="D34" s="12" t="n">
        <v>5</v>
      </c>
      <c r="E34" s="12">
        <f>COUNTIF(Tablero!$C$6:$C$161,B34)</f>
        <v/>
      </c>
      <c r="F34" s="12">
        <f>COUNTIFS(Tablero!$C$6:$C$161,B34,Tablero!$I$6:$I$161,"Done")</f>
        <v/>
      </c>
      <c r="G34" s="14">
        <f>IF(E34=0,0,F34/E34)</f>
        <v/>
      </c>
      <c r="H34" s="12">
        <f>IF(COUNTIFS(Tablero!$C$6:$C$161,B34,Tablero!$E$6:$E$161,"Aceptación",Tablero!$I$6:$I$161,"Done")=1,"Done",IF(F34&gt;0,"Doing","To Do"))</f>
        <v/>
      </c>
    </row>
    <row r="35">
      <c r="B35" s="12" t="inlineStr">
        <is>
          <t>HU-40</t>
        </is>
      </c>
      <c r="C35" s="12" t="inlineStr">
        <is>
          <t>Registrar salidas de material</t>
        </is>
      </c>
      <c r="D35" s="12" t="n">
        <v>8</v>
      </c>
      <c r="E35" s="12">
        <f>COUNTIF(Tablero!$C$6:$C$161,B35)</f>
        <v/>
      </c>
      <c r="F35" s="12">
        <f>COUNTIFS(Tablero!$C$6:$C$161,B35,Tablero!$I$6:$I$161,"Done")</f>
        <v/>
      </c>
      <c r="G35" s="14">
        <f>IF(E35=0,0,F35/E35)</f>
        <v/>
      </c>
      <c r="H35" s="12">
        <f>IF(COUNTIFS(Tablero!$C$6:$C$161,B35,Tablero!$E$6:$E$161,"Aceptación",Tablero!$I$6:$I$161,"Done")=1,"Done",IF(F35&gt;0,"Doing","To Do"))</f>
        <v/>
      </c>
    </row>
    <row r="36">
      <c r="B36" s="12" t="inlineStr">
        <is>
          <t>HU-43</t>
        </is>
      </c>
      <c r="C36" s="12" t="inlineStr">
        <is>
          <t>Consultar stock</t>
        </is>
      </c>
      <c r="D36" s="12" t="n">
        <v>5</v>
      </c>
      <c r="E36" s="12">
        <f>COUNTIF(Tablero!$C$6:$C$161,B36)</f>
        <v/>
      </c>
      <c r="F36" s="12">
        <f>COUNTIFS(Tablero!$C$6:$C$161,B36,Tablero!$I$6:$I$161,"Done")</f>
        <v/>
      </c>
      <c r="G36" s="14">
        <f>IF(E36=0,0,F36/E36)</f>
        <v/>
      </c>
      <c r="H36" s="12">
        <f>IF(COUNTIFS(Tablero!$C$6:$C$161,B36,Tablero!$E$6:$E$161,"Aceptación",Tablero!$I$6:$I$161,"Done")=1,"Done",IF(F36&gt;0,"Doing","To Do"))</f>
        <v/>
      </c>
    </row>
    <row r="37">
      <c r="B37" s="12" t="inlineStr">
        <is>
          <t>HU-45</t>
        </is>
      </c>
      <c r="C37" s="12" t="inlineStr">
        <is>
          <t>Corregir movimientos</t>
        </is>
      </c>
      <c r="D37" s="12" t="n">
        <v>5</v>
      </c>
      <c r="E37" s="12">
        <f>COUNTIF(Tablero!$C$6:$C$161,B37)</f>
        <v/>
      </c>
      <c r="F37" s="12">
        <f>COUNTIFS(Tablero!$C$6:$C$161,B37,Tablero!$I$6:$I$161,"Done")</f>
        <v/>
      </c>
      <c r="G37" s="14">
        <f>IF(E37=0,0,F37/E37)</f>
        <v/>
      </c>
      <c r="H37" s="12">
        <f>IF(COUNTIFS(Tablero!$C$6:$C$161,B37,Tablero!$E$6:$E$161,"Aceptación",Tablero!$I$6:$I$161,"Done")=1,"Done",IF(F37&gt;0,"Doing","To Do"))</f>
        <v/>
      </c>
    </row>
    <row r="38">
      <c r="B38" s="12" t="inlineStr">
        <is>
          <t>HU-55</t>
        </is>
      </c>
      <c r="C38" s="12" t="inlineStr">
        <is>
          <t>Valorizar salidas</t>
        </is>
      </c>
      <c r="D38" s="12" t="n">
        <v>8</v>
      </c>
      <c r="E38" s="12">
        <f>COUNTIF(Tablero!$C$6:$C$161,B38)</f>
        <v/>
      </c>
      <c r="F38" s="12">
        <f>COUNTIFS(Tablero!$C$6:$C$161,B38,Tablero!$I$6:$I$161,"Done")</f>
        <v/>
      </c>
      <c r="G38" s="14">
        <f>IF(E38=0,0,F38/E38)</f>
        <v/>
      </c>
      <c r="H38" s="12">
        <f>IF(COUNTIFS(Tablero!$C$6:$C$161,B38,Tablero!$E$6:$E$161,"Aceptación",Tablero!$I$6:$I$161,"Done")=1,"Done",IF(F38&gt;0,"Doing","To Do"))</f>
        <v/>
      </c>
    </row>
    <row r="39">
      <c r="B39" s="12" t="inlineStr">
        <is>
          <t>HU-57</t>
        </is>
      </c>
      <c r="C39" s="12" t="inlineStr">
        <is>
          <t>Comparar consumo vs. lo planificado</t>
        </is>
      </c>
      <c r="D39" s="12" t="n">
        <v>8</v>
      </c>
      <c r="E39" s="12">
        <f>COUNTIF(Tablero!$C$6:$C$161,B39)</f>
        <v/>
      </c>
      <c r="F39" s="12">
        <f>COUNTIFS(Tablero!$C$6:$C$161,B39,Tablero!$I$6:$I$161,"Done")</f>
        <v/>
      </c>
      <c r="G39" s="14">
        <f>IF(E39=0,0,F39/E39)</f>
        <v/>
      </c>
      <c r="H39" s="12">
        <f>IF(COUNTIFS(Tablero!$C$6:$C$161,B39,Tablero!$E$6:$E$161,"Aceptación",Tablero!$I$6:$I$161,"Done")=1,"Done",IF(F39&gt;0,"Doing","To Do"))</f>
        <v/>
      </c>
    </row>
    <row r="40">
      <c r="B40" s="12" t="inlineStr">
        <is>
          <t>HU-62</t>
        </is>
      </c>
      <c r="C40" s="12" t="inlineStr">
        <is>
          <t>Registrar trabajadores</t>
        </is>
      </c>
      <c r="D40" s="12" t="n">
        <v>3</v>
      </c>
      <c r="E40" s="12">
        <f>COUNTIF(Tablero!$C$6:$C$161,B40)</f>
        <v/>
      </c>
      <c r="F40" s="12">
        <f>COUNTIFS(Tablero!$C$6:$C$161,B40,Tablero!$I$6:$I$161,"Done")</f>
        <v/>
      </c>
      <c r="G40" s="14">
        <f>IF(E40=0,0,F40/E40)</f>
        <v/>
      </c>
      <c r="H40" s="12">
        <f>IF(COUNTIFS(Tablero!$C$6:$C$161,B40,Tablero!$E$6:$E$161,"Aceptación",Tablero!$I$6:$I$161,"Done")=1,"Done",IF(F40&gt;0,"Doing","To Do"))</f>
        <v/>
      </c>
    </row>
    <row r="41">
      <c r="B41" s="12" t="inlineStr">
        <is>
          <t>HU-63</t>
        </is>
      </c>
      <c r="C41" s="12" t="inlineStr">
        <is>
          <t>Tomar asistencia</t>
        </is>
      </c>
      <c r="D41" s="12" t="n">
        <v>5</v>
      </c>
      <c r="E41" s="12">
        <f>COUNTIF(Tablero!$C$6:$C$161,B41)</f>
        <v/>
      </c>
      <c r="F41" s="12">
        <f>COUNTIFS(Tablero!$C$6:$C$161,B41,Tablero!$I$6:$I$161,"Done")</f>
        <v/>
      </c>
      <c r="G41" s="14">
        <f>IF(E41=0,0,F41/E41)</f>
        <v/>
      </c>
      <c r="H41" s="12">
        <f>IF(COUNTIFS(Tablero!$C$6:$C$161,B41,Tablero!$E$6:$E$161,"Aceptación",Tablero!$I$6:$I$161,"Done")=1,"Done",IF(F41&gt;0,"Doing","To Do"))</f>
        <v/>
      </c>
    </row>
    <row r="42">
      <c r="B42" s="13" t="inlineStr">
        <is>
          <t>Puntos terminados (velocidad)</t>
        </is>
      </c>
      <c r="D42" s="13">
        <f>SUMIF(H13:H41,"Done",D13:D41)</f>
        <v/>
      </c>
    </row>
    <row r="43">
      <c r="B43" s="13" t="inlineStr">
        <is>
          <t>Puntos comprometidos</t>
        </is>
      </c>
      <c r="D43" s="13">
        <f>SUM(D13:D41)</f>
        <v/>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2:C12"/>
  <sheetViews>
    <sheetView showGridLines="0" workbookViewId="0">
      <selection activeCell="A1" sqref="A1"/>
    </sheetView>
  </sheetViews>
  <sheetFormatPr baseColWidth="8" defaultRowHeight="15"/>
  <cols>
    <col width="2" customWidth="1" min="1" max="1"/>
    <col width="26" customWidth="1" min="2" max="2"/>
    <col width="110" customWidth="1" min="3" max="3"/>
  </cols>
  <sheetData>
    <row r="2">
      <c r="B2" s="10" t="inlineStr">
        <is>
          <t>Reglas del tablero</t>
        </is>
      </c>
    </row>
    <row r="4" ht="34" customHeight="1">
      <c r="B4" s="15" t="inlineStr">
        <is>
          <t>Columnas</t>
        </is>
      </c>
      <c r="C4" s="16" t="inlineStr">
        <is>
          <t>To Do → Doing → Done. Una tarjeta por TAREA; la HU queda Done cuando su tarea «Aceptar … como Product Owner» pasa a Done.</t>
        </is>
      </c>
    </row>
    <row r="5" ht="34" customHeight="1">
      <c r="B5" s="15" t="inlineStr">
        <is>
          <t>Criterio de las tareas</t>
        </is>
      </c>
      <c r="C5" s="16" t="inlineStr">
        <is>
          <t>Una tarea entra solo si produce algo que la DoD verifica o si desbloquea a otra. Lo ya hecho se cuenta una vez; el diseño de pantallas y el UML se hacen por flujo, no por HU.</t>
        </is>
      </c>
    </row>
    <row r="6" ht="34" customHeight="1">
      <c r="B6" s="15" t="inlineStr">
        <is>
          <t>Entrada a Doing (DoR)</t>
        </is>
      </c>
      <c r="C6" s="16" t="inlineStr">
        <is>
          <t>Una tarea solo pasa a Doing si su HU cumple L1–L12: entre ellos recursos identificados, requisitos técnicos y accesos de red.</t>
        </is>
      </c>
    </row>
    <row r="7" ht="34" customHeight="1">
      <c r="B7" s="15" t="inlineStr">
        <is>
          <t>Entrada a Done (DoD)</t>
        </is>
      </c>
      <c r="C7" s="16" t="inlineStr">
        <is>
          <t>La tarea de cierre pasa a Done solo con T1–T10 y las condiciones finales de la tarjeta verificadas desde la interfaz y aceptadas por el PO.</t>
        </is>
      </c>
    </row>
    <row r="8" ht="34" customHeight="1">
      <c r="B8" s="15" t="inlineStr">
        <is>
          <t>Límite de trabajo en curso</t>
        </is>
      </c>
      <c r="C8" s="16" t="inlineStr">
        <is>
          <t>Máximo 2 tareas en Doing por persona: se termina antes de empezar otra.</t>
        </is>
      </c>
    </row>
    <row r="9" ht="34" customHeight="1">
      <c r="B9" s="15" t="inlineStr">
        <is>
          <t>Daily Scrum</t>
        </is>
      </c>
      <c r="C9" s="16" t="inlineStr">
        <is>
          <t>Todos los días, 15 minutos, frente al tablero: qué terminé, qué hago hoy, qué me bloquea. Se mueve la tarjeta en la reunión, no después.</t>
        </is>
      </c>
    </row>
    <row r="10" ht="34" customHeight="1">
      <c r="B10" s="15" t="inlineStr">
        <is>
          <t>Fecha de cierre</t>
        </is>
      </c>
      <c r="C10" s="16" t="inlineStr">
        <is>
          <t>Lunes 27/10 (penúltimo día): todo en Done. Martes 28/10: Sprint Review y Retrospectiva. Lo que no llegue vuelve al Product Backlog, no se arrastra a escondidas.</t>
        </is>
      </c>
    </row>
    <row r="11" ht="34" customHeight="1">
      <c r="B11" s="15" t="inlineStr">
        <is>
          <t>Bloqueos</t>
        </is>
      </c>
      <c r="C11" s="16" t="inlineStr">
        <is>
          <t>Las tareas «Conectar… a la API real» dependen del ClienteHttp (Henry) y del ambiente de pruebas (Adiel): esas dos van primero.</t>
        </is>
      </c>
    </row>
    <row r="12" ht="34" customHeight="1">
      <c r="B12" s="15" t="inlineStr">
        <is>
          <t>Reparto</t>
        </is>
      </c>
      <c r="C12" s="16" t="inlineStr">
        <is>
          <t>Web: Fernando y Henry · App Android: Nicolás · Backend: Adiel (además PO) · Integraciones: Fernando (además Scrum Master).</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2026-10-22T22:04:30Z</dcterms:created>
  <dcterms:modified xmlns:dcterms="http://purl.org/dc/terms/" xmlns:xsi="http://www.w3.org/2001/XMLSchema-instance" xsi:type="dcterms:W3CDTF">2026-10-22T22:04:30Z</dcterms:modified>
</cp:coreProperties>
</file>