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imación" sheetId="1" state="visible" r:id="rId1"/>
  </sheets>
  <definedNames>
    <definedName name="_xlnm._FilterDatabase" localSheetId="0" hidden="1">'Estimación'!$B$6:$N$71</definedName>
    <definedName name="_xlnm.Print_Area" localSheetId="0">'Estimación'!$A$1:$N$75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3864"/>
      <sz val="15"/>
    </font>
    <font>
      <name val="Calibri"/>
      <i val="1"/>
      <color rgb="006B7987"/>
      <sz val="9"/>
    </font>
    <font>
      <name val="Calibri"/>
      <b val="1"/>
      <color rgb="00FFFFFF"/>
      <sz val="10"/>
    </font>
    <font>
      <name val="Calibri"/>
      <color rgb="00000000"/>
      <sz val="10"/>
    </font>
    <font>
      <name val="Calibri"/>
      <b val="1"/>
      <color rgb="00000000"/>
      <sz val="10"/>
    </font>
  </fonts>
  <fills count="8">
    <fill>
      <patternFill/>
    </fill>
    <fill>
      <patternFill patternType="gray125"/>
    </fill>
    <fill>
      <patternFill patternType="solid">
        <fgColor rgb="0044546A"/>
      </patternFill>
    </fill>
    <fill>
      <patternFill patternType="solid">
        <fgColor rgb="00FCE4D6"/>
      </patternFill>
    </fill>
    <fill>
      <patternFill patternType="solid">
        <fgColor rgb="00FFF2CC"/>
      </patternFill>
    </fill>
    <fill>
      <patternFill patternType="solid">
        <fgColor rgb="00FFFFFF"/>
      </patternFill>
    </fill>
    <fill>
      <patternFill patternType="solid">
        <fgColor rgb="00E2EFDA"/>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left" vertical="top" wrapText="1"/>
    </xf>
    <xf numFmtId="0" fontId="3" fillId="2" borderId="1"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horizontal="left"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5" fillId="6"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5" fillId="7" borderId="1" applyAlignment="1" pivotButton="0" quotePrefix="0" xfId="0">
      <alignment horizontal="left" vertical="center"/>
    </xf>
    <xf numFmtId="0" fontId="4" fillId="7" borderId="1" applyAlignment="1" pivotButton="0" quotePrefix="0" xfId="0">
      <alignment horizontal="left" vertical="center"/>
    </xf>
    <xf numFmtId="0" fontId="5" fillId="7"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M75"/>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5" customWidth="1" min="1" max="1"/>
    <col width="9" customWidth="1" min="2" max="2"/>
    <col width="40" customWidth="1" min="3" max="3"/>
    <col width="7" customWidth="1" min="4" max="4"/>
    <col width="10" customWidth="1" min="5" max="5"/>
    <col width="11" customWidth="1" min="6" max="6"/>
    <col width="11" customWidth="1" min="7" max="7"/>
    <col width="11" customWidth="1" min="8" max="8"/>
    <col width="11" customWidth="1" min="9" max="9"/>
    <col width="11" customWidth="1" min="10" max="10"/>
    <col width="9" customWidth="1" min="11" max="11"/>
    <col width="7" customWidth="1" min="12" max="12"/>
    <col width="7" customWidth="1" min="13" max="13"/>
    <col width="2.5" customWidth="1" min="14" max="14"/>
  </cols>
  <sheetData>
    <row r="2" ht="22" customHeight="1">
      <c r="B2" s="1" t="inlineStr">
        <is>
          <t>SIGRO · ESTIMACIÓN DE HISTORIAS DE USUARIO · PLANNING POKER</t>
        </is>
      </c>
    </row>
    <row r="3">
      <c r="B3" s="2" t="inlineStr">
        <is>
          <t>Cada integrante vota en su columna, sin ver las de los demás, con la serie de Fibonacci: 1, 2, 3, 5, 8, 13. La MODA es la estimación acordada. Si el MÁXIMO y el MÍNIMO se separan más de dos valores de la serie, no se promedia: el que votó más alto y el que votó más bajo explican por qué, y se vuelve a votar. La columna "Referencia" es una propuesta previa del Scrum Master para arrancar la conversación, no un voto.</t>
        </is>
      </c>
    </row>
    <row r="4"/>
    <row r="6" ht="26" customHeight="1">
      <c r="B6" s="3" t="inlineStr">
        <is>
          <t>Código</t>
        </is>
      </c>
      <c r="C6" s="3" t="inlineStr">
        <is>
          <t>Historia de usuario</t>
        </is>
      </c>
      <c r="D6" s="3" t="inlineStr">
        <is>
          <t>Épica</t>
        </is>
      </c>
      <c r="E6" s="3" t="inlineStr">
        <is>
          <t>Prioridad</t>
        </is>
      </c>
      <c r="F6" s="3" t="inlineStr">
        <is>
          <t>Referencia</t>
        </is>
      </c>
      <c r="G6" s="3" t="inlineStr">
        <is>
          <t>Fernando</t>
        </is>
      </c>
      <c r="H6" s="3" t="inlineStr">
        <is>
          <t>Víctor</t>
        </is>
      </c>
      <c r="I6" s="3" t="inlineStr">
        <is>
          <t>Nicolás</t>
        </is>
      </c>
      <c r="J6" s="3" t="inlineStr">
        <is>
          <t>Henry</t>
        </is>
      </c>
      <c r="K6" s="3" t="inlineStr">
        <is>
          <t>MODA</t>
        </is>
      </c>
      <c r="L6" s="3" t="inlineStr">
        <is>
          <t>MÁX</t>
        </is>
      </c>
      <c r="M6" s="3" t="inlineStr">
        <is>
          <t>MÍN</t>
        </is>
      </c>
    </row>
    <row r="7" ht="16" customHeight="1">
      <c r="B7" s="4" t="inlineStr">
        <is>
          <t>HU-01</t>
        </is>
      </c>
      <c r="C7" s="5" t="inlineStr">
        <is>
          <t>Crear proyecto</t>
        </is>
      </c>
      <c r="D7" s="4" t="inlineStr">
        <is>
          <t>E1</t>
        </is>
      </c>
      <c r="E7" s="4" t="inlineStr">
        <is>
          <t>Crítica</t>
        </is>
      </c>
      <c r="F7" s="6" t="n">
        <v>3</v>
      </c>
      <c r="G7" s="7" t="n"/>
      <c r="H7" s="7" t="n"/>
      <c r="I7" s="7" t="n"/>
      <c r="J7" s="7" t="n"/>
      <c r="K7" s="8">
        <f>IFERROR(MODE(G7:J7),"")</f>
        <v/>
      </c>
      <c r="L7" s="4">
        <f>IF(COUNT(G7:J7)=0,"",MAX(G7:J7))</f>
        <v/>
      </c>
      <c r="M7" s="4">
        <f>IF(COUNT(G7:J7)=0,"",MIN(G7:J7))</f>
        <v/>
      </c>
    </row>
    <row r="8" ht="16" customHeight="1">
      <c r="B8" s="9" t="inlineStr">
        <is>
          <t>HU-02</t>
        </is>
      </c>
      <c r="C8" s="10" t="inlineStr">
        <is>
          <t>Ampliar plazo del proyecto</t>
        </is>
      </c>
      <c r="D8" s="9" t="inlineStr">
        <is>
          <t>E1</t>
        </is>
      </c>
      <c r="E8" s="9" t="inlineStr">
        <is>
          <t>Alta</t>
        </is>
      </c>
      <c r="F8" s="6" t="n">
        <v>2</v>
      </c>
      <c r="G8" s="7" t="n"/>
      <c r="H8" s="7" t="n"/>
      <c r="I8" s="7" t="n"/>
      <c r="J8" s="7" t="n"/>
      <c r="K8" s="8">
        <f>IFERROR(MODE(G8:J8),"")</f>
        <v/>
      </c>
      <c r="L8" s="9">
        <f>IF(COUNT(G8:J8)=0,"",MAX(G8:J8))</f>
        <v/>
      </c>
      <c r="M8" s="9">
        <f>IF(COUNT(G8:J8)=0,"",MIN(G8:J8))</f>
        <v/>
      </c>
    </row>
    <row r="9" ht="16" customHeight="1">
      <c r="B9" s="4" t="inlineStr">
        <is>
          <t>HU-03</t>
        </is>
      </c>
      <c r="C9" s="5" t="inlineStr">
        <is>
          <t>Dividir la obra en periodos semanales</t>
        </is>
      </c>
      <c r="D9" s="4" t="inlineStr">
        <is>
          <t>E1</t>
        </is>
      </c>
      <c r="E9" s="4" t="inlineStr">
        <is>
          <t>Crítica</t>
        </is>
      </c>
      <c r="F9" s="6" t="n">
        <v>3</v>
      </c>
      <c r="G9" s="7" t="n"/>
      <c r="H9" s="7" t="n"/>
      <c r="I9" s="7" t="n"/>
      <c r="J9" s="7" t="n"/>
      <c r="K9" s="8">
        <f>IFERROR(MODE(G9:J9),"")</f>
        <v/>
      </c>
      <c r="L9" s="4">
        <f>IF(COUNT(G9:J9)=0,"",MAX(G9:J9))</f>
        <v/>
      </c>
      <c r="M9" s="4">
        <f>IF(COUNT(G9:J9)=0,"",MIN(G9:J9))</f>
        <v/>
      </c>
    </row>
    <row r="10" ht="16" customHeight="1">
      <c r="B10" s="9" t="inlineStr">
        <is>
          <t>HU-04</t>
        </is>
      </c>
      <c r="C10" s="10" t="inlineStr">
        <is>
          <t>Definir el día de corte del periodo</t>
        </is>
      </c>
      <c r="D10" s="9" t="inlineStr">
        <is>
          <t>E1</t>
        </is>
      </c>
      <c r="E10" s="9" t="inlineStr">
        <is>
          <t>Media</t>
        </is>
      </c>
      <c r="F10" s="6" t="n">
        <v>2</v>
      </c>
      <c r="G10" s="7" t="n"/>
      <c r="H10" s="7" t="n"/>
      <c r="I10" s="7" t="n"/>
      <c r="J10" s="7" t="n"/>
      <c r="K10" s="8">
        <f>IFERROR(MODE(G10:J10),"")</f>
        <v/>
      </c>
      <c r="L10" s="9">
        <f>IF(COUNT(G10:J10)=0,"",MAX(G10:J10))</f>
        <v/>
      </c>
      <c r="M10" s="9">
        <f>IF(COUNT(G10:J10)=0,"",MIN(G10:J10))</f>
        <v/>
      </c>
    </row>
    <row r="11" ht="16" customHeight="1">
      <c r="B11" s="4" t="inlineStr">
        <is>
          <t>HU-05</t>
        </is>
      </c>
      <c r="C11" s="5" t="inlineStr">
        <is>
          <t>Registrar almacenes de la obra</t>
        </is>
      </c>
      <c r="D11" s="4" t="inlineStr">
        <is>
          <t>E1</t>
        </is>
      </c>
      <c r="E11" s="4" t="inlineStr">
        <is>
          <t>Alta</t>
        </is>
      </c>
      <c r="F11" s="6" t="n">
        <v>3</v>
      </c>
      <c r="G11" s="7" t="n"/>
      <c r="H11" s="7" t="n"/>
      <c r="I11" s="7" t="n"/>
      <c r="J11" s="7" t="n"/>
      <c r="K11" s="8">
        <f>IFERROR(MODE(G11:J11),"")</f>
        <v/>
      </c>
      <c r="L11" s="4">
        <f>IF(COUNT(G11:J11)=0,"",MAX(G11:J11))</f>
        <v/>
      </c>
      <c r="M11" s="4">
        <f>IF(COUNT(G11:J11)=0,"",MIN(G11:J11))</f>
        <v/>
      </c>
    </row>
    <row r="12" ht="16" customHeight="1">
      <c r="B12" s="9" t="inlineStr">
        <is>
          <t>HU-06</t>
        </is>
      </c>
      <c r="C12" s="10" t="inlineStr">
        <is>
          <t>Mostrar estado de proyectos</t>
        </is>
      </c>
      <c r="D12" s="9" t="inlineStr">
        <is>
          <t>E1</t>
        </is>
      </c>
      <c r="E12" s="9" t="inlineStr">
        <is>
          <t>Media</t>
        </is>
      </c>
      <c r="F12" s="6" t="n">
        <v>2</v>
      </c>
      <c r="G12" s="7" t="n"/>
      <c r="H12" s="7" t="n"/>
      <c r="I12" s="7" t="n"/>
      <c r="J12" s="7" t="n"/>
      <c r="K12" s="8">
        <f>IFERROR(MODE(G12:J12),"")</f>
        <v/>
      </c>
      <c r="L12" s="9">
        <f>IF(COUNT(G12:J12)=0,"",MAX(G12:J12))</f>
        <v/>
      </c>
      <c r="M12" s="9">
        <f>IF(COUNT(G12:J12)=0,"",MIN(G12:J12))</f>
        <v/>
      </c>
    </row>
    <row r="13" ht="16" customHeight="1">
      <c r="B13" s="4" t="inlineStr">
        <is>
          <t>HU-07</t>
        </is>
      </c>
      <c r="C13" s="5" t="inlineStr">
        <is>
          <t>Importar catálogo de insumos</t>
        </is>
      </c>
      <c r="D13" s="4" t="inlineStr">
        <is>
          <t>E1</t>
        </is>
      </c>
      <c r="E13" s="4" t="inlineStr">
        <is>
          <t>Crítica</t>
        </is>
      </c>
      <c r="F13" s="6" t="n">
        <v>8</v>
      </c>
      <c r="G13" s="7" t="n"/>
      <c r="H13" s="7" t="n"/>
      <c r="I13" s="7" t="n"/>
      <c r="J13" s="7" t="n"/>
      <c r="K13" s="8">
        <f>IFERROR(MODE(G13:J13),"")</f>
        <v/>
      </c>
      <c r="L13" s="4">
        <f>IF(COUNT(G13:J13)=0,"",MAX(G13:J13))</f>
        <v/>
      </c>
      <c r="M13" s="4">
        <f>IF(COUNT(G13:J13)=0,"",MIN(G13:J13))</f>
        <v/>
      </c>
    </row>
    <row r="14" ht="16" customHeight="1">
      <c r="B14" s="9" t="inlineStr">
        <is>
          <t>HU-08</t>
        </is>
      </c>
      <c r="C14" s="10" t="inlineStr">
        <is>
          <t>Registrar insumo estandarizado</t>
        </is>
      </c>
      <c r="D14" s="9" t="inlineStr">
        <is>
          <t>E1</t>
        </is>
      </c>
      <c r="E14" s="9" t="inlineStr">
        <is>
          <t>Crítica</t>
        </is>
      </c>
      <c r="F14" s="6" t="n">
        <v>5</v>
      </c>
      <c r="G14" s="7" t="n"/>
      <c r="H14" s="7" t="n"/>
      <c r="I14" s="7" t="n"/>
      <c r="J14" s="7" t="n"/>
      <c r="K14" s="8">
        <f>IFERROR(MODE(G14:J14),"")</f>
        <v/>
      </c>
      <c r="L14" s="9">
        <f>IF(COUNT(G14:J14)=0,"",MAX(G14:J14))</f>
        <v/>
      </c>
      <c r="M14" s="9">
        <f>IF(COUNT(G14:J14)=0,"",MIN(G14:J14))</f>
        <v/>
      </c>
    </row>
    <row r="15" ht="16" customHeight="1">
      <c r="B15" s="4" t="inlineStr">
        <is>
          <t>HU-09</t>
        </is>
      </c>
      <c r="C15" s="5" t="inlineStr">
        <is>
          <t>Registrar nombres comerciales del insumo</t>
        </is>
      </c>
      <c r="D15" s="4" t="inlineStr">
        <is>
          <t>E1</t>
        </is>
      </c>
      <c r="E15" s="4" t="inlineStr">
        <is>
          <t>Media</t>
        </is>
      </c>
      <c r="F15" s="6" t="n">
        <v>3</v>
      </c>
      <c r="G15" s="7" t="n"/>
      <c r="H15" s="7" t="n"/>
      <c r="I15" s="7" t="n"/>
      <c r="J15" s="7" t="n"/>
      <c r="K15" s="8">
        <f>IFERROR(MODE(G15:J15),"")</f>
        <v/>
      </c>
      <c r="L15" s="4">
        <f>IF(COUNT(G15:J15)=0,"",MAX(G15:J15))</f>
        <v/>
      </c>
      <c r="M15" s="4">
        <f>IF(COUNT(G15:J15)=0,"",MIN(G15:J15))</f>
        <v/>
      </c>
    </row>
    <row r="16" ht="16" customHeight="1">
      <c r="B16" s="9" t="inlineStr">
        <is>
          <t>HU-10</t>
        </is>
      </c>
      <c r="C16" s="10" t="inlineStr">
        <is>
          <t>Buscar insumo</t>
        </is>
      </c>
      <c r="D16" s="9" t="inlineStr">
        <is>
          <t>E1</t>
        </is>
      </c>
      <c r="E16" s="9" t="inlineStr">
        <is>
          <t>Media</t>
        </is>
      </c>
      <c r="F16" s="6" t="n">
        <v>3</v>
      </c>
      <c r="G16" s="7" t="n"/>
      <c r="H16" s="7" t="n"/>
      <c r="I16" s="7" t="n"/>
      <c r="J16" s="7" t="n"/>
      <c r="K16" s="8">
        <f>IFERROR(MODE(G16:J16),"")</f>
        <v/>
      </c>
      <c r="L16" s="9">
        <f>IF(COUNT(G16:J16)=0,"",MAX(G16:J16))</f>
        <v/>
      </c>
      <c r="M16" s="9">
        <f>IF(COUNT(G16:J16)=0,"",MIN(G16:J16))</f>
        <v/>
      </c>
    </row>
    <row r="17" ht="16" customHeight="1">
      <c r="B17" s="4" t="inlineStr">
        <is>
          <t>HU-11</t>
        </is>
      </c>
      <c r="C17" s="5" t="inlineStr">
        <is>
          <t>Adjuntar foto del insumo</t>
        </is>
      </c>
      <c r="D17" s="4" t="inlineStr">
        <is>
          <t>E1</t>
        </is>
      </c>
      <c r="E17" s="4" t="inlineStr">
        <is>
          <t>Baja</t>
        </is>
      </c>
      <c r="F17" s="6" t="n">
        <v>2</v>
      </c>
      <c r="G17" s="7" t="n"/>
      <c r="H17" s="7" t="n"/>
      <c r="I17" s="7" t="n"/>
      <c r="J17" s="7" t="n"/>
      <c r="K17" s="8">
        <f>IFERROR(MODE(G17:J17),"")</f>
        <v/>
      </c>
      <c r="L17" s="4">
        <f>IF(COUNT(G17:J17)=0,"",MAX(G17:J17))</f>
        <v/>
      </c>
      <c r="M17" s="4">
        <f>IF(COUNT(G17:J17)=0,"",MIN(G17:J17))</f>
        <v/>
      </c>
    </row>
    <row r="18" ht="16" customHeight="1">
      <c r="B18" s="9" t="inlineStr">
        <is>
          <t>HU-12</t>
        </is>
      </c>
      <c r="C18" s="10" t="inlineStr">
        <is>
          <t>Iniciar sesión</t>
        </is>
      </c>
      <c r="D18" s="9" t="inlineStr">
        <is>
          <t>E1</t>
        </is>
      </c>
      <c r="E18" s="9" t="inlineStr">
        <is>
          <t>Crítica</t>
        </is>
      </c>
      <c r="F18" s="6" t="n">
        <v>5</v>
      </c>
      <c r="G18" s="7" t="n"/>
      <c r="H18" s="7" t="n"/>
      <c r="I18" s="7" t="n"/>
      <c r="J18" s="7" t="n"/>
      <c r="K18" s="8">
        <f>IFERROR(MODE(G18:J18),"")</f>
        <v/>
      </c>
      <c r="L18" s="9">
        <f>IF(COUNT(G18:J18)=0,"",MAX(G18:J18))</f>
        <v/>
      </c>
      <c r="M18" s="9">
        <f>IF(COUNT(G18:J18)=0,"",MIN(G18:J18))</f>
        <v/>
      </c>
    </row>
    <row r="19" ht="16" customHeight="1">
      <c r="B19" s="4" t="inlineStr">
        <is>
          <t>HU-13</t>
        </is>
      </c>
      <c r="C19" s="5" t="inlineStr">
        <is>
          <t>Asignar rol a usuario</t>
        </is>
      </c>
      <c r="D19" s="4" t="inlineStr">
        <is>
          <t>E1</t>
        </is>
      </c>
      <c r="E19" s="4" t="inlineStr">
        <is>
          <t>Crítica</t>
        </is>
      </c>
      <c r="F19" s="6" t="n">
        <v>5</v>
      </c>
      <c r="G19" s="7" t="n"/>
      <c r="H19" s="7" t="n"/>
      <c r="I19" s="7" t="n"/>
      <c r="J19" s="7" t="n"/>
      <c r="K19" s="8">
        <f>IFERROR(MODE(G19:J19),"")</f>
        <v/>
      </c>
      <c r="L19" s="4">
        <f>IF(COUNT(G19:J19)=0,"",MAX(G19:J19))</f>
        <v/>
      </c>
      <c r="M19" s="4">
        <f>IF(COUNT(G19:J19)=0,"",MIN(G19:J19))</f>
        <v/>
      </c>
    </row>
    <row r="20" ht="16" customHeight="1">
      <c r="B20" s="9" t="inlineStr">
        <is>
          <t>HU-14</t>
        </is>
      </c>
      <c r="C20" s="10" t="inlineStr">
        <is>
          <t>Asignar usuarios a proyectos</t>
        </is>
      </c>
      <c r="D20" s="9" t="inlineStr">
        <is>
          <t>E1</t>
        </is>
      </c>
      <c r="E20" s="9" t="inlineStr">
        <is>
          <t>Crítica</t>
        </is>
      </c>
      <c r="F20" s="6" t="n">
        <v>3</v>
      </c>
      <c r="G20" s="7" t="n"/>
      <c r="H20" s="7" t="n"/>
      <c r="I20" s="7" t="n"/>
      <c r="J20" s="7" t="n"/>
      <c r="K20" s="8">
        <f>IFERROR(MODE(G20:J20),"")</f>
        <v/>
      </c>
      <c r="L20" s="9">
        <f>IF(COUNT(G20:J20)=0,"",MAX(G20:J20))</f>
        <v/>
      </c>
      <c r="M20" s="9">
        <f>IF(COUNT(G20:J20)=0,"",MIN(G20:J20))</f>
        <v/>
      </c>
    </row>
    <row r="21" ht="16" customHeight="1">
      <c r="B21" s="4" t="inlineStr">
        <is>
          <t>HU-15</t>
        </is>
      </c>
      <c r="C21" s="5" t="inlineStr">
        <is>
          <t>Autorizar dispositivo de registro</t>
        </is>
      </c>
      <c r="D21" s="4" t="inlineStr">
        <is>
          <t>E1</t>
        </is>
      </c>
      <c r="E21" s="4" t="inlineStr">
        <is>
          <t>Alta</t>
        </is>
      </c>
      <c r="F21" s="6" t="n">
        <v>5</v>
      </c>
      <c r="G21" s="7" t="n"/>
      <c r="H21" s="7" t="n"/>
      <c r="I21" s="7" t="n"/>
      <c r="J21" s="7" t="n"/>
      <c r="K21" s="8">
        <f>IFERROR(MODE(G21:J21),"")</f>
        <v/>
      </c>
      <c r="L21" s="4">
        <f>IF(COUNT(G21:J21)=0,"",MAX(G21:J21))</f>
        <v/>
      </c>
      <c r="M21" s="4">
        <f>IF(COUNT(G21:J21)=0,"",MIN(G21:J21))</f>
        <v/>
      </c>
    </row>
    <row r="22" ht="16" customHeight="1">
      <c r="B22" s="9" t="inlineStr">
        <is>
          <t>HU-16</t>
        </is>
      </c>
      <c r="C22" s="10" t="inlineStr">
        <is>
          <t>Importar análisis de precios unitarios</t>
        </is>
      </c>
      <c r="D22" s="9" t="inlineStr">
        <is>
          <t>E2</t>
        </is>
      </c>
      <c r="E22" s="9" t="inlineStr">
        <is>
          <t>Crítica</t>
        </is>
      </c>
      <c r="F22" s="6" t="n">
        <v>8</v>
      </c>
      <c r="G22" s="7" t="n"/>
      <c r="H22" s="7" t="n"/>
      <c r="I22" s="7" t="n"/>
      <c r="J22" s="7" t="n"/>
      <c r="K22" s="8">
        <f>IFERROR(MODE(G22:J22),"")</f>
        <v/>
      </c>
      <c r="L22" s="9">
        <f>IF(COUNT(G22:J22)=0,"",MAX(G22:J22))</f>
        <v/>
      </c>
      <c r="M22" s="9">
        <f>IF(COUNT(G22:J22)=0,"",MIN(G22:J22))</f>
        <v/>
      </c>
    </row>
    <row r="23" ht="16" customHeight="1">
      <c r="B23" s="4" t="inlineStr">
        <is>
          <t>HU-17</t>
        </is>
      </c>
      <c r="C23" s="5" t="inlineStr">
        <is>
          <t>Registrar factor de conversión</t>
        </is>
      </c>
      <c r="D23" s="4" t="inlineStr">
        <is>
          <t>E2</t>
        </is>
      </c>
      <c r="E23" s="4" t="inlineStr">
        <is>
          <t>Crítica</t>
        </is>
      </c>
      <c r="F23" s="6" t="n">
        <v>3</v>
      </c>
      <c r="G23" s="7" t="n"/>
      <c r="H23" s="7" t="n"/>
      <c r="I23" s="7" t="n"/>
      <c r="J23" s="7" t="n"/>
      <c r="K23" s="8">
        <f>IFERROR(MODE(G23:J23),"")</f>
        <v/>
      </c>
      <c r="L23" s="4">
        <f>IF(COUNT(G23:J23)=0,"",MAX(G23:J23))</f>
        <v/>
      </c>
      <c r="M23" s="4">
        <f>IF(COUNT(G23:J23)=0,"",MIN(G23:J23))</f>
        <v/>
      </c>
    </row>
    <row r="24" ht="16" customHeight="1">
      <c r="B24" s="9" t="inlineStr">
        <is>
          <t>HU-18</t>
        </is>
      </c>
      <c r="C24" s="10" t="inlineStr">
        <is>
          <t>Repartir acero por diámetro</t>
        </is>
      </c>
      <c r="D24" s="9" t="inlineStr">
        <is>
          <t>E2</t>
        </is>
      </c>
      <c r="E24" s="9" t="inlineStr">
        <is>
          <t>Alta</t>
        </is>
      </c>
      <c r="F24" s="6" t="n">
        <v>5</v>
      </c>
      <c r="G24" s="7" t="n"/>
      <c r="H24" s="7" t="n"/>
      <c r="I24" s="7" t="n"/>
      <c r="J24" s="7" t="n"/>
      <c r="K24" s="8">
        <f>IFERROR(MODE(G24:J24),"")</f>
        <v/>
      </c>
      <c r="L24" s="9">
        <f>IF(COUNT(G24:J24)=0,"",MAX(G24:J24))</f>
        <v/>
      </c>
      <c r="M24" s="9">
        <f>IF(COUNT(G24:J24)=0,"",MIN(G24:J24))</f>
        <v/>
      </c>
    </row>
    <row r="25" ht="16" customHeight="1">
      <c r="B25" s="4" t="inlineStr">
        <is>
          <t>HU-19</t>
        </is>
      </c>
      <c r="C25" s="5" t="inlineStr">
        <is>
          <t>Importar requerimiento total de obra</t>
        </is>
      </c>
      <c r="D25" s="4" t="inlineStr">
        <is>
          <t>E2</t>
        </is>
      </c>
      <c r="E25" s="4" t="inlineStr">
        <is>
          <t>Crítica</t>
        </is>
      </c>
      <c r="F25" s="6" t="n">
        <v>5</v>
      </c>
      <c r="G25" s="7" t="n"/>
      <c r="H25" s="7" t="n"/>
      <c r="I25" s="7" t="n"/>
      <c r="J25" s="7" t="n"/>
      <c r="K25" s="8">
        <f>IFERROR(MODE(G25:J25),"")</f>
        <v/>
      </c>
      <c r="L25" s="4">
        <f>IF(COUNT(G25:J25)=0,"",MAX(G25:J25))</f>
        <v/>
      </c>
      <c r="M25" s="4">
        <f>IF(COUNT(G25:J25)=0,"",MIN(G25:J25))</f>
        <v/>
      </c>
    </row>
    <row r="26" ht="16" customHeight="1">
      <c r="B26" s="9" t="inlineStr">
        <is>
          <t>HU-20</t>
        </is>
      </c>
      <c r="C26" s="10" t="inlineStr">
        <is>
          <t>Registrar requerimiento por fase</t>
        </is>
      </c>
      <c r="D26" s="9" t="inlineStr">
        <is>
          <t>E2</t>
        </is>
      </c>
      <c r="E26" s="9" t="inlineStr">
        <is>
          <t>Alta</t>
        </is>
      </c>
      <c r="F26" s="6" t="n">
        <v>3</v>
      </c>
      <c r="G26" s="7" t="n"/>
      <c r="H26" s="7" t="n"/>
      <c r="I26" s="7" t="n"/>
      <c r="J26" s="7" t="n"/>
      <c r="K26" s="8">
        <f>IFERROR(MODE(G26:J26),"")</f>
        <v/>
      </c>
      <c r="L26" s="9">
        <f>IF(COUNT(G26:J26)=0,"",MAX(G26:J26))</f>
        <v/>
      </c>
      <c r="M26" s="9">
        <f>IF(COUNT(G26:J26)=0,"",MIN(G26:J26))</f>
        <v/>
      </c>
    </row>
    <row r="27" ht="16" customHeight="1">
      <c r="B27" s="4" t="inlineStr">
        <is>
          <t>HU-21</t>
        </is>
      </c>
      <c r="C27" s="5" t="inlineStr">
        <is>
          <t>Avisar exceso del requerimiento</t>
        </is>
      </c>
      <c r="D27" s="4" t="inlineStr">
        <is>
          <t>E2</t>
        </is>
      </c>
      <c r="E27" s="4" t="inlineStr">
        <is>
          <t>Alta</t>
        </is>
      </c>
      <c r="F27" s="6" t="n">
        <v>3</v>
      </c>
      <c r="G27" s="7" t="n"/>
      <c r="H27" s="7" t="n"/>
      <c r="I27" s="7" t="n"/>
      <c r="J27" s="7" t="n"/>
      <c r="K27" s="8">
        <f>IFERROR(MODE(G27:J27),"")</f>
        <v/>
      </c>
      <c r="L27" s="4">
        <f>IF(COUNT(G27:J27)=0,"",MAX(G27:J27))</f>
        <v/>
      </c>
      <c r="M27" s="4">
        <f>IF(COUNT(G27:J27)=0,"",MIN(G27:J27))</f>
        <v/>
      </c>
    </row>
    <row r="28" ht="16" customHeight="1">
      <c r="B28" s="9" t="inlineStr">
        <is>
          <t>HU-22</t>
        </is>
      </c>
      <c r="C28" s="10" t="inlineStr">
        <is>
          <t>Agregar insumo no presupuestado</t>
        </is>
      </c>
      <c r="D28" s="9" t="inlineStr">
        <is>
          <t>E2</t>
        </is>
      </c>
      <c r="E28" s="9" t="inlineStr">
        <is>
          <t>Media</t>
        </is>
      </c>
      <c r="F28" s="6" t="n">
        <v>3</v>
      </c>
      <c r="G28" s="7" t="n"/>
      <c r="H28" s="7" t="n"/>
      <c r="I28" s="7" t="n"/>
      <c r="J28" s="7" t="n"/>
      <c r="K28" s="8">
        <f>IFERROR(MODE(G28:J28),"")</f>
        <v/>
      </c>
      <c r="L28" s="9">
        <f>IF(COUNT(G28:J28)=0,"",MAX(G28:J28))</f>
        <v/>
      </c>
      <c r="M28" s="9">
        <f>IF(COUNT(G28:J28)=0,"",MIN(G28:J28))</f>
        <v/>
      </c>
    </row>
    <row r="29" ht="16" customHeight="1">
      <c r="B29" s="4" t="inlineStr">
        <is>
          <t>HU-23</t>
        </is>
      </c>
      <c r="C29" s="5" t="inlineStr">
        <is>
          <t>Consultar avance de compra y consumo</t>
        </is>
      </c>
      <c r="D29" s="4" t="inlineStr">
        <is>
          <t>E2</t>
        </is>
      </c>
      <c r="E29" s="4" t="inlineStr">
        <is>
          <t>Alta</t>
        </is>
      </c>
      <c r="F29" s="6" t="n">
        <v>5</v>
      </c>
      <c r="G29" s="7" t="n"/>
      <c r="H29" s="7" t="n"/>
      <c r="I29" s="7" t="n"/>
      <c r="J29" s="7" t="n"/>
      <c r="K29" s="8">
        <f>IFERROR(MODE(G29:J29),"")</f>
        <v/>
      </c>
      <c r="L29" s="4">
        <f>IF(COUNT(G29:J29)=0,"",MAX(G29:J29))</f>
        <v/>
      </c>
      <c r="M29" s="4">
        <f>IF(COUNT(G29:J29)=0,"",MIN(G29:J29))</f>
        <v/>
      </c>
    </row>
    <row r="30" ht="16" customHeight="1">
      <c r="B30" s="9" t="inlineStr">
        <is>
          <t>HU-24</t>
        </is>
      </c>
      <c r="C30" s="10" t="inlineStr">
        <is>
          <t>Consultar saldo por comprar</t>
        </is>
      </c>
      <c r="D30" s="9" t="inlineStr">
        <is>
          <t>E2</t>
        </is>
      </c>
      <c r="E30" s="9" t="inlineStr">
        <is>
          <t>Alta</t>
        </is>
      </c>
      <c r="F30" s="6" t="n">
        <v>3</v>
      </c>
      <c r="G30" s="7" t="n"/>
      <c r="H30" s="7" t="n"/>
      <c r="I30" s="7" t="n"/>
      <c r="J30" s="7" t="n"/>
      <c r="K30" s="8">
        <f>IFERROR(MODE(G30:J30),"")</f>
        <v/>
      </c>
      <c r="L30" s="9">
        <f>IF(COUNT(G30:J30)=0,"",MAX(G30:J30))</f>
        <v/>
      </c>
      <c r="M30" s="9">
        <f>IF(COUNT(G30:J30)=0,"",MIN(G30:J30))</f>
        <v/>
      </c>
    </row>
    <row r="31" ht="16" customHeight="1">
      <c r="B31" s="4" t="inlineStr">
        <is>
          <t>HU-25</t>
        </is>
      </c>
      <c r="C31" s="5" t="inlineStr">
        <is>
          <t>Definir parámetros de reposición</t>
        </is>
      </c>
      <c r="D31" s="4" t="inlineStr">
        <is>
          <t>E2</t>
        </is>
      </c>
      <c r="E31" s="4" t="inlineStr">
        <is>
          <t>Crítica</t>
        </is>
      </c>
      <c r="F31" s="6" t="n">
        <v>5</v>
      </c>
      <c r="G31" s="7" t="n"/>
      <c r="H31" s="7" t="n"/>
      <c r="I31" s="7" t="n"/>
      <c r="J31" s="7" t="n"/>
      <c r="K31" s="8">
        <f>IFERROR(MODE(G31:J31),"")</f>
        <v/>
      </c>
      <c r="L31" s="4">
        <f>IF(COUNT(G31:J31)=0,"",MAX(G31:J31))</f>
        <v/>
      </c>
      <c r="M31" s="4">
        <f>IF(COUNT(G31:J31)=0,"",MIN(G31:J31))</f>
        <v/>
      </c>
    </row>
    <row r="32" ht="16" customHeight="1">
      <c r="B32" s="9" t="inlineStr">
        <is>
          <t>HU-26</t>
        </is>
      </c>
      <c r="C32" s="10" t="inlineStr">
        <is>
          <t>Avisar punto de reposición</t>
        </is>
      </c>
      <c r="D32" s="9" t="inlineStr">
        <is>
          <t>E2</t>
        </is>
      </c>
      <c r="E32" s="9" t="inlineStr">
        <is>
          <t>Crítica</t>
        </is>
      </c>
      <c r="F32" s="6" t="n">
        <v>5</v>
      </c>
      <c r="G32" s="7" t="n"/>
      <c r="H32" s="7" t="n"/>
      <c r="I32" s="7" t="n"/>
      <c r="J32" s="7" t="n"/>
      <c r="K32" s="8">
        <f>IFERROR(MODE(G32:J32),"")</f>
        <v/>
      </c>
      <c r="L32" s="9">
        <f>IF(COUNT(G32:J32)=0,"",MAX(G32:J32))</f>
        <v/>
      </c>
      <c r="M32" s="9">
        <f>IF(COUNT(G32:J32)=0,"",MIN(G32:J32))</f>
        <v/>
      </c>
    </row>
    <row r="33" ht="16" customHeight="1">
      <c r="B33" s="4" t="inlineStr">
        <is>
          <t>HU-27</t>
        </is>
      </c>
      <c r="C33" s="5" t="inlineStr">
        <is>
          <t>Sugerir cantidad a comprar</t>
        </is>
      </c>
      <c r="D33" s="4" t="inlineStr">
        <is>
          <t>E2</t>
        </is>
      </c>
      <c r="E33" s="4" t="inlineStr">
        <is>
          <t>Crítica</t>
        </is>
      </c>
      <c r="F33" s="6" t="n">
        <v>5</v>
      </c>
      <c r="G33" s="7" t="n"/>
      <c r="H33" s="7" t="n"/>
      <c r="I33" s="7" t="n"/>
      <c r="J33" s="7" t="n"/>
      <c r="K33" s="8">
        <f>IFERROR(MODE(G33:J33),"")</f>
        <v/>
      </c>
      <c r="L33" s="4">
        <f>IF(COUNT(G33:J33)=0,"",MAX(G33:J33))</f>
        <v/>
      </c>
      <c r="M33" s="4">
        <f>IF(COUNT(G33:J33)=0,"",MIN(G33:J33))</f>
        <v/>
      </c>
    </row>
    <row r="34" ht="16" customHeight="1">
      <c r="B34" s="9" t="inlineStr">
        <is>
          <t>HU-28</t>
        </is>
      </c>
      <c r="C34" s="10" t="inlineStr">
        <is>
          <t>Marcar insumos críticos</t>
        </is>
      </c>
      <c r="D34" s="9" t="inlineStr">
        <is>
          <t>E2</t>
        </is>
      </c>
      <c r="E34" s="9" t="inlineStr">
        <is>
          <t>Media</t>
        </is>
      </c>
      <c r="F34" s="6" t="n">
        <v>3</v>
      </c>
      <c r="G34" s="7" t="n"/>
      <c r="H34" s="7" t="n"/>
      <c r="I34" s="7" t="n"/>
      <c r="J34" s="7" t="n"/>
      <c r="K34" s="8">
        <f>IFERROR(MODE(G34:J34),"")</f>
        <v/>
      </c>
      <c r="L34" s="9">
        <f>IF(COUNT(G34:J34)=0,"",MAX(G34:J34))</f>
        <v/>
      </c>
      <c r="M34" s="9">
        <f>IF(COUNT(G34:J34)=0,"",MIN(G34:J34))</f>
        <v/>
      </c>
    </row>
    <row r="35" ht="16" customHeight="1">
      <c r="B35" s="4" t="inlineStr">
        <is>
          <t>HU-29</t>
        </is>
      </c>
      <c r="C35" s="5" t="inlineStr">
        <is>
          <t>Consultar proveedores</t>
        </is>
      </c>
      <c r="D35" s="4" t="inlineStr">
        <is>
          <t>E3</t>
        </is>
      </c>
      <c r="E35" s="4" t="inlineStr">
        <is>
          <t>Alta</t>
        </is>
      </c>
      <c r="F35" s="6" t="n">
        <v>2</v>
      </c>
      <c r="G35" s="7" t="n"/>
      <c r="H35" s="7" t="n"/>
      <c r="I35" s="7" t="n"/>
      <c r="J35" s="7" t="n"/>
      <c r="K35" s="8">
        <f>IFERROR(MODE(G35:J35),"")</f>
        <v/>
      </c>
      <c r="L35" s="4">
        <f>IF(COUNT(G35:J35)=0,"",MAX(G35:J35))</f>
        <v/>
      </c>
      <c r="M35" s="4">
        <f>IF(COUNT(G35:J35)=0,"",MIN(G35:J35))</f>
        <v/>
      </c>
    </row>
    <row r="36" ht="16" customHeight="1">
      <c r="B36" s="9" t="inlineStr">
        <is>
          <t>HU-30</t>
        </is>
      </c>
      <c r="C36" s="10" t="inlineStr">
        <is>
          <t>Registrar proveedor</t>
        </is>
      </c>
      <c r="D36" s="9" t="inlineStr">
        <is>
          <t>E3</t>
        </is>
      </c>
      <c r="E36" s="9" t="inlineStr">
        <is>
          <t>Media</t>
        </is>
      </c>
      <c r="F36" s="6" t="n">
        <v>3</v>
      </c>
      <c r="G36" s="7" t="n"/>
      <c r="H36" s="7" t="n"/>
      <c r="I36" s="7" t="n"/>
      <c r="J36" s="7" t="n"/>
      <c r="K36" s="8">
        <f>IFERROR(MODE(G36:J36),"")</f>
        <v/>
      </c>
      <c r="L36" s="9">
        <f>IF(COUNT(G36:J36)=0,"",MAX(G36:J36))</f>
        <v/>
      </c>
      <c r="M36" s="9">
        <f>IF(COUNT(G36:J36)=0,"",MIN(G36:J36))</f>
        <v/>
      </c>
    </row>
    <row r="37" ht="16" customHeight="1">
      <c r="B37" s="4" t="inlineStr">
        <is>
          <t>HU-31</t>
        </is>
      </c>
      <c r="C37" s="5" t="inlineStr">
        <is>
          <t>Validar RUC en SUNAT</t>
        </is>
      </c>
      <c r="D37" s="4" t="inlineStr">
        <is>
          <t>E3</t>
        </is>
      </c>
      <c r="E37" s="4" t="inlineStr">
        <is>
          <t>Alta</t>
        </is>
      </c>
      <c r="F37" s="6" t="n">
        <v>5</v>
      </c>
      <c r="G37" s="7" t="n"/>
      <c r="H37" s="7" t="n"/>
      <c r="I37" s="7" t="n"/>
      <c r="J37" s="7" t="n"/>
      <c r="K37" s="8">
        <f>IFERROR(MODE(G37:J37),"")</f>
        <v/>
      </c>
      <c r="L37" s="4">
        <f>IF(COUNT(G37:J37)=0,"",MAX(G37:J37))</f>
        <v/>
      </c>
      <c r="M37" s="4">
        <f>IF(COUNT(G37:J37)=0,"",MIN(G37:J37))</f>
        <v/>
      </c>
    </row>
    <row r="38" ht="16" customHeight="1">
      <c r="B38" s="9" t="inlineStr">
        <is>
          <t>HU-32</t>
        </is>
      </c>
      <c r="C38" s="10" t="inlineStr">
        <is>
          <t>Registrar compra</t>
        </is>
      </c>
      <c r="D38" s="9" t="inlineStr">
        <is>
          <t>E3</t>
        </is>
      </c>
      <c r="E38" s="9" t="inlineStr">
        <is>
          <t>Crítica</t>
        </is>
      </c>
      <c r="F38" s="6" t="n">
        <v>8</v>
      </c>
      <c r="G38" s="7" t="n"/>
      <c r="H38" s="7" t="n"/>
      <c r="I38" s="7" t="n"/>
      <c r="J38" s="7" t="n"/>
      <c r="K38" s="8">
        <f>IFERROR(MODE(G38:J38),"")</f>
        <v/>
      </c>
      <c r="L38" s="9">
        <f>IF(COUNT(G38:J38)=0,"",MAX(G38:J38))</f>
        <v/>
      </c>
      <c r="M38" s="9">
        <f>IF(COUNT(G38:J38)=0,"",MIN(G38:J38))</f>
        <v/>
      </c>
    </row>
    <row r="39" ht="16" customHeight="1">
      <c r="B39" s="4" t="inlineStr">
        <is>
          <t>HU-33</t>
        </is>
      </c>
      <c r="C39" s="5" t="inlineStr">
        <is>
          <t>Registrar precio pagado</t>
        </is>
      </c>
      <c r="D39" s="4" t="inlineStr">
        <is>
          <t>E3</t>
        </is>
      </c>
      <c r="E39" s="4" t="inlineStr">
        <is>
          <t>Media</t>
        </is>
      </c>
      <c r="F39" s="6" t="n">
        <v>3</v>
      </c>
      <c r="G39" s="7" t="n"/>
      <c r="H39" s="7" t="n"/>
      <c r="I39" s="7" t="n"/>
      <c r="J39" s="7" t="n"/>
      <c r="K39" s="8">
        <f>IFERROR(MODE(G39:J39),"")</f>
        <v/>
      </c>
      <c r="L39" s="4">
        <f>IF(COUNT(G39:J39)=0,"",MAX(G39:J39))</f>
        <v/>
      </c>
      <c r="M39" s="4">
        <f>IF(COUNT(G39:J39)=0,"",MIN(G39:J39))</f>
        <v/>
      </c>
    </row>
    <row r="40" ht="16" customHeight="1">
      <c r="B40" s="9" t="inlineStr">
        <is>
          <t>HU-34</t>
        </is>
      </c>
      <c r="C40" s="10" t="inlineStr">
        <is>
          <t>Adjuntar comprobante de compra</t>
        </is>
      </c>
      <c r="D40" s="9" t="inlineStr">
        <is>
          <t>E3</t>
        </is>
      </c>
      <c r="E40" s="9" t="inlineStr">
        <is>
          <t>Alta</t>
        </is>
      </c>
      <c r="F40" s="6" t="n">
        <v>3</v>
      </c>
      <c r="G40" s="7" t="n"/>
      <c r="H40" s="7" t="n"/>
      <c r="I40" s="7" t="n"/>
      <c r="J40" s="7" t="n"/>
      <c r="K40" s="8">
        <f>IFERROR(MODE(G40:J40),"")</f>
        <v/>
      </c>
      <c r="L40" s="9">
        <f>IF(COUNT(G40:J40)=0,"",MAX(G40:J40))</f>
        <v/>
      </c>
      <c r="M40" s="9">
        <f>IF(COUNT(G40:J40)=0,"",MIN(G40:J40))</f>
        <v/>
      </c>
    </row>
    <row r="41" ht="16" customHeight="1">
      <c r="B41" s="4" t="inlineStr">
        <is>
          <t>HU-35</t>
        </is>
      </c>
      <c r="C41" s="5" t="inlineStr">
        <is>
          <t>Registrar recepción de compra</t>
        </is>
      </c>
      <c r="D41" s="4" t="inlineStr">
        <is>
          <t>E3</t>
        </is>
      </c>
      <c r="E41" s="4" t="inlineStr">
        <is>
          <t>Crítica</t>
        </is>
      </c>
      <c r="F41" s="6" t="n">
        <v>8</v>
      </c>
      <c r="G41" s="7" t="n"/>
      <c r="H41" s="7" t="n"/>
      <c r="I41" s="7" t="n"/>
      <c r="J41" s="7" t="n"/>
      <c r="K41" s="8">
        <f>IFERROR(MODE(G41:J41),"")</f>
        <v/>
      </c>
      <c r="L41" s="4">
        <f>IF(COUNT(G41:J41)=0,"",MAX(G41:J41))</f>
        <v/>
      </c>
      <c r="M41" s="4">
        <f>IF(COUNT(G41:J41)=0,"",MIN(G41:J41))</f>
        <v/>
      </c>
    </row>
    <row r="42" ht="16" customHeight="1">
      <c r="B42" s="9" t="inlineStr">
        <is>
          <t>HU-36</t>
        </is>
      </c>
      <c r="C42" s="10" t="inlineStr">
        <is>
          <t>Avisar recepción excedida</t>
        </is>
      </c>
      <c r="D42" s="9" t="inlineStr">
        <is>
          <t>E3</t>
        </is>
      </c>
      <c r="E42" s="9" t="inlineStr">
        <is>
          <t>Media</t>
        </is>
      </c>
      <c r="F42" s="6" t="n">
        <v>2</v>
      </c>
      <c r="G42" s="7" t="n"/>
      <c r="H42" s="7" t="n"/>
      <c r="I42" s="7" t="n"/>
      <c r="J42" s="7" t="n"/>
      <c r="K42" s="8">
        <f>IFERROR(MODE(G42:J42),"")</f>
        <v/>
      </c>
      <c r="L42" s="9">
        <f>IF(COUNT(G42:J42)=0,"",MAX(G42:J42))</f>
        <v/>
      </c>
      <c r="M42" s="9">
        <f>IF(COUNT(G42:J42)=0,"",MIN(G42:J42))</f>
        <v/>
      </c>
    </row>
    <row r="43" ht="16" customHeight="1">
      <c r="B43" s="4" t="inlineStr">
        <is>
          <t>HU-37</t>
        </is>
      </c>
      <c r="C43" s="5" t="inlineStr">
        <is>
          <t>Registrar movimientos sin conexión</t>
        </is>
      </c>
      <c r="D43" s="4" t="inlineStr">
        <is>
          <t>E4</t>
        </is>
      </c>
      <c r="E43" s="4" t="inlineStr">
        <is>
          <t>Crítica</t>
        </is>
      </c>
      <c r="F43" s="6" t="n">
        <v>8</v>
      </c>
      <c r="G43" s="7" t="n"/>
      <c r="H43" s="7" t="n"/>
      <c r="I43" s="7" t="n"/>
      <c r="J43" s="7" t="n"/>
      <c r="K43" s="8">
        <f>IFERROR(MODE(G43:J43),"")</f>
        <v/>
      </c>
      <c r="L43" s="4">
        <f>IF(COUNT(G43:J43)=0,"",MAX(G43:J43))</f>
        <v/>
      </c>
      <c r="M43" s="4">
        <f>IF(COUNT(G43:J43)=0,"",MIN(G43:J43))</f>
        <v/>
      </c>
    </row>
    <row r="44" ht="16" customHeight="1">
      <c r="B44" s="9" t="inlineStr">
        <is>
          <t>HU-38</t>
        </is>
      </c>
      <c r="C44" s="10" t="inlineStr">
        <is>
          <t>Sincronizar movimientos pendientes</t>
        </is>
      </c>
      <c r="D44" s="9" t="inlineStr">
        <is>
          <t>E4</t>
        </is>
      </c>
      <c r="E44" s="9" t="inlineStr">
        <is>
          <t>Crítica</t>
        </is>
      </c>
      <c r="F44" s="6" t="n">
        <v>5</v>
      </c>
      <c r="G44" s="7" t="n"/>
      <c r="H44" s="7" t="n"/>
      <c r="I44" s="7" t="n"/>
      <c r="J44" s="7" t="n"/>
      <c r="K44" s="8">
        <f>IFERROR(MODE(G44:J44),"")</f>
        <v/>
      </c>
      <c r="L44" s="9">
        <f>IF(COUNT(G44:J44)=0,"",MAX(G44:J44))</f>
        <v/>
      </c>
      <c r="M44" s="9">
        <f>IF(COUNT(G44:J44)=0,"",MIN(G44:J44))</f>
        <v/>
      </c>
    </row>
    <row r="45" ht="16" customHeight="1">
      <c r="B45" s="4" t="inlineStr">
        <is>
          <t>HU-39</t>
        </is>
      </c>
      <c r="C45" s="5" t="inlineStr">
        <is>
          <t>Mostrar estado de sincronización</t>
        </is>
      </c>
      <c r="D45" s="4" t="inlineStr">
        <is>
          <t>E4</t>
        </is>
      </c>
      <c r="E45" s="4" t="inlineStr">
        <is>
          <t>Alta</t>
        </is>
      </c>
      <c r="F45" s="6" t="n">
        <v>5</v>
      </c>
      <c r="G45" s="7" t="n"/>
      <c r="H45" s="7" t="n"/>
      <c r="I45" s="7" t="n"/>
      <c r="J45" s="7" t="n"/>
      <c r="K45" s="8">
        <f>IFERROR(MODE(G45:J45),"")</f>
        <v/>
      </c>
      <c r="L45" s="4">
        <f>IF(COUNT(G45:J45)=0,"",MAX(G45:J45))</f>
        <v/>
      </c>
      <c r="M45" s="4">
        <f>IF(COUNT(G45:J45)=0,"",MIN(G45:J45))</f>
        <v/>
      </c>
    </row>
    <row r="46" ht="16" customHeight="1">
      <c r="B46" s="9" t="inlineStr">
        <is>
          <t>HU-40</t>
        </is>
      </c>
      <c r="C46" s="10" t="inlineStr">
        <is>
          <t>Registrar salida de material</t>
        </is>
      </c>
      <c r="D46" s="9" t="inlineStr">
        <is>
          <t>E4</t>
        </is>
      </c>
      <c r="E46" s="9" t="inlineStr">
        <is>
          <t>Crítica</t>
        </is>
      </c>
      <c r="F46" s="6" t="n">
        <v>8</v>
      </c>
      <c r="G46" s="7" t="n"/>
      <c r="H46" s="7" t="n"/>
      <c r="I46" s="7" t="n"/>
      <c r="J46" s="7" t="n"/>
      <c r="K46" s="8">
        <f>IFERROR(MODE(G46:J46),"")</f>
        <v/>
      </c>
      <c r="L46" s="9">
        <f>IF(COUNT(G46:J46)=0,"",MAX(G46:J46))</f>
        <v/>
      </c>
      <c r="M46" s="9">
        <f>IF(COUNT(G46:J46)=0,"",MIN(G46:J46))</f>
        <v/>
      </c>
    </row>
    <row r="47" ht="16" customHeight="1">
      <c r="B47" s="4" t="inlineStr">
        <is>
          <t>HU-41</t>
        </is>
      </c>
      <c r="C47" s="5" t="inlineStr">
        <is>
          <t>Registrar ingreso sin compra</t>
        </is>
      </c>
      <c r="D47" s="4" t="inlineStr">
        <is>
          <t>E4</t>
        </is>
      </c>
      <c r="E47" s="4" t="inlineStr">
        <is>
          <t>Media</t>
        </is>
      </c>
      <c r="F47" s="6" t="n">
        <v>3</v>
      </c>
      <c r="G47" s="7" t="n"/>
      <c r="H47" s="7" t="n"/>
      <c r="I47" s="7" t="n"/>
      <c r="J47" s="7" t="n"/>
      <c r="K47" s="8">
        <f>IFERROR(MODE(G47:J47),"")</f>
        <v/>
      </c>
      <c r="L47" s="4">
        <f>IF(COUNT(G47:J47)=0,"",MAX(G47:J47))</f>
        <v/>
      </c>
      <c r="M47" s="4">
        <f>IF(COUNT(G47:J47)=0,"",MIN(G47:J47))</f>
        <v/>
      </c>
    </row>
    <row r="48" ht="16" customHeight="1">
      <c r="B48" s="9" t="inlineStr">
        <is>
          <t>HU-42</t>
        </is>
      </c>
      <c r="C48" s="10" t="inlineStr">
        <is>
          <t>Trasladar material entre obras</t>
        </is>
      </c>
      <c r="D48" s="9" t="inlineStr">
        <is>
          <t>E4</t>
        </is>
      </c>
      <c r="E48" s="9" t="inlineStr">
        <is>
          <t>Alta</t>
        </is>
      </c>
      <c r="F48" s="6" t="n">
        <v>5</v>
      </c>
      <c r="G48" s="7" t="n"/>
      <c r="H48" s="7" t="n"/>
      <c r="I48" s="7" t="n"/>
      <c r="J48" s="7" t="n"/>
      <c r="K48" s="8">
        <f>IFERROR(MODE(G48:J48),"")</f>
        <v/>
      </c>
      <c r="L48" s="9">
        <f>IF(COUNT(G48:J48)=0,"",MAX(G48:J48))</f>
        <v/>
      </c>
      <c r="M48" s="9">
        <f>IF(COUNT(G48:J48)=0,"",MIN(G48:J48))</f>
        <v/>
      </c>
    </row>
    <row r="49" ht="16" customHeight="1">
      <c r="B49" s="4" t="inlineStr">
        <is>
          <t>HU-43</t>
        </is>
      </c>
      <c r="C49" s="5" t="inlineStr">
        <is>
          <t>Consultar stock de insumos</t>
        </is>
      </c>
      <c r="D49" s="4" t="inlineStr">
        <is>
          <t>E4</t>
        </is>
      </c>
      <c r="E49" s="4" t="inlineStr">
        <is>
          <t>Crítica</t>
        </is>
      </c>
      <c r="F49" s="6" t="n">
        <v>5</v>
      </c>
      <c r="G49" s="7" t="n"/>
      <c r="H49" s="7" t="n"/>
      <c r="I49" s="7" t="n"/>
      <c r="J49" s="7" t="n"/>
      <c r="K49" s="8">
        <f>IFERROR(MODE(G49:J49),"")</f>
        <v/>
      </c>
      <c r="L49" s="4">
        <f>IF(COUNT(G49:J49)=0,"",MAX(G49:J49))</f>
        <v/>
      </c>
      <c r="M49" s="4">
        <f>IF(COUNT(G49:J49)=0,"",MIN(G49:J49))</f>
        <v/>
      </c>
    </row>
    <row r="50" ht="16" customHeight="1">
      <c r="B50" s="9" t="inlineStr">
        <is>
          <t>HU-44</t>
        </is>
      </c>
      <c r="C50" s="10" t="inlineStr">
        <is>
          <t>Reportar entradas y salidas semanales</t>
        </is>
      </c>
      <c r="D50" s="9" t="inlineStr">
        <is>
          <t>E4</t>
        </is>
      </c>
      <c r="E50" s="9" t="inlineStr">
        <is>
          <t>Media</t>
        </is>
      </c>
      <c r="F50" s="6" t="n">
        <v>3</v>
      </c>
      <c r="G50" s="7" t="n"/>
      <c r="H50" s="7" t="n"/>
      <c r="I50" s="7" t="n"/>
      <c r="J50" s="7" t="n"/>
      <c r="K50" s="8">
        <f>IFERROR(MODE(G50:J50),"")</f>
        <v/>
      </c>
      <c r="L50" s="9">
        <f>IF(COUNT(G50:J50)=0,"",MAX(G50:J50))</f>
        <v/>
      </c>
      <c r="M50" s="9">
        <f>IF(COUNT(G50:J50)=0,"",MIN(G50:J50))</f>
        <v/>
      </c>
    </row>
    <row r="51" ht="16" customHeight="1">
      <c r="B51" s="4" t="inlineStr">
        <is>
          <t>HU-45</t>
        </is>
      </c>
      <c r="C51" s="5" t="inlineStr">
        <is>
          <t>Corregir movimiento con reverso</t>
        </is>
      </c>
      <c r="D51" s="4" t="inlineStr">
        <is>
          <t>E4</t>
        </is>
      </c>
      <c r="E51" s="4" t="inlineStr">
        <is>
          <t>Crítica</t>
        </is>
      </c>
      <c r="F51" s="6" t="n">
        <v>5</v>
      </c>
      <c r="G51" s="7" t="n"/>
      <c r="H51" s="7" t="n"/>
      <c r="I51" s="7" t="n"/>
      <c r="J51" s="7" t="n"/>
      <c r="K51" s="8">
        <f>IFERROR(MODE(G51:J51),"")</f>
        <v/>
      </c>
      <c r="L51" s="4">
        <f>IF(COUNT(G51:J51)=0,"",MAX(G51:J51))</f>
        <v/>
      </c>
      <c r="M51" s="4">
        <f>IF(COUNT(G51:J51)=0,"",MIN(G51:J51))</f>
        <v/>
      </c>
    </row>
    <row r="52" ht="16" customHeight="1">
      <c r="B52" s="9" t="inlineStr">
        <is>
          <t>HU-46</t>
        </is>
      </c>
      <c r="C52" s="10" t="inlineStr">
        <is>
          <t>Registrar conteo físico</t>
        </is>
      </c>
      <c r="D52" s="9" t="inlineStr">
        <is>
          <t>E4</t>
        </is>
      </c>
      <c r="E52" s="9" t="inlineStr">
        <is>
          <t>Alta</t>
        </is>
      </c>
      <c r="F52" s="6" t="n">
        <v>5</v>
      </c>
      <c r="G52" s="7" t="n"/>
      <c r="H52" s="7" t="n"/>
      <c r="I52" s="7" t="n"/>
      <c r="J52" s="7" t="n"/>
      <c r="K52" s="8">
        <f>IFERROR(MODE(G52:J52),"")</f>
        <v/>
      </c>
      <c r="L52" s="9">
        <f>IF(COUNT(G52:J52)=0,"",MAX(G52:J52))</f>
        <v/>
      </c>
      <c r="M52" s="9">
        <f>IF(COUNT(G52:J52)=0,"",MIN(G52:J52))</f>
        <v/>
      </c>
    </row>
    <row r="53" ht="16" customHeight="1">
      <c r="B53" s="4" t="inlineStr">
        <is>
          <t>HU-47</t>
        </is>
      </c>
      <c r="C53" s="5" t="inlineStr">
        <is>
          <t>Cerrar obra y transferir saldo</t>
        </is>
      </c>
      <c r="D53" s="4" t="inlineStr">
        <is>
          <t>E4</t>
        </is>
      </c>
      <c r="E53" s="4" t="inlineStr">
        <is>
          <t>Alta</t>
        </is>
      </c>
      <c r="F53" s="6" t="n">
        <v>5</v>
      </c>
      <c r="G53" s="7" t="n"/>
      <c r="H53" s="7" t="n"/>
      <c r="I53" s="7" t="n"/>
      <c r="J53" s="7" t="n"/>
      <c r="K53" s="8">
        <f>IFERROR(MODE(G53:J53),"")</f>
        <v/>
      </c>
      <c r="L53" s="4">
        <f>IF(COUNT(G53:J53)=0,"",MAX(G53:J53))</f>
        <v/>
      </c>
      <c r="M53" s="4">
        <f>IF(COUNT(G53:J53)=0,"",MIN(G53:J53))</f>
        <v/>
      </c>
    </row>
    <row r="54" ht="16" customHeight="1">
      <c r="B54" s="9" t="inlineStr">
        <is>
          <t>HU-48</t>
        </is>
      </c>
      <c r="C54" s="10" t="inlineStr">
        <is>
          <t>Registrar ingreso de herramientas</t>
        </is>
      </c>
      <c r="D54" s="9" t="inlineStr">
        <is>
          <t>E5</t>
        </is>
      </c>
      <c r="E54" s="9" t="inlineStr">
        <is>
          <t>Alta</t>
        </is>
      </c>
      <c r="F54" s="6" t="n">
        <v>5</v>
      </c>
      <c r="G54" s="7" t="n"/>
      <c r="H54" s="7" t="n"/>
      <c r="I54" s="7" t="n"/>
      <c r="J54" s="7" t="n"/>
      <c r="K54" s="8">
        <f>IFERROR(MODE(G54:J54),"")</f>
        <v/>
      </c>
      <c r="L54" s="9">
        <f>IF(COUNT(G54:J54)=0,"",MAX(G54:J54))</f>
        <v/>
      </c>
      <c r="M54" s="9">
        <f>IF(COUNT(G54:J54)=0,"",MIN(G54:J54))</f>
        <v/>
      </c>
    </row>
    <row r="55" ht="16" customHeight="1">
      <c r="B55" s="4" t="inlineStr">
        <is>
          <t>HU-49</t>
        </is>
      </c>
      <c r="C55" s="5" t="inlineStr">
        <is>
          <t>Entregar herramienta a trabajador</t>
        </is>
      </c>
      <c r="D55" s="4" t="inlineStr">
        <is>
          <t>E5</t>
        </is>
      </c>
      <c r="E55" s="4" t="inlineStr">
        <is>
          <t>Alta</t>
        </is>
      </c>
      <c r="F55" s="6" t="n">
        <v>3</v>
      </c>
      <c r="G55" s="7" t="n"/>
      <c r="H55" s="7" t="n"/>
      <c r="I55" s="7" t="n"/>
      <c r="J55" s="7" t="n"/>
      <c r="K55" s="8">
        <f>IFERROR(MODE(G55:J55),"")</f>
        <v/>
      </c>
      <c r="L55" s="4">
        <f>IF(COUNT(G55:J55)=0,"",MAX(G55:J55))</f>
        <v/>
      </c>
      <c r="M55" s="4">
        <f>IF(COUNT(G55:J55)=0,"",MIN(G55:J55))</f>
        <v/>
      </c>
    </row>
    <row r="56" ht="16" customHeight="1">
      <c r="B56" s="9" t="inlineStr">
        <is>
          <t>HU-50</t>
        </is>
      </c>
      <c r="C56" s="10" t="inlineStr">
        <is>
          <t>Registrar devolución de herramienta</t>
        </is>
      </c>
      <c r="D56" s="9" t="inlineStr">
        <is>
          <t>E5</t>
        </is>
      </c>
      <c r="E56" s="9" t="inlineStr">
        <is>
          <t>Alta</t>
        </is>
      </c>
      <c r="F56" s="6" t="n">
        <v>3</v>
      </c>
      <c r="G56" s="7" t="n"/>
      <c r="H56" s="7" t="n"/>
      <c r="I56" s="7" t="n"/>
      <c r="J56" s="7" t="n"/>
      <c r="K56" s="8">
        <f>IFERROR(MODE(G56:J56),"")</f>
        <v/>
      </c>
      <c r="L56" s="9">
        <f>IF(COUNT(G56:J56)=0,"",MAX(G56:J56))</f>
        <v/>
      </c>
      <c r="M56" s="9">
        <f>IF(COUNT(G56:J56)=0,"",MIN(G56:J56))</f>
        <v/>
      </c>
    </row>
    <row r="57" ht="16" customHeight="1">
      <c r="B57" s="4" t="inlineStr">
        <is>
          <t>HU-51</t>
        </is>
      </c>
      <c r="C57" s="5" t="inlineStr">
        <is>
          <t>Consultar responsable de herramienta</t>
        </is>
      </c>
      <c r="D57" s="4" t="inlineStr">
        <is>
          <t>E5</t>
        </is>
      </c>
      <c r="E57" s="4" t="inlineStr">
        <is>
          <t>Alta</t>
        </is>
      </c>
      <c r="F57" s="6" t="n">
        <v>3</v>
      </c>
      <c r="G57" s="7" t="n"/>
      <c r="H57" s="7" t="n"/>
      <c r="I57" s="7" t="n"/>
      <c r="J57" s="7" t="n"/>
      <c r="K57" s="8">
        <f>IFERROR(MODE(G57:J57),"")</f>
        <v/>
      </c>
      <c r="L57" s="4">
        <f>IF(COUNT(G57:J57)=0,"",MAX(G57:J57))</f>
        <v/>
      </c>
      <c r="M57" s="4">
        <f>IF(COUNT(G57:J57)=0,"",MIN(G57:J57))</f>
        <v/>
      </c>
    </row>
    <row r="58" ht="16" customHeight="1">
      <c r="B58" s="9" t="inlineStr">
        <is>
          <t>HU-52</t>
        </is>
      </c>
      <c r="C58" s="10" t="inlineStr">
        <is>
          <t>Registrar mantenimiento de herramienta</t>
        </is>
      </c>
      <c r="D58" s="9" t="inlineStr">
        <is>
          <t>E5</t>
        </is>
      </c>
      <c r="E58" s="9" t="inlineStr">
        <is>
          <t>Media</t>
        </is>
      </c>
      <c r="F58" s="6" t="n">
        <v>3</v>
      </c>
      <c r="G58" s="7" t="n"/>
      <c r="H58" s="7" t="n"/>
      <c r="I58" s="7" t="n"/>
      <c r="J58" s="7" t="n"/>
      <c r="K58" s="8">
        <f>IFERROR(MODE(G58:J58),"")</f>
        <v/>
      </c>
      <c r="L58" s="9">
        <f>IF(COUNT(G58:J58)=0,"",MAX(G58:J58))</f>
        <v/>
      </c>
      <c r="M58" s="9">
        <f>IF(COUNT(G58:J58)=0,"",MIN(G58:J58))</f>
        <v/>
      </c>
    </row>
    <row r="59" ht="16" customHeight="1">
      <c r="B59" s="4" t="inlineStr">
        <is>
          <t>HU-53</t>
        </is>
      </c>
      <c r="C59" s="5" t="inlineStr">
        <is>
          <t>Dar de baja herramienta</t>
        </is>
      </c>
      <c r="D59" s="4" t="inlineStr">
        <is>
          <t>E5</t>
        </is>
      </c>
      <c r="E59" s="4" t="inlineStr">
        <is>
          <t>Media</t>
        </is>
      </c>
      <c r="F59" s="6" t="n">
        <v>2</v>
      </c>
      <c r="G59" s="7" t="n"/>
      <c r="H59" s="7" t="n"/>
      <c r="I59" s="7" t="n"/>
      <c r="J59" s="7" t="n"/>
      <c r="K59" s="8">
        <f>IFERROR(MODE(G59:J59),"")</f>
        <v/>
      </c>
      <c r="L59" s="4">
        <f>IF(COUNT(G59:J59)=0,"",MAX(G59:J59))</f>
        <v/>
      </c>
      <c r="M59" s="4">
        <f>IF(COUNT(G59:J59)=0,"",MIN(G59:J59))</f>
        <v/>
      </c>
    </row>
    <row r="60" ht="16" customHeight="1">
      <c r="B60" s="9" t="inlineStr">
        <is>
          <t>HU-54</t>
        </is>
      </c>
      <c r="C60" s="10" t="inlineStr">
        <is>
          <t>Declarar estado de herramientas al cierre</t>
        </is>
      </c>
      <c r="D60" s="9" t="inlineStr">
        <is>
          <t>E5</t>
        </is>
      </c>
      <c r="E60" s="9" t="inlineStr">
        <is>
          <t>Alta</t>
        </is>
      </c>
      <c r="F60" s="6" t="n">
        <v>3</v>
      </c>
      <c r="G60" s="7" t="n"/>
      <c r="H60" s="7" t="n"/>
      <c r="I60" s="7" t="n"/>
      <c r="J60" s="7" t="n"/>
      <c r="K60" s="8">
        <f>IFERROR(MODE(G60:J60),"")</f>
        <v/>
      </c>
      <c r="L60" s="9">
        <f>IF(COUNT(G60:J60)=0,"",MAX(G60:J60))</f>
        <v/>
      </c>
      <c r="M60" s="9">
        <f>IF(COUNT(G60:J60)=0,"",MIN(G60:J60))</f>
        <v/>
      </c>
    </row>
    <row r="61" ht="16" customHeight="1">
      <c r="B61" s="4" t="inlineStr">
        <is>
          <t>HU-55</t>
        </is>
      </c>
      <c r="C61" s="5" t="inlineStr">
        <is>
          <t>Valorizar salida de material</t>
        </is>
      </c>
      <c r="D61" s="4" t="inlineStr">
        <is>
          <t>E6</t>
        </is>
      </c>
      <c r="E61" s="4" t="inlineStr">
        <is>
          <t>Crítica</t>
        </is>
      </c>
      <c r="F61" s="6" t="n">
        <v>8</v>
      </c>
      <c r="G61" s="7" t="n"/>
      <c r="H61" s="7" t="n"/>
      <c r="I61" s="7" t="n"/>
      <c r="J61" s="7" t="n"/>
      <c r="K61" s="8">
        <f>IFERROR(MODE(G61:J61),"")</f>
        <v/>
      </c>
      <c r="L61" s="4">
        <f>IF(COUNT(G61:J61)=0,"",MAX(G61:J61))</f>
        <v/>
      </c>
      <c r="M61" s="4">
        <f>IF(COUNT(G61:J61)=0,"",MIN(G61:J61))</f>
        <v/>
      </c>
    </row>
    <row r="62" ht="16" customHeight="1">
      <c r="B62" s="9" t="inlineStr">
        <is>
          <t>HU-56</t>
        </is>
      </c>
      <c r="C62" s="10" t="inlineStr">
        <is>
          <t>Consultar inventario valorizado</t>
        </is>
      </c>
      <c r="D62" s="9" t="inlineStr">
        <is>
          <t>E6</t>
        </is>
      </c>
      <c r="E62" s="9" t="inlineStr">
        <is>
          <t>Alta</t>
        </is>
      </c>
      <c r="F62" s="6" t="n">
        <v>3</v>
      </c>
      <c r="G62" s="7" t="n"/>
      <c r="H62" s="7" t="n"/>
      <c r="I62" s="7" t="n"/>
      <c r="J62" s="7" t="n"/>
      <c r="K62" s="8">
        <f>IFERROR(MODE(G62:J62),"")</f>
        <v/>
      </c>
      <c r="L62" s="9">
        <f>IF(COUNT(G62:J62)=0,"",MAX(G62:J62))</f>
        <v/>
      </c>
      <c r="M62" s="9">
        <f>IF(COUNT(G62:J62)=0,"",MIN(G62:J62))</f>
        <v/>
      </c>
    </row>
    <row r="63" ht="16" customHeight="1">
      <c r="B63" s="4" t="inlineStr">
        <is>
          <t>HU-57</t>
        </is>
      </c>
      <c r="C63" s="5" t="inlineStr">
        <is>
          <t>Comparar consumo contra lo planificado</t>
        </is>
      </c>
      <c r="D63" s="4" t="inlineStr">
        <is>
          <t>E6</t>
        </is>
      </c>
      <c r="E63" s="4" t="inlineStr">
        <is>
          <t>Crítica</t>
        </is>
      </c>
      <c r="F63" s="6" t="n">
        <v>8</v>
      </c>
      <c r="G63" s="7" t="n"/>
      <c r="H63" s="7" t="n"/>
      <c r="I63" s="7" t="n"/>
      <c r="J63" s="7" t="n"/>
      <c r="K63" s="8">
        <f>IFERROR(MODE(G63:J63),"")</f>
        <v/>
      </c>
      <c r="L63" s="4">
        <f>IF(COUNT(G63:J63)=0,"",MAX(G63:J63))</f>
        <v/>
      </c>
      <c r="M63" s="4">
        <f>IF(COUNT(G63:J63)=0,"",MIN(G63:J63))</f>
        <v/>
      </c>
    </row>
    <row r="64" ht="16" customHeight="1">
      <c r="B64" s="9" t="inlineStr">
        <is>
          <t>HU-58</t>
        </is>
      </c>
      <c r="C64" s="10" t="inlineStr">
        <is>
          <t>Consultar el gasto en recursos de la obra</t>
        </is>
      </c>
      <c r="D64" s="9" t="inlineStr">
        <is>
          <t>E6</t>
        </is>
      </c>
      <c r="E64" s="9" t="inlineStr">
        <is>
          <t>Alta</t>
        </is>
      </c>
      <c r="F64" s="6" t="n">
        <v>5</v>
      </c>
      <c r="G64" s="7" t="n"/>
      <c r="H64" s="7" t="n"/>
      <c r="I64" s="7" t="n"/>
      <c r="J64" s="7" t="n"/>
      <c r="K64" s="8">
        <f>IFERROR(MODE(G64:J64),"")</f>
        <v/>
      </c>
      <c r="L64" s="9">
        <f>IF(COUNT(G64:J64)=0,"",MAX(G64:J64))</f>
        <v/>
      </c>
      <c r="M64" s="9">
        <f>IF(COUNT(G64:J64)=0,"",MIN(G64:J64))</f>
        <v/>
      </c>
    </row>
    <row r="65" ht="16" customHeight="1">
      <c r="B65" s="4" t="inlineStr">
        <is>
          <t>HU-59</t>
        </is>
      </c>
      <c r="C65" s="5" t="inlineStr">
        <is>
          <t>Separar impuesto del costo</t>
        </is>
      </c>
      <c r="D65" s="4" t="inlineStr">
        <is>
          <t>E6</t>
        </is>
      </c>
      <c r="E65" s="4" t="inlineStr">
        <is>
          <t>Baja</t>
        </is>
      </c>
      <c r="F65" s="6" t="n">
        <v>3</v>
      </c>
      <c r="G65" s="7" t="n"/>
      <c r="H65" s="7" t="n"/>
      <c r="I65" s="7" t="n"/>
      <c r="J65" s="7" t="n"/>
      <c r="K65" s="8">
        <f>IFERROR(MODE(G65:J65),"")</f>
        <v/>
      </c>
      <c r="L65" s="4">
        <f>IF(COUNT(G65:J65)=0,"",MAX(G65:J65))</f>
        <v/>
      </c>
      <c r="M65" s="4">
        <f>IF(COUNT(G65:J65)=0,"",MIN(G65:J65))</f>
        <v/>
      </c>
    </row>
    <row r="66" ht="16" customHeight="1">
      <c r="B66" s="9" t="inlineStr">
        <is>
          <t>HU-60</t>
        </is>
      </c>
      <c r="C66" s="10" t="inlineStr">
        <is>
          <t>Listar facturas de compra</t>
        </is>
      </c>
      <c r="D66" s="9" t="inlineStr">
        <is>
          <t>E6</t>
        </is>
      </c>
      <c r="E66" s="9" t="inlineStr">
        <is>
          <t>Media</t>
        </is>
      </c>
      <c r="F66" s="6" t="n">
        <v>3</v>
      </c>
      <c r="G66" s="7" t="n"/>
      <c r="H66" s="7" t="n"/>
      <c r="I66" s="7" t="n"/>
      <c r="J66" s="7" t="n"/>
      <c r="K66" s="8">
        <f>IFERROR(MODE(G66:J66),"")</f>
        <v/>
      </c>
      <c r="L66" s="9">
        <f>IF(COUNT(G66:J66)=0,"",MAX(G66:J66))</f>
        <v/>
      </c>
      <c r="M66" s="9">
        <f>IF(COUNT(G66:J66)=0,"",MIN(G66:J66))</f>
        <v/>
      </c>
    </row>
    <row r="67" ht="16" customHeight="1">
      <c r="B67" s="4" t="inlineStr">
        <is>
          <t>HU-61</t>
        </is>
      </c>
      <c r="C67" s="5" t="inlineStr">
        <is>
          <t>Descargar comprobante</t>
        </is>
      </c>
      <c r="D67" s="4" t="inlineStr">
        <is>
          <t>E6</t>
        </is>
      </c>
      <c r="E67" s="4" t="inlineStr">
        <is>
          <t>Media</t>
        </is>
      </c>
      <c r="F67" s="6" t="n">
        <v>2</v>
      </c>
      <c r="G67" s="7" t="n"/>
      <c r="H67" s="7" t="n"/>
      <c r="I67" s="7" t="n"/>
      <c r="J67" s="7" t="n"/>
      <c r="K67" s="8">
        <f>IFERROR(MODE(G67:J67),"")</f>
        <v/>
      </c>
      <c r="L67" s="4">
        <f>IF(COUNT(G67:J67)=0,"",MAX(G67:J67))</f>
        <v/>
      </c>
      <c r="M67" s="4">
        <f>IF(COUNT(G67:J67)=0,"",MIN(G67:J67))</f>
        <v/>
      </c>
    </row>
    <row r="68" ht="16" customHeight="1">
      <c r="B68" s="9" t="inlineStr">
        <is>
          <t>HU-62</t>
        </is>
      </c>
      <c r="C68" s="10" t="inlineStr">
        <is>
          <t>Registrar trabajador de la obra</t>
        </is>
      </c>
      <c r="D68" s="9" t="inlineStr">
        <is>
          <t>E7</t>
        </is>
      </c>
      <c r="E68" s="9" t="inlineStr">
        <is>
          <t>Alta</t>
        </is>
      </c>
      <c r="F68" s="6" t="n">
        <v>3</v>
      </c>
      <c r="G68" s="7" t="n"/>
      <c r="H68" s="7" t="n"/>
      <c r="I68" s="7" t="n"/>
      <c r="J68" s="7" t="n"/>
      <c r="K68" s="8">
        <f>IFERROR(MODE(G68:J68),"")</f>
        <v/>
      </c>
      <c r="L68" s="9">
        <f>IF(COUNT(G68:J68)=0,"",MAX(G68:J68))</f>
        <v/>
      </c>
      <c r="M68" s="9">
        <f>IF(COUNT(G68:J68)=0,"",MIN(G68:J68))</f>
        <v/>
      </c>
    </row>
    <row r="69" ht="16" customHeight="1">
      <c r="B69" s="4" t="inlineStr">
        <is>
          <t>HU-63</t>
        </is>
      </c>
      <c r="C69" s="5" t="inlineStr">
        <is>
          <t>Registrar asistencia de la jornada</t>
        </is>
      </c>
      <c r="D69" s="4" t="inlineStr">
        <is>
          <t>E7</t>
        </is>
      </c>
      <c r="E69" s="4" t="inlineStr">
        <is>
          <t>Crítica</t>
        </is>
      </c>
      <c r="F69" s="6" t="n">
        <v>5</v>
      </c>
      <c r="G69" s="7" t="n"/>
      <c r="H69" s="7" t="n"/>
      <c r="I69" s="7" t="n"/>
      <c r="J69" s="7" t="n"/>
      <c r="K69" s="8">
        <f>IFERROR(MODE(G69:J69),"")</f>
        <v/>
      </c>
      <c r="L69" s="4">
        <f>IF(COUNT(G69:J69)=0,"",MAX(G69:J69))</f>
        <v/>
      </c>
      <c r="M69" s="4">
        <f>IF(COUNT(G69:J69)=0,"",MIN(G69:J69))</f>
        <v/>
      </c>
    </row>
    <row r="70" ht="16" customHeight="1">
      <c r="B70" s="9" t="inlineStr">
        <is>
          <t>HU-64</t>
        </is>
      </c>
      <c r="C70" s="10" t="inlineStr">
        <is>
          <t>Consultar horas acumuladas</t>
        </is>
      </c>
      <c r="D70" s="9" t="inlineStr">
        <is>
          <t>E7</t>
        </is>
      </c>
      <c r="E70" s="9" t="inlineStr">
        <is>
          <t>Alta</t>
        </is>
      </c>
      <c r="F70" s="6" t="n">
        <v>3</v>
      </c>
      <c r="G70" s="7" t="n"/>
      <c r="H70" s="7" t="n"/>
      <c r="I70" s="7" t="n"/>
      <c r="J70" s="7" t="n"/>
      <c r="K70" s="8">
        <f>IFERROR(MODE(G70:J70),"")</f>
        <v/>
      </c>
      <c r="L70" s="9">
        <f>IF(COUNT(G70:J70)=0,"",MAX(G70:J70))</f>
        <v/>
      </c>
      <c r="M70" s="9">
        <f>IF(COUNT(G70:J70)=0,"",MIN(G70:J70))</f>
        <v/>
      </c>
    </row>
    <row r="71" ht="16" customHeight="1">
      <c r="B71" s="4" t="inlineStr">
        <is>
          <t>HU-65</t>
        </is>
      </c>
      <c r="C71" s="5" t="inlineStr">
        <is>
          <t>Consultar costo de la mano de obra</t>
        </is>
      </c>
      <c r="D71" s="4" t="inlineStr">
        <is>
          <t>E7</t>
        </is>
      </c>
      <c r="E71" s="4" t="inlineStr">
        <is>
          <t>Alta</t>
        </is>
      </c>
      <c r="F71" s="6" t="n">
        <v>5</v>
      </c>
      <c r="G71" s="7" t="n"/>
      <c r="H71" s="7" t="n"/>
      <c r="I71" s="7" t="n"/>
      <c r="J71" s="7" t="n"/>
      <c r="K71" s="8">
        <f>IFERROR(MODE(G71:J71),"")</f>
        <v/>
      </c>
      <c r="L71" s="4">
        <f>IF(COUNT(G71:J71)=0,"",MAX(G71:J71))</f>
        <v/>
      </c>
      <c r="M71" s="4">
        <f>IF(COUNT(G71:J71)=0,"",MIN(G71:J71))</f>
        <v/>
      </c>
    </row>
    <row r="72">
      <c r="B72" s="11" t="inlineStr">
        <is>
          <t>TOTALES</t>
        </is>
      </c>
      <c r="C72" s="12" t="n"/>
      <c r="D72" s="12" t="n"/>
      <c r="E72" s="12" t="n"/>
      <c r="F72" s="13">
        <f>SUM(F7:F71)</f>
        <v/>
      </c>
      <c r="G72" s="12" t="n"/>
      <c r="H72" s="12" t="n"/>
      <c r="I72" s="12" t="n"/>
      <c r="J72" s="12" t="n"/>
      <c r="K72" s="13">
        <f>SUM(K7:K71)</f>
        <v/>
      </c>
      <c r="L72" s="12" t="n"/>
      <c r="M72" s="12" t="n"/>
    </row>
    <row r="74">
      <c r="B74" s="2" t="inlineStr">
        <is>
          <t>Equivalencia acordada para planificar: 1 punto ≈ 2 horas de trabajo del equipo. Con 8 a 12 horas semanales por persona, la capacidad de un sprint de dos semanas es de 40 a 48 puntos. La velocidad real se mide al cerrar el Sprint 1 y reemplaza a esta equivalencia.</t>
        </is>
      </c>
    </row>
    <row r="75"/>
  </sheetData>
  <autoFilter ref="B6:N71"/>
  <mergeCells count="3">
    <mergeCell ref="B2:L2"/>
    <mergeCell ref="B3:L4"/>
    <mergeCell ref="B74:M75"/>
  </mergeCells>
  <dataValidations count="1">
    <dataValidation sqref="G7 G8 G9 G10 G11 G12 G13 G14 G15 G16 G17 G18 G19 G20 G21 G22 G23 G24 G25 G26 G27 G28 G29 G30 G31 G32 G33 G34 G35 G36 G37 G38 G39 G40 G41 G42 G43 G44 G45 G46 G47 G48 G49 G50 G51 G52 G53 G54 G55 G56 G57 G58 G59 G60 G61 G62 G63 G64 G65 G66 G67 G68 G69 G70 G71 H7 H8 H9 H10 H11 H12 H13 H14 H15 H16 H17 H18 H19 H20 H21 H22 H23 H24 H25 H26 H27 H28 H29 H30 H31 H32 H33 H34 H35 H36 H37 H38 H39 H40 H41 H42 H43 H44 H45 H46 H47 H48 H49 H50 H51 H52 H53 H54 H55 H56 H57 H58 H59 H60 H61 H62 H63 H64 H65 H66 H67 H68 H69 H70 H71 I7 I8 I9 I10 I11 I12 I13 I14 I15 I16 I17 I18 I19 I20 I21 I22 I23 I24 I25 I26 I27 I28 I29 I30 I31 I32 I33 I34 I35 I36 I37 I38 I39 I40 I41 I42 I43 I44 I45 I46 I47 I48 I49 I50 I51 I52 I53 I54 I55 I56 I57 I58 I59 I60 I61 I62 I63 I64 I65 I66 I67 I68 I69 I70 I71 J7 J8 J9 J10 J11 J12 J13 J14 J15 J16 J17 J18 J19 J20 J21 J22 J23 J24 J25 J26 J27 J28 J29 J30 J31 J32 J33 J34 J35 J36 J37 J38 J39 J40 J41 J42 J43 J44 J45 J46 J47 J48 J49 J50 J51 J52 J53 J54 J55 J56 J57 J58 J59 J60 J61 J62 J63 J64 J65 J66 J67 J68 J69 J70 J71" showDropDown="0" showInputMessage="0" showErrorMessage="0" allowBlank="1" type="list">
      <formula1>"1,2,3,5,8,13"</formula1>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2026-10-21T03:55:30Z</dcterms:created>
  <dcterms:modified xmlns:dcterms="http://purl.org/dc/terms/" xmlns:xsi="http://www.w3.org/2001/XMLSchema-instance" xsi:type="dcterms:W3CDTF">2026-10-21T03:55:30Z</dcterms:modified>
</cp:coreProperties>
</file>